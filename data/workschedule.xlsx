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\\serverdfi\e\users\bobby\2024\14 PROJECTS\Job File Organizer\data\"/>
    </mc:Choice>
  </mc:AlternateContent>
  <xr:revisionPtr revIDLastSave="0" documentId="13_ncr:1_{AD594249-3579-45DC-B78C-EEA6F69F8A61}" xr6:coauthVersionLast="47" xr6:coauthVersionMax="47" xr10:uidLastSave="{00000000-0000-0000-0000-000000000000}"/>
  <bookViews>
    <workbookView xWindow="-28920" yWindow="-120" windowWidth="29040" windowHeight="16440" xr2:uid="{00000000-000D-0000-FFFF-FFFF00000000}"/>
  </bookViews>
  <sheets>
    <sheet name="THE BOARD" sheetId="1" r:id="rId1"/>
    <sheet name="Pivot Table 3" sheetId="2" r:id="rId2"/>
    <sheet name="DUE PIVOT" sheetId="3" r:id="rId3"/>
    <sheet name="Sheet4" sheetId="4" r:id="rId4"/>
    <sheet name="PHONE" sheetId="5" r:id="rId5"/>
    <sheet name="export" sheetId="6" r:id="rId6"/>
  </sheets>
  <definedNames>
    <definedName name="_xlnm._FilterDatabase" localSheetId="2" hidden="1">'DUE PIVOT'!$A$2:$A$994</definedName>
    <definedName name="_xlnm._FilterDatabase" localSheetId="1" hidden="1">'Pivot Table 3'!$A$3</definedName>
    <definedName name="_xlnm._FilterDatabase" localSheetId="0" hidden="1">'THE BOARD'!$A$1:$S$54</definedName>
    <definedName name="Z_A6D35D77_8AEB_447C_BA49_3C14371D70E9_.wvu.FilterData" localSheetId="0" hidden="1">'THE BOARD'!$F$1:$F$771</definedName>
    <definedName name="Z_DAD660F0_6D5C_4263_B8A5_86474779ECEF_.wvu.FilterData" localSheetId="0" hidden="1">'THE BOARD'!$A$1:$S$54</definedName>
  </definedNames>
  <calcPr calcId="191029"/>
  <customWorkbookViews>
    <customWorkbookView name="Filter 1" guid="{DAD660F0-6D5C-4263-B8A5-86474779ECEF}" maximized="1" windowWidth="0" windowHeight="0" activeSheetId="0"/>
    <customWorkbookView name="Filter 2" guid="{A6D35D77-8AEB-447C-BA49-3C14371D70E9}" maximized="1" windowWidth="0" windowHeight="0" activeSheetId="0"/>
  </customWorkbookViews>
  <pivotCaches>
    <pivotCache cacheId="7" r:id="rId7"/>
    <pivotCache cacheId="11" r:id="rId8"/>
    <pivotCache cacheId="16" r:id="rId9"/>
  </pivotCaches>
</workbook>
</file>

<file path=xl/calcChain.xml><?xml version="1.0" encoding="utf-8"?>
<calcChain xmlns="http://schemas.openxmlformats.org/spreadsheetml/2006/main">
  <c r="K1000" i="6" l="1"/>
  <c r="J1000" i="6"/>
  <c r="I1000" i="6"/>
  <c r="H1000" i="6"/>
  <c r="G1000" i="6"/>
  <c r="F1000" i="6"/>
  <c r="E1000" i="6"/>
  <c r="D1000" i="6"/>
  <c r="C1000" i="6"/>
  <c r="B1000" i="6"/>
  <c r="A1000" i="6"/>
  <c r="K999" i="6"/>
  <c r="J999" i="6"/>
  <c r="I999" i="6"/>
  <c r="H999" i="6"/>
  <c r="G999" i="6"/>
  <c r="F999" i="6"/>
  <c r="E999" i="6"/>
  <c r="C999" i="6"/>
  <c r="D999" i="6" s="1"/>
  <c r="B999" i="6"/>
  <c r="A999" i="6"/>
  <c r="K998" i="6"/>
  <c r="J998" i="6"/>
  <c r="I998" i="6"/>
  <c r="H998" i="6"/>
  <c r="G998" i="6"/>
  <c r="F998" i="6"/>
  <c r="E998" i="6"/>
  <c r="C998" i="6"/>
  <c r="D998" i="6" s="1"/>
  <c r="B998" i="6"/>
  <c r="A998" i="6"/>
  <c r="K997" i="6"/>
  <c r="J997" i="6"/>
  <c r="I997" i="6"/>
  <c r="H997" i="6"/>
  <c r="G997" i="6"/>
  <c r="F997" i="6"/>
  <c r="E997" i="6"/>
  <c r="C997" i="6"/>
  <c r="D997" i="6" s="1"/>
  <c r="B997" i="6"/>
  <c r="A997" i="6"/>
  <c r="K996" i="6"/>
  <c r="J996" i="6"/>
  <c r="I996" i="6"/>
  <c r="H996" i="6"/>
  <c r="G996" i="6"/>
  <c r="F996" i="6"/>
  <c r="E996" i="6"/>
  <c r="D996" i="6"/>
  <c r="C996" i="6"/>
  <c r="B996" i="6"/>
  <c r="A996" i="6"/>
  <c r="K995" i="6"/>
  <c r="J995" i="6"/>
  <c r="I995" i="6"/>
  <c r="H995" i="6"/>
  <c r="G995" i="6"/>
  <c r="F995" i="6"/>
  <c r="E995" i="6"/>
  <c r="C995" i="6"/>
  <c r="D995" i="6" s="1"/>
  <c r="B995" i="6"/>
  <c r="A995" i="6"/>
  <c r="K994" i="6"/>
  <c r="J994" i="6"/>
  <c r="I994" i="6"/>
  <c r="H994" i="6"/>
  <c r="G994" i="6"/>
  <c r="F994" i="6"/>
  <c r="E994" i="6"/>
  <c r="C994" i="6"/>
  <c r="D994" i="6" s="1"/>
  <c r="B994" i="6"/>
  <c r="A994" i="6"/>
  <c r="K993" i="6"/>
  <c r="J993" i="6"/>
  <c r="I993" i="6"/>
  <c r="H993" i="6"/>
  <c r="G993" i="6"/>
  <c r="F993" i="6"/>
  <c r="E993" i="6"/>
  <c r="C993" i="6"/>
  <c r="D993" i="6" s="1"/>
  <c r="B993" i="6"/>
  <c r="A993" i="6"/>
  <c r="K992" i="6"/>
  <c r="J992" i="6"/>
  <c r="I992" i="6"/>
  <c r="H992" i="6"/>
  <c r="G992" i="6"/>
  <c r="F992" i="6"/>
  <c r="E992" i="6"/>
  <c r="C992" i="6"/>
  <c r="D992" i="6" s="1"/>
  <c r="B992" i="6"/>
  <c r="A992" i="6"/>
  <c r="K991" i="6"/>
  <c r="J991" i="6"/>
  <c r="I991" i="6"/>
  <c r="H991" i="6"/>
  <c r="G991" i="6"/>
  <c r="F991" i="6"/>
  <c r="E991" i="6"/>
  <c r="C991" i="6"/>
  <c r="D991" i="6" s="1"/>
  <c r="B991" i="6"/>
  <c r="A991" i="6"/>
  <c r="K990" i="6"/>
  <c r="J990" i="6"/>
  <c r="I990" i="6"/>
  <c r="H990" i="6"/>
  <c r="G990" i="6"/>
  <c r="F990" i="6"/>
  <c r="E990" i="6"/>
  <c r="C990" i="6"/>
  <c r="D990" i="6" s="1"/>
  <c r="B990" i="6"/>
  <c r="A990" i="6"/>
  <c r="K989" i="6"/>
  <c r="J989" i="6"/>
  <c r="I989" i="6"/>
  <c r="H989" i="6"/>
  <c r="G989" i="6"/>
  <c r="F989" i="6"/>
  <c r="E989" i="6"/>
  <c r="C989" i="6"/>
  <c r="D989" i="6" s="1"/>
  <c r="B989" i="6"/>
  <c r="A989" i="6"/>
  <c r="K988" i="6"/>
  <c r="J988" i="6"/>
  <c r="I988" i="6"/>
  <c r="H988" i="6"/>
  <c r="G988" i="6"/>
  <c r="F988" i="6"/>
  <c r="E988" i="6"/>
  <c r="C988" i="6"/>
  <c r="D988" i="6" s="1"/>
  <c r="B988" i="6"/>
  <c r="A988" i="6"/>
  <c r="K987" i="6"/>
  <c r="J987" i="6"/>
  <c r="I987" i="6"/>
  <c r="H987" i="6"/>
  <c r="G987" i="6"/>
  <c r="F987" i="6"/>
  <c r="E987" i="6"/>
  <c r="C987" i="6"/>
  <c r="D987" i="6" s="1"/>
  <c r="B987" i="6"/>
  <c r="A987" i="6"/>
  <c r="K986" i="6"/>
  <c r="J986" i="6"/>
  <c r="I986" i="6"/>
  <c r="H986" i="6"/>
  <c r="G986" i="6"/>
  <c r="F986" i="6"/>
  <c r="E986" i="6"/>
  <c r="C986" i="6"/>
  <c r="D986" i="6" s="1"/>
  <c r="B986" i="6"/>
  <c r="A986" i="6"/>
  <c r="K985" i="6"/>
  <c r="J985" i="6"/>
  <c r="I985" i="6"/>
  <c r="H985" i="6"/>
  <c r="G985" i="6"/>
  <c r="F985" i="6"/>
  <c r="E985" i="6"/>
  <c r="C985" i="6"/>
  <c r="D985" i="6" s="1"/>
  <c r="B985" i="6"/>
  <c r="A985" i="6"/>
  <c r="K984" i="6"/>
  <c r="J984" i="6"/>
  <c r="I984" i="6"/>
  <c r="H984" i="6"/>
  <c r="G984" i="6"/>
  <c r="F984" i="6"/>
  <c r="E984" i="6"/>
  <c r="D984" i="6"/>
  <c r="C984" i="6"/>
  <c r="B984" i="6"/>
  <c r="A984" i="6"/>
  <c r="K983" i="6"/>
  <c r="J983" i="6"/>
  <c r="I983" i="6"/>
  <c r="H983" i="6"/>
  <c r="G983" i="6"/>
  <c r="F983" i="6"/>
  <c r="E983" i="6"/>
  <c r="C983" i="6"/>
  <c r="D983" i="6" s="1"/>
  <c r="B983" i="6"/>
  <c r="A983" i="6"/>
  <c r="K982" i="6"/>
  <c r="J982" i="6"/>
  <c r="I982" i="6"/>
  <c r="H982" i="6"/>
  <c r="G982" i="6"/>
  <c r="F982" i="6"/>
  <c r="E982" i="6"/>
  <c r="C982" i="6"/>
  <c r="D982" i="6" s="1"/>
  <c r="B982" i="6"/>
  <c r="A982" i="6"/>
  <c r="K981" i="6"/>
  <c r="J981" i="6"/>
  <c r="I981" i="6"/>
  <c r="H981" i="6"/>
  <c r="G981" i="6"/>
  <c r="F981" i="6"/>
  <c r="E981" i="6"/>
  <c r="C981" i="6"/>
  <c r="D981" i="6" s="1"/>
  <c r="B981" i="6"/>
  <c r="A981" i="6"/>
  <c r="K980" i="6"/>
  <c r="J980" i="6"/>
  <c r="I980" i="6"/>
  <c r="H980" i="6"/>
  <c r="G980" i="6"/>
  <c r="F980" i="6"/>
  <c r="E980" i="6"/>
  <c r="C980" i="6"/>
  <c r="D980" i="6" s="1"/>
  <c r="B980" i="6"/>
  <c r="A980" i="6"/>
  <c r="K979" i="6"/>
  <c r="J979" i="6"/>
  <c r="I979" i="6"/>
  <c r="H979" i="6"/>
  <c r="G979" i="6"/>
  <c r="F979" i="6"/>
  <c r="E979" i="6"/>
  <c r="C979" i="6"/>
  <c r="D979" i="6" s="1"/>
  <c r="B979" i="6"/>
  <c r="A979" i="6"/>
  <c r="K978" i="6"/>
  <c r="J978" i="6"/>
  <c r="I978" i="6"/>
  <c r="H978" i="6"/>
  <c r="G978" i="6"/>
  <c r="F978" i="6"/>
  <c r="E978" i="6"/>
  <c r="C978" i="6"/>
  <c r="D978" i="6" s="1"/>
  <c r="B978" i="6"/>
  <c r="A978" i="6"/>
  <c r="K977" i="6"/>
  <c r="J977" i="6"/>
  <c r="I977" i="6"/>
  <c r="H977" i="6"/>
  <c r="G977" i="6"/>
  <c r="F977" i="6"/>
  <c r="E977" i="6"/>
  <c r="C977" i="6"/>
  <c r="D977" i="6" s="1"/>
  <c r="B977" i="6"/>
  <c r="A977" i="6"/>
  <c r="K976" i="6"/>
  <c r="J976" i="6"/>
  <c r="I976" i="6"/>
  <c r="H976" i="6"/>
  <c r="G976" i="6"/>
  <c r="F976" i="6"/>
  <c r="E976" i="6"/>
  <c r="C976" i="6"/>
  <c r="D976" i="6" s="1"/>
  <c r="B976" i="6"/>
  <c r="A976" i="6"/>
  <c r="K975" i="6"/>
  <c r="J975" i="6"/>
  <c r="I975" i="6"/>
  <c r="H975" i="6"/>
  <c r="G975" i="6"/>
  <c r="F975" i="6"/>
  <c r="E975" i="6"/>
  <c r="C975" i="6"/>
  <c r="D975" i="6" s="1"/>
  <c r="B975" i="6"/>
  <c r="A975" i="6"/>
  <c r="K974" i="6"/>
  <c r="J974" i="6"/>
  <c r="I974" i="6"/>
  <c r="H974" i="6"/>
  <c r="G974" i="6"/>
  <c r="F974" i="6"/>
  <c r="E974" i="6"/>
  <c r="C974" i="6"/>
  <c r="D974" i="6" s="1"/>
  <c r="B974" i="6"/>
  <c r="A974" i="6"/>
  <c r="K973" i="6"/>
  <c r="J973" i="6"/>
  <c r="I973" i="6"/>
  <c r="H973" i="6"/>
  <c r="G973" i="6"/>
  <c r="F973" i="6"/>
  <c r="E973" i="6"/>
  <c r="C973" i="6"/>
  <c r="D973" i="6" s="1"/>
  <c r="B973" i="6"/>
  <c r="A973" i="6"/>
  <c r="K972" i="6"/>
  <c r="J972" i="6"/>
  <c r="I972" i="6"/>
  <c r="H972" i="6"/>
  <c r="G972" i="6"/>
  <c r="F972" i="6"/>
  <c r="E972" i="6"/>
  <c r="C972" i="6"/>
  <c r="D972" i="6" s="1"/>
  <c r="B972" i="6"/>
  <c r="A972" i="6"/>
  <c r="K971" i="6"/>
  <c r="J971" i="6"/>
  <c r="I971" i="6"/>
  <c r="H971" i="6"/>
  <c r="G971" i="6"/>
  <c r="F971" i="6"/>
  <c r="E971" i="6"/>
  <c r="C971" i="6"/>
  <c r="D971" i="6" s="1"/>
  <c r="B971" i="6"/>
  <c r="A971" i="6"/>
  <c r="K970" i="6"/>
  <c r="J970" i="6"/>
  <c r="I970" i="6"/>
  <c r="H970" i="6"/>
  <c r="G970" i="6"/>
  <c r="F970" i="6"/>
  <c r="E970" i="6"/>
  <c r="C970" i="6"/>
  <c r="D970" i="6" s="1"/>
  <c r="B970" i="6"/>
  <c r="A970" i="6"/>
  <c r="K969" i="6"/>
  <c r="J969" i="6"/>
  <c r="I969" i="6"/>
  <c r="H969" i="6"/>
  <c r="G969" i="6"/>
  <c r="F969" i="6"/>
  <c r="E969" i="6"/>
  <c r="C969" i="6"/>
  <c r="D969" i="6" s="1"/>
  <c r="B969" i="6"/>
  <c r="A969" i="6"/>
  <c r="K968" i="6"/>
  <c r="J968" i="6"/>
  <c r="I968" i="6"/>
  <c r="H968" i="6"/>
  <c r="G968" i="6"/>
  <c r="F968" i="6"/>
  <c r="E968" i="6"/>
  <c r="C968" i="6"/>
  <c r="D968" i="6" s="1"/>
  <c r="B968" i="6"/>
  <c r="A968" i="6"/>
  <c r="K967" i="6"/>
  <c r="J967" i="6"/>
  <c r="I967" i="6"/>
  <c r="H967" i="6"/>
  <c r="G967" i="6"/>
  <c r="F967" i="6"/>
  <c r="E967" i="6"/>
  <c r="C967" i="6"/>
  <c r="D967" i="6" s="1"/>
  <c r="B967" i="6"/>
  <c r="A967" i="6"/>
  <c r="K966" i="6"/>
  <c r="J966" i="6"/>
  <c r="I966" i="6"/>
  <c r="H966" i="6"/>
  <c r="G966" i="6"/>
  <c r="F966" i="6"/>
  <c r="E966" i="6"/>
  <c r="C966" i="6"/>
  <c r="D966" i="6" s="1"/>
  <c r="B966" i="6"/>
  <c r="A966" i="6"/>
  <c r="K965" i="6"/>
  <c r="J965" i="6"/>
  <c r="I965" i="6"/>
  <c r="H965" i="6"/>
  <c r="G965" i="6"/>
  <c r="F965" i="6"/>
  <c r="E965" i="6"/>
  <c r="C965" i="6"/>
  <c r="D965" i="6" s="1"/>
  <c r="B965" i="6"/>
  <c r="A965" i="6"/>
  <c r="K964" i="6"/>
  <c r="J964" i="6"/>
  <c r="I964" i="6"/>
  <c r="H964" i="6"/>
  <c r="G964" i="6"/>
  <c r="F964" i="6"/>
  <c r="E964" i="6"/>
  <c r="C964" i="6"/>
  <c r="D964" i="6" s="1"/>
  <c r="B964" i="6"/>
  <c r="A964" i="6"/>
  <c r="K963" i="6"/>
  <c r="J963" i="6"/>
  <c r="I963" i="6"/>
  <c r="H963" i="6"/>
  <c r="G963" i="6"/>
  <c r="F963" i="6"/>
  <c r="E963" i="6"/>
  <c r="C963" i="6"/>
  <c r="D963" i="6" s="1"/>
  <c r="B963" i="6"/>
  <c r="A963" i="6"/>
  <c r="K962" i="6"/>
  <c r="J962" i="6"/>
  <c r="I962" i="6"/>
  <c r="H962" i="6"/>
  <c r="G962" i="6"/>
  <c r="F962" i="6"/>
  <c r="E962" i="6"/>
  <c r="C962" i="6"/>
  <c r="D962" i="6" s="1"/>
  <c r="B962" i="6"/>
  <c r="A962" i="6"/>
  <c r="K961" i="6"/>
  <c r="J961" i="6"/>
  <c r="I961" i="6"/>
  <c r="H961" i="6"/>
  <c r="G961" i="6"/>
  <c r="F961" i="6"/>
  <c r="E961" i="6"/>
  <c r="C961" i="6"/>
  <c r="D961" i="6" s="1"/>
  <c r="B961" i="6"/>
  <c r="A961" i="6"/>
  <c r="K960" i="6"/>
  <c r="J960" i="6"/>
  <c r="I960" i="6"/>
  <c r="H960" i="6"/>
  <c r="G960" i="6"/>
  <c r="F960" i="6"/>
  <c r="E960" i="6"/>
  <c r="C960" i="6"/>
  <c r="D960" i="6" s="1"/>
  <c r="B960" i="6"/>
  <c r="A960" i="6"/>
  <c r="K959" i="6"/>
  <c r="J959" i="6"/>
  <c r="I959" i="6"/>
  <c r="H959" i="6"/>
  <c r="G959" i="6"/>
  <c r="F959" i="6"/>
  <c r="E959" i="6"/>
  <c r="C959" i="6"/>
  <c r="D959" i="6" s="1"/>
  <c r="B959" i="6"/>
  <c r="A959" i="6"/>
  <c r="K958" i="6"/>
  <c r="J958" i="6"/>
  <c r="I958" i="6"/>
  <c r="H958" i="6"/>
  <c r="G958" i="6"/>
  <c r="F958" i="6"/>
  <c r="E958" i="6"/>
  <c r="C958" i="6"/>
  <c r="D958" i="6" s="1"/>
  <c r="B958" i="6"/>
  <c r="A958" i="6"/>
  <c r="K957" i="6"/>
  <c r="J957" i="6"/>
  <c r="I957" i="6"/>
  <c r="H957" i="6"/>
  <c r="G957" i="6"/>
  <c r="F957" i="6"/>
  <c r="E957" i="6"/>
  <c r="C957" i="6"/>
  <c r="D957" i="6" s="1"/>
  <c r="B957" i="6"/>
  <c r="A957" i="6"/>
  <c r="K956" i="6"/>
  <c r="J956" i="6"/>
  <c r="I956" i="6"/>
  <c r="H956" i="6"/>
  <c r="G956" i="6"/>
  <c r="F956" i="6"/>
  <c r="E956" i="6"/>
  <c r="C956" i="6"/>
  <c r="D956" i="6" s="1"/>
  <c r="B956" i="6"/>
  <c r="A956" i="6"/>
  <c r="K955" i="6"/>
  <c r="J955" i="6"/>
  <c r="I955" i="6"/>
  <c r="H955" i="6"/>
  <c r="G955" i="6"/>
  <c r="F955" i="6"/>
  <c r="E955" i="6"/>
  <c r="C955" i="6"/>
  <c r="D955" i="6" s="1"/>
  <c r="B955" i="6"/>
  <c r="A955" i="6"/>
  <c r="K954" i="6"/>
  <c r="J954" i="6"/>
  <c r="I954" i="6"/>
  <c r="H954" i="6"/>
  <c r="G954" i="6"/>
  <c r="F954" i="6"/>
  <c r="E954" i="6"/>
  <c r="C954" i="6"/>
  <c r="D954" i="6" s="1"/>
  <c r="B954" i="6"/>
  <c r="A954" i="6"/>
  <c r="K953" i="6"/>
  <c r="J953" i="6"/>
  <c r="I953" i="6"/>
  <c r="H953" i="6"/>
  <c r="G953" i="6"/>
  <c r="F953" i="6"/>
  <c r="E953" i="6"/>
  <c r="C953" i="6"/>
  <c r="D953" i="6" s="1"/>
  <c r="B953" i="6"/>
  <c r="A953" i="6"/>
  <c r="K952" i="6"/>
  <c r="J952" i="6"/>
  <c r="I952" i="6"/>
  <c r="H952" i="6"/>
  <c r="G952" i="6"/>
  <c r="F952" i="6"/>
  <c r="E952" i="6"/>
  <c r="C952" i="6"/>
  <c r="D952" i="6" s="1"/>
  <c r="B952" i="6"/>
  <c r="A952" i="6"/>
  <c r="K951" i="6"/>
  <c r="J951" i="6"/>
  <c r="I951" i="6"/>
  <c r="H951" i="6"/>
  <c r="G951" i="6"/>
  <c r="F951" i="6"/>
  <c r="E951" i="6"/>
  <c r="C951" i="6"/>
  <c r="D951" i="6" s="1"/>
  <c r="B951" i="6"/>
  <c r="A951" i="6"/>
  <c r="K950" i="6"/>
  <c r="J950" i="6"/>
  <c r="I950" i="6"/>
  <c r="H950" i="6"/>
  <c r="G950" i="6"/>
  <c r="F950" i="6"/>
  <c r="E950" i="6"/>
  <c r="C950" i="6"/>
  <c r="D950" i="6" s="1"/>
  <c r="B950" i="6"/>
  <c r="A950" i="6"/>
  <c r="K949" i="6"/>
  <c r="J949" i="6"/>
  <c r="I949" i="6"/>
  <c r="H949" i="6"/>
  <c r="G949" i="6"/>
  <c r="F949" i="6"/>
  <c r="E949" i="6"/>
  <c r="C949" i="6"/>
  <c r="D949" i="6" s="1"/>
  <c r="B949" i="6"/>
  <c r="A949" i="6"/>
  <c r="K948" i="6"/>
  <c r="J948" i="6"/>
  <c r="I948" i="6"/>
  <c r="H948" i="6"/>
  <c r="G948" i="6"/>
  <c r="F948" i="6"/>
  <c r="E948" i="6"/>
  <c r="C948" i="6"/>
  <c r="D948" i="6" s="1"/>
  <c r="B948" i="6"/>
  <c r="A948" i="6"/>
  <c r="K947" i="6"/>
  <c r="J947" i="6"/>
  <c r="I947" i="6"/>
  <c r="H947" i="6"/>
  <c r="G947" i="6"/>
  <c r="F947" i="6"/>
  <c r="E947" i="6"/>
  <c r="C947" i="6"/>
  <c r="D947" i="6" s="1"/>
  <c r="B947" i="6"/>
  <c r="A947" i="6"/>
  <c r="K946" i="6"/>
  <c r="J946" i="6"/>
  <c r="I946" i="6"/>
  <c r="H946" i="6"/>
  <c r="G946" i="6"/>
  <c r="F946" i="6"/>
  <c r="E946" i="6"/>
  <c r="C946" i="6"/>
  <c r="D946" i="6" s="1"/>
  <c r="B946" i="6"/>
  <c r="A946" i="6"/>
  <c r="K945" i="6"/>
  <c r="J945" i="6"/>
  <c r="I945" i="6"/>
  <c r="H945" i="6"/>
  <c r="G945" i="6"/>
  <c r="F945" i="6"/>
  <c r="E945" i="6"/>
  <c r="C945" i="6"/>
  <c r="D945" i="6" s="1"/>
  <c r="B945" i="6"/>
  <c r="A945" i="6"/>
  <c r="K944" i="6"/>
  <c r="J944" i="6"/>
  <c r="I944" i="6"/>
  <c r="H944" i="6"/>
  <c r="G944" i="6"/>
  <c r="F944" i="6"/>
  <c r="E944" i="6"/>
  <c r="C944" i="6"/>
  <c r="D944" i="6" s="1"/>
  <c r="B944" i="6"/>
  <c r="A944" i="6"/>
  <c r="K943" i="6"/>
  <c r="J943" i="6"/>
  <c r="I943" i="6"/>
  <c r="H943" i="6"/>
  <c r="G943" i="6"/>
  <c r="F943" i="6"/>
  <c r="E943" i="6"/>
  <c r="C943" i="6"/>
  <c r="D943" i="6" s="1"/>
  <c r="B943" i="6"/>
  <c r="A943" i="6"/>
  <c r="K942" i="6"/>
  <c r="J942" i="6"/>
  <c r="I942" i="6"/>
  <c r="H942" i="6"/>
  <c r="G942" i="6"/>
  <c r="F942" i="6"/>
  <c r="E942" i="6"/>
  <c r="C942" i="6"/>
  <c r="D942" i="6" s="1"/>
  <c r="B942" i="6"/>
  <c r="A942" i="6"/>
  <c r="K941" i="6"/>
  <c r="J941" i="6"/>
  <c r="I941" i="6"/>
  <c r="H941" i="6"/>
  <c r="G941" i="6"/>
  <c r="F941" i="6"/>
  <c r="E941" i="6"/>
  <c r="C941" i="6"/>
  <c r="D941" i="6" s="1"/>
  <c r="B941" i="6"/>
  <c r="A941" i="6"/>
  <c r="K940" i="6"/>
  <c r="J940" i="6"/>
  <c r="I940" i="6"/>
  <c r="H940" i="6"/>
  <c r="G940" i="6"/>
  <c r="F940" i="6"/>
  <c r="E940" i="6"/>
  <c r="C940" i="6"/>
  <c r="D940" i="6" s="1"/>
  <c r="B940" i="6"/>
  <c r="A940" i="6"/>
  <c r="K939" i="6"/>
  <c r="J939" i="6"/>
  <c r="I939" i="6"/>
  <c r="H939" i="6"/>
  <c r="G939" i="6"/>
  <c r="F939" i="6"/>
  <c r="E939" i="6"/>
  <c r="C939" i="6"/>
  <c r="D939" i="6" s="1"/>
  <c r="B939" i="6"/>
  <c r="A939" i="6"/>
  <c r="K938" i="6"/>
  <c r="J938" i="6"/>
  <c r="I938" i="6"/>
  <c r="H938" i="6"/>
  <c r="G938" i="6"/>
  <c r="F938" i="6"/>
  <c r="E938" i="6"/>
  <c r="C938" i="6"/>
  <c r="D938" i="6" s="1"/>
  <c r="B938" i="6"/>
  <c r="A938" i="6"/>
  <c r="K937" i="6"/>
  <c r="J937" i="6"/>
  <c r="I937" i="6"/>
  <c r="H937" i="6"/>
  <c r="G937" i="6"/>
  <c r="F937" i="6"/>
  <c r="E937" i="6"/>
  <c r="C937" i="6"/>
  <c r="D937" i="6" s="1"/>
  <c r="B937" i="6"/>
  <c r="A937" i="6"/>
  <c r="K936" i="6"/>
  <c r="J936" i="6"/>
  <c r="I936" i="6"/>
  <c r="H936" i="6"/>
  <c r="G936" i="6"/>
  <c r="F936" i="6"/>
  <c r="E936" i="6"/>
  <c r="D936" i="6"/>
  <c r="C936" i="6"/>
  <c r="B936" i="6"/>
  <c r="A936" i="6"/>
  <c r="K935" i="6"/>
  <c r="J935" i="6"/>
  <c r="I935" i="6"/>
  <c r="H935" i="6"/>
  <c r="G935" i="6"/>
  <c r="F935" i="6"/>
  <c r="E935" i="6"/>
  <c r="C935" i="6"/>
  <c r="D935" i="6" s="1"/>
  <c r="B935" i="6"/>
  <c r="A935" i="6"/>
  <c r="K934" i="6"/>
  <c r="J934" i="6"/>
  <c r="I934" i="6"/>
  <c r="H934" i="6"/>
  <c r="G934" i="6"/>
  <c r="F934" i="6"/>
  <c r="E934" i="6"/>
  <c r="C934" i="6"/>
  <c r="D934" i="6" s="1"/>
  <c r="B934" i="6"/>
  <c r="A934" i="6"/>
  <c r="K933" i="6"/>
  <c r="J933" i="6"/>
  <c r="I933" i="6"/>
  <c r="H933" i="6"/>
  <c r="G933" i="6"/>
  <c r="F933" i="6"/>
  <c r="E933" i="6"/>
  <c r="C933" i="6"/>
  <c r="D933" i="6" s="1"/>
  <c r="B933" i="6"/>
  <c r="A933" i="6"/>
  <c r="K932" i="6"/>
  <c r="J932" i="6"/>
  <c r="I932" i="6"/>
  <c r="H932" i="6"/>
  <c r="G932" i="6"/>
  <c r="F932" i="6"/>
  <c r="E932" i="6"/>
  <c r="C932" i="6"/>
  <c r="D932" i="6" s="1"/>
  <c r="B932" i="6"/>
  <c r="A932" i="6"/>
  <c r="K931" i="6"/>
  <c r="J931" i="6"/>
  <c r="I931" i="6"/>
  <c r="H931" i="6"/>
  <c r="G931" i="6"/>
  <c r="F931" i="6"/>
  <c r="E931" i="6"/>
  <c r="C931" i="6"/>
  <c r="D931" i="6" s="1"/>
  <c r="B931" i="6"/>
  <c r="A931" i="6"/>
  <c r="K930" i="6"/>
  <c r="J930" i="6"/>
  <c r="I930" i="6"/>
  <c r="H930" i="6"/>
  <c r="G930" i="6"/>
  <c r="F930" i="6"/>
  <c r="E930" i="6"/>
  <c r="C930" i="6"/>
  <c r="D930" i="6" s="1"/>
  <c r="B930" i="6"/>
  <c r="A930" i="6"/>
  <c r="K929" i="6"/>
  <c r="J929" i="6"/>
  <c r="I929" i="6"/>
  <c r="H929" i="6"/>
  <c r="G929" i="6"/>
  <c r="F929" i="6"/>
  <c r="E929" i="6"/>
  <c r="C929" i="6"/>
  <c r="D929" i="6" s="1"/>
  <c r="B929" i="6"/>
  <c r="A929" i="6"/>
  <c r="K928" i="6"/>
  <c r="J928" i="6"/>
  <c r="I928" i="6"/>
  <c r="H928" i="6"/>
  <c r="G928" i="6"/>
  <c r="F928" i="6"/>
  <c r="E928" i="6"/>
  <c r="C928" i="6"/>
  <c r="D928" i="6" s="1"/>
  <c r="B928" i="6"/>
  <c r="A928" i="6"/>
  <c r="K927" i="6"/>
  <c r="J927" i="6"/>
  <c r="I927" i="6"/>
  <c r="H927" i="6"/>
  <c r="G927" i="6"/>
  <c r="F927" i="6"/>
  <c r="E927" i="6"/>
  <c r="C927" i="6"/>
  <c r="D927" i="6" s="1"/>
  <c r="B927" i="6"/>
  <c r="A927" i="6"/>
  <c r="K926" i="6"/>
  <c r="J926" i="6"/>
  <c r="I926" i="6"/>
  <c r="H926" i="6"/>
  <c r="G926" i="6"/>
  <c r="F926" i="6"/>
  <c r="E926" i="6"/>
  <c r="C926" i="6"/>
  <c r="D926" i="6" s="1"/>
  <c r="B926" i="6"/>
  <c r="A926" i="6"/>
  <c r="K925" i="6"/>
  <c r="J925" i="6"/>
  <c r="I925" i="6"/>
  <c r="H925" i="6"/>
  <c r="G925" i="6"/>
  <c r="F925" i="6"/>
  <c r="E925" i="6"/>
  <c r="C925" i="6"/>
  <c r="D925" i="6" s="1"/>
  <c r="B925" i="6"/>
  <c r="A925" i="6"/>
  <c r="K924" i="6"/>
  <c r="J924" i="6"/>
  <c r="I924" i="6"/>
  <c r="H924" i="6"/>
  <c r="G924" i="6"/>
  <c r="F924" i="6"/>
  <c r="E924" i="6"/>
  <c r="C924" i="6"/>
  <c r="D924" i="6" s="1"/>
  <c r="B924" i="6"/>
  <c r="A924" i="6"/>
  <c r="K923" i="6"/>
  <c r="J923" i="6"/>
  <c r="I923" i="6"/>
  <c r="H923" i="6"/>
  <c r="G923" i="6"/>
  <c r="F923" i="6"/>
  <c r="E923" i="6"/>
  <c r="C923" i="6"/>
  <c r="D923" i="6" s="1"/>
  <c r="B923" i="6"/>
  <c r="A923" i="6"/>
  <c r="K922" i="6"/>
  <c r="J922" i="6"/>
  <c r="I922" i="6"/>
  <c r="H922" i="6"/>
  <c r="G922" i="6"/>
  <c r="F922" i="6"/>
  <c r="E922" i="6"/>
  <c r="C922" i="6"/>
  <c r="D922" i="6" s="1"/>
  <c r="B922" i="6"/>
  <c r="A922" i="6"/>
  <c r="K921" i="6"/>
  <c r="J921" i="6"/>
  <c r="I921" i="6"/>
  <c r="H921" i="6"/>
  <c r="G921" i="6"/>
  <c r="F921" i="6"/>
  <c r="E921" i="6"/>
  <c r="C921" i="6"/>
  <c r="D921" i="6" s="1"/>
  <c r="B921" i="6"/>
  <c r="A921" i="6"/>
  <c r="K920" i="6"/>
  <c r="J920" i="6"/>
  <c r="I920" i="6"/>
  <c r="H920" i="6"/>
  <c r="G920" i="6"/>
  <c r="F920" i="6"/>
  <c r="E920" i="6"/>
  <c r="D920" i="6"/>
  <c r="C920" i="6"/>
  <c r="B920" i="6"/>
  <c r="A920" i="6"/>
  <c r="K919" i="6"/>
  <c r="J919" i="6"/>
  <c r="I919" i="6"/>
  <c r="H919" i="6"/>
  <c r="G919" i="6"/>
  <c r="F919" i="6"/>
  <c r="E919" i="6"/>
  <c r="C919" i="6"/>
  <c r="D919" i="6" s="1"/>
  <c r="B919" i="6"/>
  <c r="A919" i="6"/>
  <c r="K918" i="6"/>
  <c r="J918" i="6"/>
  <c r="I918" i="6"/>
  <c r="H918" i="6"/>
  <c r="G918" i="6"/>
  <c r="F918" i="6"/>
  <c r="E918" i="6"/>
  <c r="C918" i="6"/>
  <c r="D918" i="6" s="1"/>
  <c r="B918" i="6"/>
  <c r="A918" i="6"/>
  <c r="K917" i="6"/>
  <c r="J917" i="6"/>
  <c r="I917" i="6"/>
  <c r="H917" i="6"/>
  <c r="G917" i="6"/>
  <c r="F917" i="6"/>
  <c r="E917" i="6"/>
  <c r="C917" i="6"/>
  <c r="D917" i="6" s="1"/>
  <c r="B917" i="6"/>
  <c r="A917" i="6"/>
  <c r="K916" i="6"/>
  <c r="J916" i="6"/>
  <c r="I916" i="6"/>
  <c r="H916" i="6"/>
  <c r="G916" i="6"/>
  <c r="F916" i="6"/>
  <c r="E916" i="6"/>
  <c r="C916" i="6"/>
  <c r="D916" i="6" s="1"/>
  <c r="B916" i="6"/>
  <c r="A916" i="6"/>
  <c r="K915" i="6"/>
  <c r="J915" i="6"/>
  <c r="I915" i="6"/>
  <c r="H915" i="6"/>
  <c r="G915" i="6"/>
  <c r="F915" i="6"/>
  <c r="E915" i="6"/>
  <c r="C915" i="6"/>
  <c r="D915" i="6" s="1"/>
  <c r="B915" i="6"/>
  <c r="A915" i="6"/>
  <c r="K914" i="6"/>
  <c r="J914" i="6"/>
  <c r="I914" i="6"/>
  <c r="H914" i="6"/>
  <c r="G914" i="6"/>
  <c r="F914" i="6"/>
  <c r="E914" i="6"/>
  <c r="C914" i="6"/>
  <c r="D914" i="6" s="1"/>
  <c r="B914" i="6"/>
  <c r="A914" i="6"/>
  <c r="K913" i="6"/>
  <c r="J913" i="6"/>
  <c r="I913" i="6"/>
  <c r="H913" i="6"/>
  <c r="G913" i="6"/>
  <c r="F913" i="6"/>
  <c r="E913" i="6"/>
  <c r="C913" i="6"/>
  <c r="D913" i="6" s="1"/>
  <c r="B913" i="6"/>
  <c r="A913" i="6"/>
  <c r="K912" i="6"/>
  <c r="J912" i="6"/>
  <c r="I912" i="6"/>
  <c r="H912" i="6"/>
  <c r="G912" i="6"/>
  <c r="F912" i="6"/>
  <c r="E912" i="6"/>
  <c r="C912" i="6"/>
  <c r="D912" i="6" s="1"/>
  <c r="B912" i="6"/>
  <c r="A912" i="6"/>
  <c r="K911" i="6"/>
  <c r="J911" i="6"/>
  <c r="I911" i="6"/>
  <c r="H911" i="6"/>
  <c r="G911" i="6"/>
  <c r="F911" i="6"/>
  <c r="E911" i="6"/>
  <c r="C911" i="6"/>
  <c r="D911" i="6" s="1"/>
  <c r="B911" i="6"/>
  <c r="A911" i="6"/>
  <c r="K910" i="6"/>
  <c r="J910" i="6"/>
  <c r="I910" i="6"/>
  <c r="H910" i="6"/>
  <c r="G910" i="6"/>
  <c r="F910" i="6"/>
  <c r="E910" i="6"/>
  <c r="C910" i="6"/>
  <c r="D910" i="6" s="1"/>
  <c r="B910" i="6"/>
  <c r="A910" i="6"/>
  <c r="K909" i="6"/>
  <c r="J909" i="6"/>
  <c r="I909" i="6"/>
  <c r="H909" i="6"/>
  <c r="G909" i="6"/>
  <c r="F909" i="6"/>
  <c r="E909" i="6"/>
  <c r="C909" i="6"/>
  <c r="D909" i="6" s="1"/>
  <c r="B909" i="6"/>
  <c r="A909" i="6"/>
  <c r="K908" i="6"/>
  <c r="J908" i="6"/>
  <c r="I908" i="6"/>
  <c r="H908" i="6"/>
  <c r="G908" i="6"/>
  <c r="F908" i="6"/>
  <c r="E908" i="6"/>
  <c r="C908" i="6"/>
  <c r="D908" i="6" s="1"/>
  <c r="B908" i="6"/>
  <c r="A908" i="6"/>
  <c r="K907" i="6"/>
  <c r="J907" i="6"/>
  <c r="I907" i="6"/>
  <c r="H907" i="6"/>
  <c r="G907" i="6"/>
  <c r="F907" i="6"/>
  <c r="E907" i="6"/>
  <c r="C907" i="6"/>
  <c r="D907" i="6" s="1"/>
  <c r="B907" i="6"/>
  <c r="A907" i="6"/>
  <c r="K906" i="6"/>
  <c r="J906" i="6"/>
  <c r="I906" i="6"/>
  <c r="H906" i="6"/>
  <c r="G906" i="6"/>
  <c r="F906" i="6"/>
  <c r="E906" i="6"/>
  <c r="C906" i="6"/>
  <c r="D906" i="6" s="1"/>
  <c r="B906" i="6"/>
  <c r="A906" i="6"/>
  <c r="K905" i="6"/>
  <c r="J905" i="6"/>
  <c r="I905" i="6"/>
  <c r="H905" i="6"/>
  <c r="G905" i="6"/>
  <c r="F905" i="6"/>
  <c r="E905" i="6"/>
  <c r="C905" i="6"/>
  <c r="D905" i="6" s="1"/>
  <c r="B905" i="6"/>
  <c r="A905" i="6"/>
  <c r="K904" i="6"/>
  <c r="J904" i="6"/>
  <c r="I904" i="6"/>
  <c r="H904" i="6"/>
  <c r="G904" i="6"/>
  <c r="F904" i="6"/>
  <c r="E904" i="6"/>
  <c r="C904" i="6"/>
  <c r="D904" i="6" s="1"/>
  <c r="B904" i="6"/>
  <c r="A904" i="6"/>
  <c r="K903" i="6"/>
  <c r="J903" i="6"/>
  <c r="I903" i="6"/>
  <c r="H903" i="6"/>
  <c r="G903" i="6"/>
  <c r="F903" i="6"/>
  <c r="E903" i="6"/>
  <c r="C903" i="6"/>
  <c r="D903" i="6" s="1"/>
  <c r="B903" i="6"/>
  <c r="A903" i="6"/>
  <c r="K902" i="6"/>
  <c r="J902" i="6"/>
  <c r="I902" i="6"/>
  <c r="H902" i="6"/>
  <c r="G902" i="6"/>
  <c r="F902" i="6"/>
  <c r="E902" i="6"/>
  <c r="C902" i="6"/>
  <c r="D902" i="6" s="1"/>
  <c r="B902" i="6"/>
  <c r="A902" i="6"/>
  <c r="K901" i="6"/>
  <c r="J901" i="6"/>
  <c r="I901" i="6"/>
  <c r="H901" i="6"/>
  <c r="G901" i="6"/>
  <c r="F901" i="6"/>
  <c r="E901" i="6"/>
  <c r="C901" i="6"/>
  <c r="D901" i="6" s="1"/>
  <c r="B901" i="6"/>
  <c r="A901" i="6"/>
  <c r="K900" i="6"/>
  <c r="J900" i="6"/>
  <c r="I900" i="6"/>
  <c r="H900" i="6"/>
  <c r="G900" i="6"/>
  <c r="F900" i="6"/>
  <c r="E900" i="6"/>
  <c r="C900" i="6"/>
  <c r="D900" i="6" s="1"/>
  <c r="B900" i="6"/>
  <c r="A900" i="6"/>
  <c r="K899" i="6"/>
  <c r="J899" i="6"/>
  <c r="I899" i="6"/>
  <c r="H899" i="6"/>
  <c r="G899" i="6"/>
  <c r="F899" i="6"/>
  <c r="E899" i="6"/>
  <c r="C899" i="6"/>
  <c r="D899" i="6" s="1"/>
  <c r="B899" i="6"/>
  <c r="A899" i="6"/>
  <c r="K898" i="6"/>
  <c r="J898" i="6"/>
  <c r="I898" i="6"/>
  <c r="H898" i="6"/>
  <c r="G898" i="6"/>
  <c r="F898" i="6"/>
  <c r="E898" i="6"/>
  <c r="C898" i="6"/>
  <c r="D898" i="6" s="1"/>
  <c r="B898" i="6"/>
  <c r="A898" i="6"/>
  <c r="K897" i="6"/>
  <c r="J897" i="6"/>
  <c r="I897" i="6"/>
  <c r="H897" i="6"/>
  <c r="G897" i="6"/>
  <c r="F897" i="6"/>
  <c r="E897" i="6"/>
  <c r="D897" i="6"/>
  <c r="C897" i="6"/>
  <c r="B897" i="6"/>
  <c r="A897" i="6"/>
  <c r="K896" i="6"/>
  <c r="J896" i="6"/>
  <c r="I896" i="6"/>
  <c r="H896" i="6"/>
  <c r="G896" i="6"/>
  <c r="F896" i="6"/>
  <c r="E896" i="6"/>
  <c r="C896" i="6"/>
  <c r="D896" i="6" s="1"/>
  <c r="B896" i="6"/>
  <c r="A896" i="6"/>
  <c r="K895" i="6"/>
  <c r="J895" i="6"/>
  <c r="I895" i="6"/>
  <c r="H895" i="6"/>
  <c r="G895" i="6"/>
  <c r="F895" i="6"/>
  <c r="E895" i="6"/>
  <c r="C895" i="6"/>
  <c r="D895" i="6" s="1"/>
  <c r="B895" i="6"/>
  <c r="A895" i="6"/>
  <c r="K894" i="6"/>
  <c r="J894" i="6"/>
  <c r="I894" i="6"/>
  <c r="H894" i="6"/>
  <c r="G894" i="6"/>
  <c r="F894" i="6"/>
  <c r="E894" i="6"/>
  <c r="C894" i="6"/>
  <c r="D894" i="6" s="1"/>
  <c r="B894" i="6"/>
  <c r="A894" i="6"/>
  <c r="K893" i="6"/>
  <c r="J893" i="6"/>
  <c r="I893" i="6"/>
  <c r="H893" i="6"/>
  <c r="G893" i="6"/>
  <c r="F893" i="6"/>
  <c r="E893" i="6"/>
  <c r="C893" i="6"/>
  <c r="D893" i="6" s="1"/>
  <c r="B893" i="6"/>
  <c r="A893" i="6"/>
  <c r="K892" i="6"/>
  <c r="J892" i="6"/>
  <c r="I892" i="6"/>
  <c r="H892" i="6"/>
  <c r="G892" i="6"/>
  <c r="F892" i="6"/>
  <c r="E892" i="6"/>
  <c r="C892" i="6"/>
  <c r="D892" i="6" s="1"/>
  <c r="B892" i="6"/>
  <c r="A892" i="6"/>
  <c r="K891" i="6"/>
  <c r="J891" i="6"/>
  <c r="I891" i="6"/>
  <c r="H891" i="6"/>
  <c r="G891" i="6"/>
  <c r="F891" i="6"/>
  <c r="E891" i="6"/>
  <c r="C891" i="6"/>
  <c r="D891" i="6" s="1"/>
  <c r="B891" i="6"/>
  <c r="A891" i="6"/>
  <c r="K890" i="6"/>
  <c r="J890" i="6"/>
  <c r="I890" i="6"/>
  <c r="H890" i="6"/>
  <c r="G890" i="6"/>
  <c r="F890" i="6"/>
  <c r="E890" i="6"/>
  <c r="C890" i="6"/>
  <c r="D890" i="6" s="1"/>
  <c r="B890" i="6"/>
  <c r="A890" i="6"/>
  <c r="K889" i="6"/>
  <c r="J889" i="6"/>
  <c r="I889" i="6"/>
  <c r="H889" i="6"/>
  <c r="G889" i="6"/>
  <c r="F889" i="6"/>
  <c r="E889" i="6"/>
  <c r="C889" i="6"/>
  <c r="D889" i="6" s="1"/>
  <c r="B889" i="6"/>
  <c r="A889" i="6"/>
  <c r="K888" i="6"/>
  <c r="J888" i="6"/>
  <c r="I888" i="6"/>
  <c r="H888" i="6"/>
  <c r="G888" i="6"/>
  <c r="F888" i="6"/>
  <c r="E888" i="6"/>
  <c r="C888" i="6"/>
  <c r="D888" i="6" s="1"/>
  <c r="B888" i="6"/>
  <c r="A888" i="6"/>
  <c r="K887" i="6"/>
  <c r="J887" i="6"/>
  <c r="I887" i="6"/>
  <c r="H887" i="6"/>
  <c r="G887" i="6"/>
  <c r="F887" i="6"/>
  <c r="E887" i="6"/>
  <c r="C887" i="6"/>
  <c r="D887" i="6" s="1"/>
  <c r="B887" i="6"/>
  <c r="A887" i="6"/>
  <c r="K886" i="6"/>
  <c r="J886" i="6"/>
  <c r="I886" i="6"/>
  <c r="H886" i="6"/>
  <c r="G886" i="6"/>
  <c r="F886" i="6"/>
  <c r="E886" i="6"/>
  <c r="C886" i="6"/>
  <c r="D886" i="6" s="1"/>
  <c r="B886" i="6"/>
  <c r="A886" i="6"/>
  <c r="K885" i="6"/>
  <c r="J885" i="6"/>
  <c r="I885" i="6"/>
  <c r="H885" i="6"/>
  <c r="G885" i="6"/>
  <c r="F885" i="6"/>
  <c r="E885" i="6"/>
  <c r="C885" i="6"/>
  <c r="D885" i="6" s="1"/>
  <c r="B885" i="6"/>
  <c r="A885" i="6"/>
  <c r="K884" i="6"/>
  <c r="J884" i="6"/>
  <c r="I884" i="6"/>
  <c r="H884" i="6"/>
  <c r="G884" i="6"/>
  <c r="F884" i="6"/>
  <c r="E884" i="6"/>
  <c r="C884" i="6"/>
  <c r="D884" i="6" s="1"/>
  <c r="B884" i="6"/>
  <c r="A884" i="6"/>
  <c r="K883" i="6"/>
  <c r="J883" i="6"/>
  <c r="I883" i="6"/>
  <c r="H883" i="6"/>
  <c r="G883" i="6"/>
  <c r="F883" i="6"/>
  <c r="E883" i="6"/>
  <c r="C883" i="6"/>
  <c r="D883" i="6" s="1"/>
  <c r="B883" i="6"/>
  <c r="A883" i="6"/>
  <c r="K882" i="6"/>
  <c r="J882" i="6"/>
  <c r="I882" i="6"/>
  <c r="H882" i="6"/>
  <c r="G882" i="6"/>
  <c r="F882" i="6"/>
  <c r="E882" i="6"/>
  <c r="C882" i="6"/>
  <c r="D882" i="6" s="1"/>
  <c r="B882" i="6"/>
  <c r="A882" i="6"/>
  <c r="K881" i="6"/>
  <c r="J881" i="6"/>
  <c r="I881" i="6"/>
  <c r="H881" i="6"/>
  <c r="G881" i="6"/>
  <c r="F881" i="6"/>
  <c r="E881" i="6"/>
  <c r="C881" i="6"/>
  <c r="D881" i="6" s="1"/>
  <c r="B881" i="6"/>
  <c r="A881" i="6"/>
  <c r="K880" i="6"/>
  <c r="J880" i="6"/>
  <c r="I880" i="6"/>
  <c r="H880" i="6"/>
  <c r="G880" i="6"/>
  <c r="F880" i="6"/>
  <c r="E880" i="6"/>
  <c r="C880" i="6"/>
  <c r="D880" i="6" s="1"/>
  <c r="B880" i="6"/>
  <c r="A880" i="6"/>
  <c r="K879" i="6"/>
  <c r="J879" i="6"/>
  <c r="I879" i="6"/>
  <c r="H879" i="6"/>
  <c r="G879" i="6"/>
  <c r="F879" i="6"/>
  <c r="E879" i="6"/>
  <c r="C879" i="6"/>
  <c r="D879" i="6" s="1"/>
  <c r="B879" i="6"/>
  <c r="A879" i="6"/>
  <c r="K878" i="6"/>
  <c r="J878" i="6"/>
  <c r="I878" i="6"/>
  <c r="H878" i="6"/>
  <c r="G878" i="6"/>
  <c r="F878" i="6"/>
  <c r="E878" i="6"/>
  <c r="C878" i="6"/>
  <c r="D878" i="6" s="1"/>
  <c r="B878" i="6"/>
  <c r="A878" i="6"/>
  <c r="K877" i="6"/>
  <c r="J877" i="6"/>
  <c r="I877" i="6"/>
  <c r="H877" i="6"/>
  <c r="G877" i="6"/>
  <c r="F877" i="6"/>
  <c r="E877" i="6"/>
  <c r="C877" i="6"/>
  <c r="D877" i="6" s="1"/>
  <c r="B877" i="6"/>
  <c r="A877" i="6"/>
  <c r="K876" i="6"/>
  <c r="J876" i="6"/>
  <c r="I876" i="6"/>
  <c r="H876" i="6"/>
  <c r="G876" i="6"/>
  <c r="F876" i="6"/>
  <c r="E876" i="6"/>
  <c r="C876" i="6"/>
  <c r="D876" i="6" s="1"/>
  <c r="B876" i="6"/>
  <c r="A876" i="6"/>
  <c r="K875" i="6"/>
  <c r="J875" i="6"/>
  <c r="I875" i="6"/>
  <c r="H875" i="6"/>
  <c r="G875" i="6"/>
  <c r="F875" i="6"/>
  <c r="E875" i="6"/>
  <c r="C875" i="6"/>
  <c r="D875" i="6" s="1"/>
  <c r="B875" i="6"/>
  <c r="A875" i="6"/>
  <c r="K874" i="6"/>
  <c r="J874" i="6"/>
  <c r="I874" i="6"/>
  <c r="H874" i="6"/>
  <c r="G874" i="6"/>
  <c r="F874" i="6"/>
  <c r="E874" i="6"/>
  <c r="C874" i="6"/>
  <c r="D874" i="6" s="1"/>
  <c r="B874" i="6"/>
  <c r="A874" i="6"/>
  <c r="K873" i="6"/>
  <c r="J873" i="6"/>
  <c r="I873" i="6"/>
  <c r="H873" i="6"/>
  <c r="G873" i="6"/>
  <c r="F873" i="6"/>
  <c r="E873" i="6"/>
  <c r="C873" i="6"/>
  <c r="D873" i="6" s="1"/>
  <c r="B873" i="6"/>
  <c r="A873" i="6"/>
  <c r="K872" i="6"/>
  <c r="J872" i="6"/>
  <c r="I872" i="6"/>
  <c r="H872" i="6"/>
  <c r="G872" i="6"/>
  <c r="F872" i="6"/>
  <c r="E872" i="6"/>
  <c r="C872" i="6"/>
  <c r="D872" i="6" s="1"/>
  <c r="B872" i="6"/>
  <c r="A872" i="6"/>
  <c r="K871" i="6"/>
  <c r="J871" i="6"/>
  <c r="I871" i="6"/>
  <c r="H871" i="6"/>
  <c r="G871" i="6"/>
  <c r="F871" i="6"/>
  <c r="E871" i="6"/>
  <c r="C871" i="6"/>
  <c r="D871" i="6" s="1"/>
  <c r="B871" i="6"/>
  <c r="A871" i="6"/>
  <c r="K870" i="6"/>
  <c r="J870" i="6"/>
  <c r="I870" i="6"/>
  <c r="H870" i="6"/>
  <c r="G870" i="6"/>
  <c r="F870" i="6"/>
  <c r="E870" i="6"/>
  <c r="C870" i="6"/>
  <c r="D870" i="6" s="1"/>
  <c r="B870" i="6"/>
  <c r="A870" i="6"/>
  <c r="K869" i="6"/>
  <c r="J869" i="6"/>
  <c r="I869" i="6"/>
  <c r="H869" i="6"/>
  <c r="G869" i="6"/>
  <c r="F869" i="6"/>
  <c r="E869" i="6"/>
  <c r="C869" i="6"/>
  <c r="D869" i="6" s="1"/>
  <c r="B869" i="6"/>
  <c r="A869" i="6"/>
  <c r="K868" i="6"/>
  <c r="J868" i="6"/>
  <c r="I868" i="6"/>
  <c r="H868" i="6"/>
  <c r="G868" i="6"/>
  <c r="F868" i="6"/>
  <c r="E868" i="6"/>
  <c r="C868" i="6"/>
  <c r="D868" i="6" s="1"/>
  <c r="B868" i="6"/>
  <c r="A868" i="6"/>
  <c r="K867" i="6"/>
  <c r="J867" i="6"/>
  <c r="I867" i="6"/>
  <c r="H867" i="6"/>
  <c r="G867" i="6"/>
  <c r="F867" i="6"/>
  <c r="E867" i="6"/>
  <c r="C867" i="6"/>
  <c r="D867" i="6" s="1"/>
  <c r="B867" i="6"/>
  <c r="A867" i="6"/>
  <c r="K866" i="6"/>
  <c r="J866" i="6"/>
  <c r="I866" i="6"/>
  <c r="H866" i="6"/>
  <c r="G866" i="6"/>
  <c r="F866" i="6"/>
  <c r="E866" i="6"/>
  <c r="C866" i="6"/>
  <c r="D866" i="6" s="1"/>
  <c r="B866" i="6"/>
  <c r="A866" i="6"/>
  <c r="K865" i="6"/>
  <c r="J865" i="6"/>
  <c r="I865" i="6"/>
  <c r="H865" i="6"/>
  <c r="G865" i="6"/>
  <c r="F865" i="6"/>
  <c r="E865" i="6"/>
  <c r="C865" i="6"/>
  <c r="D865" i="6" s="1"/>
  <c r="B865" i="6"/>
  <c r="A865" i="6"/>
  <c r="K864" i="6"/>
  <c r="J864" i="6"/>
  <c r="I864" i="6"/>
  <c r="H864" i="6"/>
  <c r="G864" i="6"/>
  <c r="F864" i="6"/>
  <c r="E864" i="6"/>
  <c r="C864" i="6"/>
  <c r="D864" i="6" s="1"/>
  <c r="B864" i="6"/>
  <c r="A864" i="6"/>
  <c r="K863" i="6"/>
  <c r="J863" i="6"/>
  <c r="I863" i="6"/>
  <c r="H863" i="6"/>
  <c r="G863" i="6"/>
  <c r="F863" i="6"/>
  <c r="E863" i="6"/>
  <c r="C863" i="6"/>
  <c r="D863" i="6" s="1"/>
  <c r="B863" i="6"/>
  <c r="A863" i="6"/>
  <c r="K862" i="6"/>
  <c r="J862" i="6"/>
  <c r="I862" i="6"/>
  <c r="H862" i="6"/>
  <c r="G862" i="6"/>
  <c r="F862" i="6"/>
  <c r="E862" i="6"/>
  <c r="C862" i="6"/>
  <c r="D862" i="6" s="1"/>
  <c r="B862" i="6"/>
  <c r="A862" i="6"/>
  <c r="K861" i="6"/>
  <c r="J861" i="6"/>
  <c r="I861" i="6"/>
  <c r="H861" i="6"/>
  <c r="G861" i="6"/>
  <c r="F861" i="6"/>
  <c r="E861" i="6"/>
  <c r="C861" i="6"/>
  <c r="D861" i="6" s="1"/>
  <c r="B861" i="6"/>
  <c r="A861" i="6"/>
  <c r="K860" i="6"/>
  <c r="J860" i="6"/>
  <c r="I860" i="6"/>
  <c r="H860" i="6"/>
  <c r="G860" i="6"/>
  <c r="F860" i="6"/>
  <c r="E860" i="6"/>
  <c r="C860" i="6"/>
  <c r="D860" i="6" s="1"/>
  <c r="B860" i="6"/>
  <c r="A860" i="6"/>
  <c r="K859" i="6"/>
  <c r="J859" i="6"/>
  <c r="I859" i="6"/>
  <c r="H859" i="6"/>
  <c r="G859" i="6"/>
  <c r="F859" i="6"/>
  <c r="E859" i="6"/>
  <c r="C859" i="6"/>
  <c r="D859" i="6" s="1"/>
  <c r="B859" i="6"/>
  <c r="A859" i="6"/>
  <c r="K858" i="6"/>
  <c r="J858" i="6"/>
  <c r="I858" i="6"/>
  <c r="H858" i="6"/>
  <c r="G858" i="6"/>
  <c r="F858" i="6"/>
  <c r="E858" i="6"/>
  <c r="C858" i="6"/>
  <c r="D858" i="6" s="1"/>
  <c r="B858" i="6"/>
  <c r="A858" i="6"/>
  <c r="K857" i="6"/>
  <c r="J857" i="6"/>
  <c r="I857" i="6"/>
  <c r="H857" i="6"/>
  <c r="G857" i="6"/>
  <c r="F857" i="6"/>
  <c r="E857" i="6"/>
  <c r="C857" i="6"/>
  <c r="D857" i="6" s="1"/>
  <c r="B857" i="6"/>
  <c r="A857" i="6"/>
  <c r="K856" i="6"/>
  <c r="J856" i="6"/>
  <c r="I856" i="6"/>
  <c r="H856" i="6"/>
  <c r="G856" i="6"/>
  <c r="F856" i="6"/>
  <c r="E856" i="6"/>
  <c r="C856" i="6"/>
  <c r="D856" i="6" s="1"/>
  <c r="B856" i="6"/>
  <c r="A856" i="6"/>
  <c r="K855" i="6"/>
  <c r="J855" i="6"/>
  <c r="I855" i="6"/>
  <c r="H855" i="6"/>
  <c r="G855" i="6"/>
  <c r="F855" i="6"/>
  <c r="E855" i="6"/>
  <c r="C855" i="6"/>
  <c r="D855" i="6" s="1"/>
  <c r="B855" i="6"/>
  <c r="A855" i="6"/>
  <c r="K854" i="6"/>
  <c r="J854" i="6"/>
  <c r="I854" i="6"/>
  <c r="H854" i="6"/>
  <c r="G854" i="6"/>
  <c r="F854" i="6"/>
  <c r="E854" i="6"/>
  <c r="C854" i="6"/>
  <c r="D854" i="6" s="1"/>
  <c r="B854" i="6"/>
  <c r="A854" i="6"/>
  <c r="K853" i="6"/>
  <c r="J853" i="6"/>
  <c r="I853" i="6"/>
  <c r="H853" i="6"/>
  <c r="G853" i="6"/>
  <c r="F853" i="6"/>
  <c r="E853" i="6"/>
  <c r="C853" i="6"/>
  <c r="D853" i="6" s="1"/>
  <c r="B853" i="6"/>
  <c r="A853" i="6"/>
  <c r="K852" i="6"/>
  <c r="J852" i="6"/>
  <c r="I852" i="6"/>
  <c r="H852" i="6"/>
  <c r="G852" i="6"/>
  <c r="F852" i="6"/>
  <c r="E852" i="6"/>
  <c r="C852" i="6"/>
  <c r="D852" i="6" s="1"/>
  <c r="B852" i="6"/>
  <c r="A852" i="6"/>
  <c r="K851" i="6"/>
  <c r="J851" i="6"/>
  <c r="I851" i="6"/>
  <c r="H851" i="6"/>
  <c r="G851" i="6"/>
  <c r="F851" i="6"/>
  <c r="E851" i="6"/>
  <c r="C851" i="6"/>
  <c r="D851" i="6" s="1"/>
  <c r="B851" i="6"/>
  <c r="A851" i="6"/>
  <c r="K850" i="6"/>
  <c r="J850" i="6"/>
  <c r="I850" i="6"/>
  <c r="H850" i="6"/>
  <c r="G850" i="6"/>
  <c r="F850" i="6"/>
  <c r="E850" i="6"/>
  <c r="C850" i="6"/>
  <c r="D850" i="6" s="1"/>
  <c r="B850" i="6"/>
  <c r="A850" i="6"/>
  <c r="K849" i="6"/>
  <c r="J849" i="6"/>
  <c r="I849" i="6"/>
  <c r="H849" i="6"/>
  <c r="G849" i="6"/>
  <c r="F849" i="6"/>
  <c r="E849" i="6"/>
  <c r="C849" i="6"/>
  <c r="D849" i="6" s="1"/>
  <c r="B849" i="6"/>
  <c r="A849" i="6"/>
  <c r="K848" i="6"/>
  <c r="J848" i="6"/>
  <c r="I848" i="6"/>
  <c r="H848" i="6"/>
  <c r="G848" i="6"/>
  <c r="F848" i="6"/>
  <c r="E848" i="6"/>
  <c r="D848" i="6"/>
  <c r="C848" i="6"/>
  <c r="B848" i="6"/>
  <c r="A848" i="6"/>
  <c r="K847" i="6"/>
  <c r="J847" i="6"/>
  <c r="I847" i="6"/>
  <c r="H847" i="6"/>
  <c r="G847" i="6"/>
  <c r="F847" i="6"/>
  <c r="E847" i="6"/>
  <c r="C847" i="6"/>
  <c r="D847" i="6" s="1"/>
  <c r="B847" i="6"/>
  <c r="A847" i="6"/>
  <c r="K846" i="6"/>
  <c r="J846" i="6"/>
  <c r="I846" i="6"/>
  <c r="H846" i="6"/>
  <c r="G846" i="6"/>
  <c r="F846" i="6"/>
  <c r="E846" i="6"/>
  <c r="C846" i="6"/>
  <c r="D846" i="6" s="1"/>
  <c r="B846" i="6"/>
  <c r="A846" i="6"/>
  <c r="K845" i="6"/>
  <c r="J845" i="6"/>
  <c r="I845" i="6"/>
  <c r="H845" i="6"/>
  <c r="G845" i="6"/>
  <c r="F845" i="6"/>
  <c r="E845" i="6"/>
  <c r="C845" i="6"/>
  <c r="D845" i="6" s="1"/>
  <c r="B845" i="6"/>
  <c r="A845" i="6"/>
  <c r="K844" i="6"/>
  <c r="J844" i="6"/>
  <c r="I844" i="6"/>
  <c r="H844" i="6"/>
  <c r="G844" i="6"/>
  <c r="F844" i="6"/>
  <c r="E844" i="6"/>
  <c r="C844" i="6"/>
  <c r="D844" i="6" s="1"/>
  <c r="B844" i="6"/>
  <c r="A844" i="6"/>
  <c r="K843" i="6"/>
  <c r="J843" i="6"/>
  <c r="I843" i="6"/>
  <c r="H843" i="6"/>
  <c r="G843" i="6"/>
  <c r="F843" i="6"/>
  <c r="E843" i="6"/>
  <c r="C843" i="6"/>
  <c r="D843" i="6" s="1"/>
  <c r="B843" i="6"/>
  <c r="A843" i="6"/>
  <c r="K842" i="6"/>
  <c r="J842" i="6"/>
  <c r="I842" i="6"/>
  <c r="H842" i="6"/>
  <c r="G842" i="6"/>
  <c r="F842" i="6"/>
  <c r="E842" i="6"/>
  <c r="C842" i="6"/>
  <c r="D842" i="6" s="1"/>
  <c r="B842" i="6"/>
  <c r="A842" i="6"/>
  <c r="K841" i="6"/>
  <c r="J841" i="6"/>
  <c r="I841" i="6"/>
  <c r="H841" i="6"/>
  <c r="G841" i="6"/>
  <c r="F841" i="6"/>
  <c r="E841" i="6"/>
  <c r="C841" i="6"/>
  <c r="D841" i="6" s="1"/>
  <c r="B841" i="6"/>
  <c r="A841" i="6"/>
  <c r="K840" i="6"/>
  <c r="J840" i="6"/>
  <c r="I840" i="6"/>
  <c r="H840" i="6"/>
  <c r="G840" i="6"/>
  <c r="F840" i="6"/>
  <c r="E840" i="6"/>
  <c r="C840" i="6"/>
  <c r="D840" i="6" s="1"/>
  <c r="B840" i="6"/>
  <c r="A840" i="6"/>
  <c r="K839" i="6"/>
  <c r="J839" i="6"/>
  <c r="I839" i="6"/>
  <c r="H839" i="6"/>
  <c r="G839" i="6"/>
  <c r="F839" i="6"/>
  <c r="E839" i="6"/>
  <c r="C839" i="6"/>
  <c r="D839" i="6" s="1"/>
  <c r="B839" i="6"/>
  <c r="A839" i="6"/>
  <c r="K838" i="6"/>
  <c r="J838" i="6"/>
  <c r="I838" i="6"/>
  <c r="H838" i="6"/>
  <c r="G838" i="6"/>
  <c r="F838" i="6"/>
  <c r="E838" i="6"/>
  <c r="C838" i="6"/>
  <c r="D838" i="6" s="1"/>
  <c r="B838" i="6"/>
  <c r="A838" i="6"/>
  <c r="K837" i="6"/>
  <c r="J837" i="6"/>
  <c r="I837" i="6"/>
  <c r="H837" i="6"/>
  <c r="G837" i="6"/>
  <c r="F837" i="6"/>
  <c r="E837" i="6"/>
  <c r="C837" i="6"/>
  <c r="D837" i="6" s="1"/>
  <c r="B837" i="6"/>
  <c r="A837" i="6"/>
  <c r="K836" i="6"/>
  <c r="J836" i="6"/>
  <c r="I836" i="6"/>
  <c r="H836" i="6"/>
  <c r="G836" i="6"/>
  <c r="F836" i="6"/>
  <c r="E836" i="6"/>
  <c r="C836" i="6"/>
  <c r="D836" i="6" s="1"/>
  <c r="B836" i="6"/>
  <c r="A836" i="6"/>
  <c r="K835" i="6"/>
  <c r="J835" i="6"/>
  <c r="I835" i="6"/>
  <c r="H835" i="6"/>
  <c r="G835" i="6"/>
  <c r="F835" i="6"/>
  <c r="E835" i="6"/>
  <c r="C835" i="6"/>
  <c r="D835" i="6" s="1"/>
  <c r="B835" i="6"/>
  <c r="A835" i="6"/>
  <c r="K834" i="6"/>
  <c r="J834" i="6"/>
  <c r="I834" i="6"/>
  <c r="H834" i="6"/>
  <c r="G834" i="6"/>
  <c r="F834" i="6"/>
  <c r="E834" i="6"/>
  <c r="C834" i="6"/>
  <c r="D834" i="6" s="1"/>
  <c r="B834" i="6"/>
  <c r="A834" i="6"/>
  <c r="K833" i="6"/>
  <c r="J833" i="6"/>
  <c r="I833" i="6"/>
  <c r="H833" i="6"/>
  <c r="G833" i="6"/>
  <c r="F833" i="6"/>
  <c r="E833" i="6"/>
  <c r="C833" i="6"/>
  <c r="D833" i="6" s="1"/>
  <c r="B833" i="6"/>
  <c r="A833" i="6"/>
  <c r="K832" i="6"/>
  <c r="J832" i="6"/>
  <c r="I832" i="6"/>
  <c r="H832" i="6"/>
  <c r="G832" i="6"/>
  <c r="F832" i="6"/>
  <c r="E832" i="6"/>
  <c r="C832" i="6"/>
  <c r="D832" i="6" s="1"/>
  <c r="B832" i="6"/>
  <c r="A832" i="6"/>
  <c r="K831" i="6"/>
  <c r="J831" i="6"/>
  <c r="I831" i="6"/>
  <c r="H831" i="6"/>
  <c r="G831" i="6"/>
  <c r="F831" i="6"/>
  <c r="E831" i="6"/>
  <c r="C831" i="6"/>
  <c r="D831" i="6" s="1"/>
  <c r="B831" i="6"/>
  <c r="A831" i="6"/>
  <c r="K830" i="6"/>
  <c r="J830" i="6"/>
  <c r="I830" i="6"/>
  <c r="H830" i="6"/>
  <c r="G830" i="6"/>
  <c r="F830" i="6"/>
  <c r="E830" i="6"/>
  <c r="C830" i="6"/>
  <c r="D830" i="6" s="1"/>
  <c r="B830" i="6"/>
  <c r="A830" i="6"/>
  <c r="K829" i="6"/>
  <c r="J829" i="6"/>
  <c r="I829" i="6"/>
  <c r="H829" i="6"/>
  <c r="G829" i="6"/>
  <c r="F829" i="6"/>
  <c r="E829" i="6"/>
  <c r="C829" i="6"/>
  <c r="D829" i="6" s="1"/>
  <c r="B829" i="6"/>
  <c r="A829" i="6"/>
  <c r="K828" i="6"/>
  <c r="J828" i="6"/>
  <c r="I828" i="6"/>
  <c r="H828" i="6"/>
  <c r="G828" i="6"/>
  <c r="F828" i="6"/>
  <c r="E828" i="6"/>
  <c r="C828" i="6"/>
  <c r="D828" i="6" s="1"/>
  <c r="B828" i="6"/>
  <c r="A828" i="6"/>
  <c r="K827" i="6"/>
  <c r="J827" i="6"/>
  <c r="I827" i="6"/>
  <c r="H827" i="6"/>
  <c r="G827" i="6"/>
  <c r="F827" i="6"/>
  <c r="E827" i="6"/>
  <c r="C827" i="6"/>
  <c r="D827" i="6" s="1"/>
  <c r="B827" i="6"/>
  <c r="A827" i="6"/>
  <c r="K826" i="6"/>
  <c r="J826" i="6"/>
  <c r="I826" i="6"/>
  <c r="H826" i="6"/>
  <c r="G826" i="6"/>
  <c r="F826" i="6"/>
  <c r="E826" i="6"/>
  <c r="C826" i="6"/>
  <c r="D826" i="6" s="1"/>
  <c r="B826" i="6"/>
  <c r="A826" i="6"/>
  <c r="K825" i="6"/>
  <c r="J825" i="6"/>
  <c r="I825" i="6"/>
  <c r="H825" i="6"/>
  <c r="G825" i="6"/>
  <c r="F825" i="6"/>
  <c r="E825" i="6"/>
  <c r="C825" i="6"/>
  <c r="D825" i="6" s="1"/>
  <c r="B825" i="6"/>
  <c r="A825" i="6"/>
  <c r="K824" i="6"/>
  <c r="J824" i="6"/>
  <c r="I824" i="6"/>
  <c r="H824" i="6"/>
  <c r="G824" i="6"/>
  <c r="F824" i="6"/>
  <c r="E824" i="6"/>
  <c r="C824" i="6"/>
  <c r="D824" i="6" s="1"/>
  <c r="B824" i="6"/>
  <c r="A824" i="6"/>
  <c r="K823" i="6"/>
  <c r="J823" i="6"/>
  <c r="I823" i="6"/>
  <c r="H823" i="6"/>
  <c r="G823" i="6"/>
  <c r="F823" i="6"/>
  <c r="E823" i="6"/>
  <c r="C823" i="6"/>
  <c r="D823" i="6" s="1"/>
  <c r="B823" i="6"/>
  <c r="A823" i="6"/>
  <c r="K822" i="6"/>
  <c r="J822" i="6"/>
  <c r="I822" i="6"/>
  <c r="H822" i="6"/>
  <c r="G822" i="6"/>
  <c r="F822" i="6"/>
  <c r="E822" i="6"/>
  <c r="C822" i="6"/>
  <c r="D822" i="6" s="1"/>
  <c r="B822" i="6"/>
  <c r="A822" i="6"/>
  <c r="K821" i="6"/>
  <c r="J821" i="6"/>
  <c r="I821" i="6"/>
  <c r="H821" i="6"/>
  <c r="G821" i="6"/>
  <c r="F821" i="6"/>
  <c r="E821" i="6"/>
  <c r="C821" i="6"/>
  <c r="D821" i="6" s="1"/>
  <c r="B821" i="6"/>
  <c r="A821" i="6"/>
  <c r="K820" i="6"/>
  <c r="J820" i="6"/>
  <c r="I820" i="6"/>
  <c r="H820" i="6"/>
  <c r="G820" i="6"/>
  <c r="F820" i="6"/>
  <c r="E820" i="6"/>
  <c r="C820" i="6"/>
  <c r="D820" i="6" s="1"/>
  <c r="B820" i="6"/>
  <c r="A820" i="6"/>
  <c r="K819" i="6"/>
  <c r="J819" i="6"/>
  <c r="I819" i="6"/>
  <c r="H819" i="6"/>
  <c r="G819" i="6"/>
  <c r="F819" i="6"/>
  <c r="E819" i="6"/>
  <c r="C819" i="6"/>
  <c r="D819" i="6" s="1"/>
  <c r="B819" i="6"/>
  <c r="A819" i="6"/>
  <c r="K818" i="6"/>
  <c r="J818" i="6"/>
  <c r="I818" i="6"/>
  <c r="H818" i="6"/>
  <c r="G818" i="6"/>
  <c r="F818" i="6"/>
  <c r="E818" i="6"/>
  <c r="C818" i="6"/>
  <c r="D818" i="6" s="1"/>
  <c r="B818" i="6"/>
  <c r="A818" i="6"/>
  <c r="K817" i="6"/>
  <c r="J817" i="6"/>
  <c r="I817" i="6"/>
  <c r="H817" i="6"/>
  <c r="G817" i="6"/>
  <c r="F817" i="6"/>
  <c r="E817" i="6"/>
  <c r="C817" i="6"/>
  <c r="D817" i="6" s="1"/>
  <c r="B817" i="6"/>
  <c r="A817" i="6"/>
  <c r="K816" i="6"/>
  <c r="J816" i="6"/>
  <c r="I816" i="6"/>
  <c r="H816" i="6"/>
  <c r="G816" i="6"/>
  <c r="F816" i="6"/>
  <c r="E816" i="6"/>
  <c r="C816" i="6"/>
  <c r="D816" i="6" s="1"/>
  <c r="B816" i="6"/>
  <c r="A816" i="6"/>
  <c r="K815" i="6"/>
  <c r="J815" i="6"/>
  <c r="I815" i="6"/>
  <c r="H815" i="6"/>
  <c r="G815" i="6"/>
  <c r="F815" i="6"/>
  <c r="E815" i="6"/>
  <c r="C815" i="6"/>
  <c r="D815" i="6" s="1"/>
  <c r="B815" i="6"/>
  <c r="A815" i="6"/>
  <c r="K814" i="6"/>
  <c r="J814" i="6"/>
  <c r="I814" i="6"/>
  <c r="H814" i="6"/>
  <c r="G814" i="6"/>
  <c r="F814" i="6"/>
  <c r="E814" i="6"/>
  <c r="C814" i="6"/>
  <c r="D814" i="6" s="1"/>
  <c r="B814" i="6"/>
  <c r="A814" i="6"/>
  <c r="K813" i="6"/>
  <c r="J813" i="6"/>
  <c r="I813" i="6"/>
  <c r="H813" i="6"/>
  <c r="G813" i="6"/>
  <c r="F813" i="6"/>
  <c r="E813" i="6"/>
  <c r="C813" i="6"/>
  <c r="D813" i="6" s="1"/>
  <c r="B813" i="6"/>
  <c r="A813" i="6"/>
  <c r="K812" i="6"/>
  <c r="J812" i="6"/>
  <c r="I812" i="6"/>
  <c r="H812" i="6"/>
  <c r="G812" i="6"/>
  <c r="F812" i="6"/>
  <c r="E812" i="6"/>
  <c r="C812" i="6"/>
  <c r="D812" i="6" s="1"/>
  <c r="B812" i="6"/>
  <c r="A812" i="6"/>
  <c r="K811" i="6"/>
  <c r="J811" i="6"/>
  <c r="I811" i="6"/>
  <c r="H811" i="6"/>
  <c r="G811" i="6"/>
  <c r="F811" i="6"/>
  <c r="E811" i="6"/>
  <c r="C811" i="6"/>
  <c r="D811" i="6" s="1"/>
  <c r="B811" i="6"/>
  <c r="A811" i="6"/>
  <c r="K810" i="6"/>
  <c r="J810" i="6"/>
  <c r="I810" i="6"/>
  <c r="H810" i="6"/>
  <c r="G810" i="6"/>
  <c r="F810" i="6"/>
  <c r="E810" i="6"/>
  <c r="C810" i="6"/>
  <c r="D810" i="6" s="1"/>
  <c r="B810" i="6"/>
  <c r="A810" i="6"/>
  <c r="K809" i="6"/>
  <c r="J809" i="6"/>
  <c r="I809" i="6"/>
  <c r="H809" i="6"/>
  <c r="G809" i="6"/>
  <c r="F809" i="6"/>
  <c r="E809" i="6"/>
  <c r="C809" i="6"/>
  <c r="D809" i="6" s="1"/>
  <c r="B809" i="6"/>
  <c r="A809" i="6"/>
  <c r="K808" i="6"/>
  <c r="J808" i="6"/>
  <c r="I808" i="6"/>
  <c r="H808" i="6"/>
  <c r="G808" i="6"/>
  <c r="F808" i="6"/>
  <c r="E808" i="6"/>
  <c r="C808" i="6"/>
  <c r="D808" i="6" s="1"/>
  <c r="B808" i="6"/>
  <c r="A808" i="6"/>
  <c r="K807" i="6"/>
  <c r="J807" i="6"/>
  <c r="I807" i="6"/>
  <c r="H807" i="6"/>
  <c r="G807" i="6"/>
  <c r="F807" i="6"/>
  <c r="E807" i="6"/>
  <c r="C807" i="6"/>
  <c r="D807" i="6" s="1"/>
  <c r="B807" i="6"/>
  <c r="A807" i="6"/>
  <c r="K806" i="6"/>
  <c r="J806" i="6"/>
  <c r="I806" i="6"/>
  <c r="H806" i="6"/>
  <c r="G806" i="6"/>
  <c r="F806" i="6"/>
  <c r="E806" i="6"/>
  <c r="C806" i="6"/>
  <c r="D806" i="6" s="1"/>
  <c r="B806" i="6"/>
  <c r="A806" i="6"/>
  <c r="K805" i="6"/>
  <c r="J805" i="6"/>
  <c r="I805" i="6"/>
  <c r="H805" i="6"/>
  <c r="G805" i="6"/>
  <c r="F805" i="6"/>
  <c r="E805" i="6"/>
  <c r="C805" i="6"/>
  <c r="D805" i="6" s="1"/>
  <c r="B805" i="6"/>
  <c r="A805" i="6"/>
  <c r="K804" i="6"/>
  <c r="J804" i="6"/>
  <c r="I804" i="6"/>
  <c r="H804" i="6"/>
  <c r="G804" i="6"/>
  <c r="F804" i="6"/>
  <c r="E804" i="6"/>
  <c r="C804" i="6"/>
  <c r="D804" i="6" s="1"/>
  <c r="B804" i="6"/>
  <c r="A804" i="6"/>
  <c r="K803" i="6"/>
  <c r="J803" i="6"/>
  <c r="I803" i="6"/>
  <c r="H803" i="6"/>
  <c r="G803" i="6"/>
  <c r="F803" i="6"/>
  <c r="E803" i="6"/>
  <c r="C803" i="6"/>
  <c r="D803" i="6" s="1"/>
  <c r="B803" i="6"/>
  <c r="A803" i="6"/>
  <c r="K802" i="6"/>
  <c r="J802" i="6"/>
  <c r="I802" i="6"/>
  <c r="H802" i="6"/>
  <c r="G802" i="6"/>
  <c r="F802" i="6"/>
  <c r="E802" i="6"/>
  <c r="C802" i="6"/>
  <c r="D802" i="6" s="1"/>
  <c r="B802" i="6"/>
  <c r="A802" i="6"/>
  <c r="K801" i="6"/>
  <c r="J801" i="6"/>
  <c r="I801" i="6"/>
  <c r="H801" i="6"/>
  <c r="G801" i="6"/>
  <c r="F801" i="6"/>
  <c r="E801" i="6"/>
  <c r="C801" i="6"/>
  <c r="D801" i="6" s="1"/>
  <c r="B801" i="6"/>
  <c r="A801" i="6"/>
  <c r="K800" i="6"/>
  <c r="J800" i="6"/>
  <c r="I800" i="6"/>
  <c r="H800" i="6"/>
  <c r="G800" i="6"/>
  <c r="F800" i="6"/>
  <c r="E800" i="6"/>
  <c r="C800" i="6"/>
  <c r="D800" i="6" s="1"/>
  <c r="B800" i="6"/>
  <c r="A800" i="6"/>
  <c r="K799" i="6"/>
  <c r="J799" i="6"/>
  <c r="I799" i="6"/>
  <c r="H799" i="6"/>
  <c r="G799" i="6"/>
  <c r="F799" i="6"/>
  <c r="E799" i="6"/>
  <c r="C799" i="6"/>
  <c r="D799" i="6" s="1"/>
  <c r="B799" i="6"/>
  <c r="A799" i="6"/>
  <c r="K798" i="6"/>
  <c r="J798" i="6"/>
  <c r="I798" i="6"/>
  <c r="H798" i="6"/>
  <c r="G798" i="6"/>
  <c r="F798" i="6"/>
  <c r="E798" i="6"/>
  <c r="C798" i="6"/>
  <c r="D798" i="6" s="1"/>
  <c r="B798" i="6"/>
  <c r="A798" i="6"/>
  <c r="K797" i="6"/>
  <c r="J797" i="6"/>
  <c r="I797" i="6"/>
  <c r="H797" i="6"/>
  <c r="G797" i="6"/>
  <c r="F797" i="6"/>
  <c r="E797" i="6"/>
  <c r="C797" i="6"/>
  <c r="D797" i="6" s="1"/>
  <c r="B797" i="6"/>
  <c r="A797" i="6"/>
  <c r="K796" i="6"/>
  <c r="J796" i="6"/>
  <c r="I796" i="6"/>
  <c r="H796" i="6"/>
  <c r="G796" i="6"/>
  <c r="F796" i="6"/>
  <c r="E796" i="6"/>
  <c r="C796" i="6"/>
  <c r="D796" i="6" s="1"/>
  <c r="B796" i="6"/>
  <c r="A796" i="6"/>
  <c r="K795" i="6"/>
  <c r="J795" i="6"/>
  <c r="I795" i="6"/>
  <c r="H795" i="6"/>
  <c r="G795" i="6"/>
  <c r="F795" i="6"/>
  <c r="E795" i="6"/>
  <c r="C795" i="6"/>
  <c r="D795" i="6" s="1"/>
  <c r="B795" i="6"/>
  <c r="A795" i="6"/>
  <c r="K794" i="6"/>
  <c r="J794" i="6"/>
  <c r="I794" i="6"/>
  <c r="H794" i="6"/>
  <c r="G794" i="6"/>
  <c r="F794" i="6"/>
  <c r="E794" i="6"/>
  <c r="C794" i="6"/>
  <c r="D794" i="6" s="1"/>
  <c r="B794" i="6"/>
  <c r="A794" i="6"/>
  <c r="K793" i="6"/>
  <c r="J793" i="6"/>
  <c r="I793" i="6"/>
  <c r="H793" i="6"/>
  <c r="G793" i="6"/>
  <c r="F793" i="6"/>
  <c r="E793" i="6"/>
  <c r="C793" i="6"/>
  <c r="D793" i="6" s="1"/>
  <c r="B793" i="6"/>
  <c r="A793" i="6"/>
  <c r="K792" i="6"/>
  <c r="J792" i="6"/>
  <c r="I792" i="6"/>
  <c r="H792" i="6"/>
  <c r="G792" i="6"/>
  <c r="F792" i="6"/>
  <c r="E792" i="6"/>
  <c r="C792" i="6"/>
  <c r="D792" i="6" s="1"/>
  <c r="B792" i="6"/>
  <c r="A792" i="6"/>
  <c r="K791" i="6"/>
  <c r="J791" i="6"/>
  <c r="I791" i="6"/>
  <c r="H791" i="6"/>
  <c r="G791" i="6"/>
  <c r="F791" i="6"/>
  <c r="E791" i="6"/>
  <c r="C791" i="6"/>
  <c r="D791" i="6" s="1"/>
  <c r="B791" i="6"/>
  <c r="A791" i="6"/>
  <c r="K790" i="6"/>
  <c r="J790" i="6"/>
  <c r="I790" i="6"/>
  <c r="H790" i="6"/>
  <c r="G790" i="6"/>
  <c r="F790" i="6"/>
  <c r="E790" i="6"/>
  <c r="C790" i="6"/>
  <c r="D790" i="6" s="1"/>
  <c r="B790" i="6"/>
  <c r="A790" i="6"/>
  <c r="K789" i="6"/>
  <c r="J789" i="6"/>
  <c r="I789" i="6"/>
  <c r="H789" i="6"/>
  <c r="G789" i="6"/>
  <c r="F789" i="6"/>
  <c r="E789" i="6"/>
  <c r="C789" i="6"/>
  <c r="D789" i="6" s="1"/>
  <c r="B789" i="6"/>
  <c r="A789" i="6"/>
  <c r="K788" i="6"/>
  <c r="J788" i="6"/>
  <c r="I788" i="6"/>
  <c r="H788" i="6"/>
  <c r="G788" i="6"/>
  <c r="F788" i="6"/>
  <c r="E788" i="6"/>
  <c r="C788" i="6"/>
  <c r="D788" i="6" s="1"/>
  <c r="B788" i="6"/>
  <c r="A788" i="6"/>
  <c r="K787" i="6"/>
  <c r="J787" i="6"/>
  <c r="I787" i="6"/>
  <c r="H787" i="6"/>
  <c r="G787" i="6"/>
  <c r="F787" i="6"/>
  <c r="E787" i="6"/>
  <c r="C787" i="6"/>
  <c r="D787" i="6" s="1"/>
  <c r="B787" i="6"/>
  <c r="A787" i="6"/>
  <c r="K786" i="6"/>
  <c r="J786" i="6"/>
  <c r="I786" i="6"/>
  <c r="H786" i="6"/>
  <c r="G786" i="6"/>
  <c r="F786" i="6"/>
  <c r="E786" i="6"/>
  <c r="C786" i="6"/>
  <c r="D786" i="6" s="1"/>
  <c r="B786" i="6"/>
  <c r="A786" i="6"/>
  <c r="K785" i="6"/>
  <c r="J785" i="6"/>
  <c r="I785" i="6"/>
  <c r="H785" i="6"/>
  <c r="G785" i="6"/>
  <c r="F785" i="6"/>
  <c r="E785" i="6"/>
  <c r="C785" i="6"/>
  <c r="D785" i="6" s="1"/>
  <c r="B785" i="6"/>
  <c r="A785" i="6"/>
  <c r="K784" i="6"/>
  <c r="J784" i="6"/>
  <c r="I784" i="6"/>
  <c r="H784" i="6"/>
  <c r="G784" i="6"/>
  <c r="F784" i="6"/>
  <c r="E784" i="6"/>
  <c r="D784" i="6"/>
  <c r="C784" i="6"/>
  <c r="B784" i="6"/>
  <c r="A784" i="6"/>
  <c r="K783" i="6"/>
  <c r="J783" i="6"/>
  <c r="I783" i="6"/>
  <c r="H783" i="6"/>
  <c r="G783" i="6"/>
  <c r="F783" i="6"/>
  <c r="E783" i="6"/>
  <c r="C783" i="6"/>
  <c r="D783" i="6" s="1"/>
  <c r="B783" i="6"/>
  <c r="A783" i="6"/>
  <c r="K782" i="6"/>
  <c r="J782" i="6"/>
  <c r="I782" i="6"/>
  <c r="H782" i="6"/>
  <c r="G782" i="6"/>
  <c r="F782" i="6"/>
  <c r="E782" i="6"/>
  <c r="C782" i="6"/>
  <c r="D782" i="6" s="1"/>
  <c r="B782" i="6"/>
  <c r="A782" i="6"/>
  <c r="K781" i="6"/>
  <c r="J781" i="6"/>
  <c r="I781" i="6"/>
  <c r="H781" i="6"/>
  <c r="G781" i="6"/>
  <c r="F781" i="6"/>
  <c r="E781" i="6"/>
  <c r="C781" i="6"/>
  <c r="D781" i="6" s="1"/>
  <c r="B781" i="6"/>
  <c r="A781" i="6"/>
  <c r="K780" i="6"/>
  <c r="J780" i="6"/>
  <c r="I780" i="6"/>
  <c r="H780" i="6"/>
  <c r="G780" i="6"/>
  <c r="F780" i="6"/>
  <c r="E780" i="6"/>
  <c r="C780" i="6"/>
  <c r="D780" i="6" s="1"/>
  <c r="B780" i="6"/>
  <c r="A780" i="6"/>
  <c r="K779" i="6"/>
  <c r="J779" i="6"/>
  <c r="I779" i="6"/>
  <c r="H779" i="6"/>
  <c r="G779" i="6"/>
  <c r="F779" i="6"/>
  <c r="E779" i="6"/>
  <c r="C779" i="6"/>
  <c r="D779" i="6" s="1"/>
  <c r="B779" i="6"/>
  <c r="A779" i="6"/>
  <c r="K778" i="6"/>
  <c r="J778" i="6"/>
  <c r="I778" i="6"/>
  <c r="H778" i="6"/>
  <c r="G778" i="6"/>
  <c r="F778" i="6"/>
  <c r="E778" i="6"/>
  <c r="C778" i="6"/>
  <c r="D778" i="6" s="1"/>
  <c r="B778" i="6"/>
  <c r="A778" i="6"/>
  <c r="K777" i="6"/>
  <c r="J777" i="6"/>
  <c r="I777" i="6"/>
  <c r="H777" i="6"/>
  <c r="G777" i="6"/>
  <c r="F777" i="6"/>
  <c r="E777" i="6"/>
  <c r="C777" i="6"/>
  <c r="D777" i="6" s="1"/>
  <c r="B777" i="6"/>
  <c r="A777" i="6"/>
  <c r="K776" i="6"/>
  <c r="J776" i="6"/>
  <c r="I776" i="6"/>
  <c r="H776" i="6"/>
  <c r="G776" i="6"/>
  <c r="F776" i="6"/>
  <c r="E776" i="6"/>
  <c r="C776" i="6"/>
  <c r="D776" i="6" s="1"/>
  <c r="B776" i="6"/>
  <c r="A776" i="6"/>
  <c r="K775" i="6"/>
  <c r="J775" i="6"/>
  <c r="I775" i="6"/>
  <c r="H775" i="6"/>
  <c r="G775" i="6"/>
  <c r="F775" i="6"/>
  <c r="E775" i="6"/>
  <c r="C775" i="6"/>
  <c r="D775" i="6" s="1"/>
  <c r="B775" i="6"/>
  <c r="A775" i="6"/>
  <c r="K774" i="6"/>
  <c r="J774" i="6"/>
  <c r="I774" i="6"/>
  <c r="H774" i="6"/>
  <c r="G774" i="6"/>
  <c r="F774" i="6"/>
  <c r="E774" i="6"/>
  <c r="C774" i="6"/>
  <c r="D774" i="6" s="1"/>
  <c r="B774" i="6"/>
  <c r="A774" i="6"/>
  <c r="K773" i="6"/>
  <c r="J773" i="6"/>
  <c r="I773" i="6"/>
  <c r="H773" i="6"/>
  <c r="G773" i="6"/>
  <c r="F773" i="6"/>
  <c r="E773" i="6"/>
  <c r="C773" i="6"/>
  <c r="D773" i="6" s="1"/>
  <c r="B773" i="6"/>
  <c r="A773" i="6"/>
  <c r="K772" i="6"/>
  <c r="J772" i="6"/>
  <c r="I772" i="6"/>
  <c r="H772" i="6"/>
  <c r="G772" i="6"/>
  <c r="F772" i="6"/>
  <c r="E772" i="6"/>
  <c r="C772" i="6"/>
  <c r="D772" i="6" s="1"/>
  <c r="B772" i="6"/>
  <c r="A772" i="6"/>
  <c r="K771" i="6"/>
  <c r="J771" i="6"/>
  <c r="I771" i="6"/>
  <c r="H771" i="6"/>
  <c r="G771" i="6"/>
  <c r="F771" i="6"/>
  <c r="E771" i="6"/>
  <c r="C771" i="6"/>
  <c r="D771" i="6" s="1"/>
  <c r="B771" i="6"/>
  <c r="A771" i="6"/>
  <c r="K770" i="6"/>
  <c r="J770" i="6"/>
  <c r="I770" i="6"/>
  <c r="H770" i="6"/>
  <c r="G770" i="6"/>
  <c r="F770" i="6"/>
  <c r="E770" i="6"/>
  <c r="C770" i="6"/>
  <c r="D770" i="6" s="1"/>
  <c r="B770" i="6"/>
  <c r="A770" i="6"/>
  <c r="K769" i="6"/>
  <c r="J769" i="6"/>
  <c r="I769" i="6"/>
  <c r="H769" i="6"/>
  <c r="G769" i="6"/>
  <c r="F769" i="6"/>
  <c r="E769" i="6"/>
  <c r="C769" i="6"/>
  <c r="D769" i="6" s="1"/>
  <c r="B769" i="6"/>
  <c r="A769" i="6"/>
  <c r="K768" i="6"/>
  <c r="J768" i="6"/>
  <c r="I768" i="6"/>
  <c r="H768" i="6"/>
  <c r="G768" i="6"/>
  <c r="F768" i="6"/>
  <c r="E768" i="6"/>
  <c r="C768" i="6"/>
  <c r="D768" i="6" s="1"/>
  <c r="B768" i="6"/>
  <c r="A768" i="6"/>
  <c r="K767" i="6"/>
  <c r="J767" i="6"/>
  <c r="I767" i="6"/>
  <c r="H767" i="6"/>
  <c r="G767" i="6"/>
  <c r="F767" i="6"/>
  <c r="E767" i="6"/>
  <c r="C767" i="6"/>
  <c r="D767" i="6" s="1"/>
  <c r="B767" i="6"/>
  <c r="A767" i="6"/>
  <c r="K766" i="6"/>
  <c r="J766" i="6"/>
  <c r="I766" i="6"/>
  <c r="H766" i="6"/>
  <c r="G766" i="6"/>
  <c r="F766" i="6"/>
  <c r="E766" i="6"/>
  <c r="C766" i="6"/>
  <c r="D766" i="6" s="1"/>
  <c r="B766" i="6"/>
  <c r="A766" i="6"/>
  <c r="K765" i="6"/>
  <c r="J765" i="6"/>
  <c r="I765" i="6"/>
  <c r="H765" i="6"/>
  <c r="G765" i="6"/>
  <c r="F765" i="6"/>
  <c r="E765" i="6"/>
  <c r="C765" i="6"/>
  <c r="D765" i="6" s="1"/>
  <c r="B765" i="6"/>
  <c r="A765" i="6"/>
  <c r="K764" i="6"/>
  <c r="J764" i="6"/>
  <c r="I764" i="6"/>
  <c r="H764" i="6"/>
  <c r="G764" i="6"/>
  <c r="F764" i="6"/>
  <c r="E764" i="6"/>
  <c r="C764" i="6"/>
  <c r="D764" i="6" s="1"/>
  <c r="B764" i="6"/>
  <c r="A764" i="6"/>
  <c r="K763" i="6"/>
  <c r="J763" i="6"/>
  <c r="I763" i="6"/>
  <c r="H763" i="6"/>
  <c r="G763" i="6"/>
  <c r="F763" i="6"/>
  <c r="E763" i="6"/>
  <c r="C763" i="6"/>
  <c r="D763" i="6" s="1"/>
  <c r="B763" i="6"/>
  <c r="A763" i="6"/>
  <c r="K762" i="6"/>
  <c r="J762" i="6"/>
  <c r="I762" i="6"/>
  <c r="H762" i="6"/>
  <c r="G762" i="6"/>
  <c r="F762" i="6"/>
  <c r="E762" i="6"/>
  <c r="C762" i="6"/>
  <c r="D762" i="6" s="1"/>
  <c r="B762" i="6"/>
  <c r="A762" i="6"/>
  <c r="K761" i="6"/>
  <c r="J761" i="6"/>
  <c r="I761" i="6"/>
  <c r="H761" i="6"/>
  <c r="G761" i="6"/>
  <c r="F761" i="6"/>
  <c r="E761" i="6"/>
  <c r="C761" i="6"/>
  <c r="D761" i="6" s="1"/>
  <c r="B761" i="6"/>
  <c r="A761" i="6"/>
  <c r="K760" i="6"/>
  <c r="J760" i="6"/>
  <c r="I760" i="6"/>
  <c r="H760" i="6"/>
  <c r="G760" i="6"/>
  <c r="F760" i="6"/>
  <c r="E760" i="6"/>
  <c r="C760" i="6"/>
  <c r="D760" i="6" s="1"/>
  <c r="B760" i="6"/>
  <c r="A760" i="6"/>
  <c r="K759" i="6"/>
  <c r="J759" i="6"/>
  <c r="I759" i="6"/>
  <c r="H759" i="6"/>
  <c r="G759" i="6"/>
  <c r="F759" i="6"/>
  <c r="E759" i="6"/>
  <c r="C759" i="6"/>
  <c r="D759" i="6" s="1"/>
  <c r="B759" i="6"/>
  <c r="A759" i="6"/>
  <c r="K758" i="6"/>
  <c r="J758" i="6"/>
  <c r="I758" i="6"/>
  <c r="H758" i="6"/>
  <c r="G758" i="6"/>
  <c r="F758" i="6"/>
  <c r="E758" i="6"/>
  <c r="D758" i="6"/>
  <c r="C758" i="6"/>
  <c r="B758" i="6"/>
  <c r="A758" i="6"/>
  <c r="K757" i="6"/>
  <c r="J757" i="6"/>
  <c r="I757" i="6"/>
  <c r="H757" i="6"/>
  <c r="G757" i="6"/>
  <c r="F757" i="6"/>
  <c r="E757" i="6"/>
  <c r="C757" i="6"/>
  <c r="D757" i="6" s="1"/>
  <c r="B757" i="6"/>
  <c r="A757" i="6"/>
  <c r="K756" i="6"/>
  <c r="J756" i="6"/>
  <c r="I756" i="6"/>
  <c r="H756" i="6"/>
  <c r="G756" i="6"/>
  <c r="F756" i="6"/>
  <c r="E756" i="6"/>
  <c r="C756" i="6"/>
  <c r="D756" i="6" s="1"/>
  <c r="B756" i="6"/>
  <c r="A756" i="6"/>
  <c r="K755" i="6"/>
  <c r="J755" i="6"/>
  <c r="I755" i="6"/>
  <c r="H755" i="6"/>
  <c r="G755" i="6"/>
  <c r="F755" i="6"/>
  <c r="E755" i="6"/>
  <c r="C755" i="6"/>
  <c r="D755" i="6" s="1"/>
  <c r="B755" i="6"/>
  <c r="A755" i="6"/>
  <c r="K754" i="6"/>
  <c r="J754" i="6"/>
  <c r="I754" i="6"/>
  <c r="H754" i="6"/>
  <c r="G754" i="6"/>
  <c r="F754" i="6"/>
  <c r="E754" i="6"/>
  <c r="C754" i="6"/>
  <c r="D754" i="6" s="1"/>
  <c r="B754" i="6"/>
  <c r="A754" i="6"/>
  <c r="K753" i="6"/>
  <c r="J753" i="6"/>
  <c r="I753" i="6"/>
  <c r="H753" i="6"/>
  <c r="G753" i="6"/>
  <c r="F753" i="6"/>
  <c r="E753" i="6"/>
  <c r="C753" i="6"/>
  <c r="D753" i="6" s="1"/>
  <c r="B753" i="6"/>
  <c r="A753" i="6"/>
  <c r="K752" i="6"/>
  <c r="J752" i="6"/>
  <c r="I752" i="6"/>
  <c r="H752" i="6"/>
  <c r="G752" i="6"/>
  <c r="F752" i="6"/>
  <c r="E752" i="6"/>
  <c r="C752" i="6"/>
  <c r="D752" i="6" s="1"/>
  <c r="B752" i="6"/>
  <c r="A752" i="6"/>
  <c r="K751" i="6"/>
  <c r="J751" i="6"/>
  <c r="I751" i="6"/>
  <c r="H751" i="6"/>
  <c r="G751" i="6"/>
  <c r="F751" i="6"/>
  <c r="E751" i="6"/>
  <c r="C751" i="6"/>
  <c r="D751" i="6" s="1"/>
  <c r="B751" i="6"/>
  <c r="A751" i="6"/>
  <c r="K750" i="6"/>
  <c r="J750" i="6"/>
  <c r="I750" i="6"/>
  <c r="H750" i="6"/>
  <c r="G750" i="6"/>
  <c r="F750" i="6"/>
  <c r="E750" i="6"/>
  <c r="C750" i="6"/>
  <c r="D750" i="6" s="1"/>
  <c r="B750" i="6"/>
  <c r="A750" i="6"/>
  <c r="K749" i="6"/>
  <c r="J749" i="6"/>
  <c r="I749" i="6"/>
  <c r="H749" i="6"/>
  <c r="G749" i="6"/>
  <c r="F749" i="6"/>
  <c r="E749" i="6"/>
  <c r="C749" i="6"/>
  <c r="D749" i="6" s="1"/>
  <c r="B749" i="6"/>
  <c r="A749" i="6"/>
  <c r="K748" i="6"/>
  <c r="J748" i="6"/>
  <c r="I748" i="6"/>
  <c r="H748" i="6"/>
  <c r="G748" i="6"/>
  <c r="F748" i="6"/>
  <c r="E748" i="6"/>
  <c r="C748" i="6"/>
  <c r="D748" i="6" s="1"/>
  <c r="B748" i="6"/>
  <c r="A748" i="6"/>
  <c r="K747" i="6"/>
  <c r="J747" i="6"/>
  <c r="I747" i="6"/>
  <c r="H747" i="6"/>
  <c r="G747" i="6"/>
  <c r="F747" i="6"/>
  <c r="E747" i="6"/>
  <c r="C747" i="6"/>
  <c r="D747" i="6" s="1"/>
  <c r="B747" i="6"/>
  <c r="A747" i="6"/>
  <c r="K746" i="6"/>
  <c r="J746" i="6"/>
  <c r="I746" i="6"/>
  <c r="H746" i="6"/>
  <c r="G746" i="6"/>
  <c r="F746" i="6"/>
  <c r="E746" i="6"/>
  <c r="C746" i="6"/>
  <c r="D746" i="6" s="1"/>
  <c r="B746" i="6"/>
  <c r="A746" i="6"/>
  <c r="K745" i="6"/>
  <c r="J745" i="6"/>
  <c r="I745" i="6"/>
  <c r="H745" i="6"/>
  <c r="G745" i="6"/>
  <c r="F745" i="6"/>
  <c r="E745" i="6"/>
  <c r="C745" i="6"/>
  <c r="D745" i="6" s="1"/>
  <c r="B745" i="6"/>
  <c r="A745" i="6"/>
  <c r="K744" i="6"/>
  <c r="J744" i="6"/>
  <c r="I744" i="6"/>
  <c r="H744" i="6"/>
  <c r="G744" i="6"/>
  <c r="F744" i="6"/>
  <c r="E744" i="6"/>
  <c r="C744" i="6"/>
  <c r="D744" i="6" s="1"/>
  <c r="B744" i="6"/>
  <c r="A744" i="6"/>
  <c r="K743" i="6"/>
  <c r="J743" i="6"/>
  <c r="I743" i="6"/>
  <c r="H743" i="6"/>
  <c r="G743" i="6"/>
  <c r="F743" i="6"/>
  <c r="E743" i="6"/>
  <c r="C743" i="6"/>
  <c r="D743" i="6" s="1"/>
  <c r="B743" i="6"/>
  <c r="A743" i="6"/>
  <c r="K742" i="6"/>
  <c r="J742" i="6"/>
  <c r="I742" i="6"/>
  <c r="H742" i="6"/>
  <c r="G742" i="6"/>
  <c r="F742" i="6"/>
  <c r="E742" i="6"/>
  <c r="C742" i="6"/>
  <c r="D742" i="6" s="1"/>
  <c r="B742" i="6"/>
  <c r="A742" i="6"/>
  <c r="K741" i="6"/>
  <c r="J741" i="6"/>
  <c r="I741" i="6"/>
  <c r="H741" i="6"/>
  <c r="G741" i="6"/>
  <c r="F741" i="6"/>
  <c r="E741" i="6"/>
  <c r="C741" i="6"/>
  <c r="D741" i="6" s="1"/>
  <c r="B741" i="6"/>
  <c r="A741" i="6"/>
  <c r="K740" i="6"/>
  <c r="J740" i="6"/>
  <c r="I740" i="6"/>
  <c r="H740" i="6"/>
  <c r="G740" i="6"/>
  <c r="F740" i="6"/>
  <c r="E740" i="6"/>
  <c r="C740" i="6"/>
  <c r="D740" i="6" s="1"/>
  <c r="B740" i="6"/>
  <c r="A740" i="6"/>
  <c r="K739" i="6"/>
  <c r="J739" i="6"/>
  <c r="I739" i="6"/>
  <c r="H739" i="6"/>
  <c r="G739" i="6"/>
  <c r="F739" i="6"/>
  <c r="E739" i="6"/>
  <c r="C739" i="6"/>
  <c r="D739" i="6" s="1"/>
  <c r="B739" i="6"/>
  <c r="A739" i="6"/>
  <c r="K738" i="6"/>
  <c r="J738" i="6"/>
  <c r="I738" i="6"/>
  <c r="H738" i="6"/>
  <c r="G738" i="6"/>
  <c r="F738" i="6"/>
  <c r="E738" i="6"/>
  <c r="C738" i="6"/>
  <c r="D738" i="6" s="1"/>
  <c r="B738" i="6"/>
  <c r="A738" i="6"/>
  <c r="K737" i="6"/>
  <c r="J737" i="6"/>
  <c r="I737" i="6"/>
  <c r="H737" i="6"/>
  <c r="G737" i="6"/>
  <c r="F737" i="6"/>
  <c r="E737" i="6"/>
  <c r="C737" i="6"/>
  <c r="D737" i="6" s="1"/>
  <c r="B737" i="6"/>
  <c r="A737" i="6"/>
  <c r="K736" i="6"/>
  <c r="J736" i="6"/>
  <c r="I736" i="6"/>
  <c r="H736" i="6"/>
  <c r="G736" i="6"/>
  <c r="F736" i="6"/>
  <c r="E736" i="6"/>
  <c r="C736" i="6"/>
  <c r="D736" i="6" s="1"/>
  <c r="B736" i="6"/>
  <c r="A736" i="6"/>
  <c r="K735" i="6"/>
  <c r="J735" i="6"/>
  <c r="I735" i="6"/>
  <c r="H735" i="6"/>
  <c r="G735" i="6"/>
  <c r="F735" i="6"/>
  <c r="E735" i="6"/>
  <c r="C735" i="6"/>
  <c r="D735" i="6" s="1"/>
  <c r="B735" i="6"/>
  <c r="A735" i="6"/>
  <c r="K734" i="6"/>
  <c r="J734" i="6"/>
  <c r="I734" i="6"/>
  <c r="H734" i="6"/>
  <c r="G734" i="6"/>
  <c r="F734" i="6"/>
  <c r="E734" i="6"/>
  <c r="C734" i="6"/>
  <c r="D734" i="6" s="1"/>
  <c r="B734" i="6"/>
  <c r="A734" i="6"/>
  <c r="K733" i="6"/>
  <c r="J733" i="6"/>
  <c r="I733" i="6"/>
  <c r="H733" i="6"/>
  <c r="G733" i="6"/>
  <c r="F733" i="6"/>
  <c r="E733" i="6"/>
  <c r="C733" i="6"/>
  <c r="D733" i="6" s="1"/>
  <c r="B733" i="6"/>
  <c r="A733" i="6"/>
  <c r="K732" i="6"/>
  <c r="J732" i="6"/>
  <c r="I732" i="6"/>
  <c r="H732" i="6"/>
  <c r="G732" i="6"/>
  <c r="F732" i="6"/>
  <c r="E732" i="6"/>
  <c r="C732" i="6"/>
  <c r="D732" i="6" s="1"/>
  <c r="B732" i="6"/>
  <c r="A732" i="6"/>
  <c r="K731" i="6"/>
  <c r="J731" i="6"/>
  <c r="I731" i="6"/>
  <c r="H731" i="6"/>
  <c r="G731" i="6"/>
  <c r="F731" i="6"/>
  <c r="E731" i="6"/>
  <c r="C731" i="6"/>
  <c r="D731" i="6" s="1"/>
  <c r="B731" i="6"/>
  <c r="A731" i="6"/>
  <c r="K730" i="6"/>
  <c r="J730" i="6"/>
  <c r="I730" i="6"/>
  <c r="H730" i="6"/>
  <c r="G730" i="6"/>
  <c r="F730" i="6"/>
  <c r="E730" i="6"/>
  <c r="C730" i="6"/>
  <c r="D730" i="6" s="1"/>
  <c r="B730" i="6"/>
  <c r="A730" i="6"/>
  <c r="K729" i="6"/>
  <c r="J729" i="6"/>
  <c r="I729" i="6"/>
  <c r="H729" i="6"/>
  <c r="G729" i="6"/>
  <c r="F729" i="6"/>
  <c r="E729" i="6"/>
  <c r="C729" i="6"/>
  <c r="D729" i="6" s="1"/>
  <c r="B729" i="6"/>
  <c r="A729" i="6"/>
  <c r="K728" i="6"/>
  <c r="J728" i="6"/>
  <c r="I728" i="6"/>
  <c r="H728" i="6"/>
  <c r="G728" i="6"/>
  <c r="F728" i="6"/>
  <c r="E728" i="6"/>
  <c r="C728" i="6"/>
  <c r="D728" i="6" s="1"/>
  <c r="B728" i="6"/>
  <c r="A728" i="6"/>
  <c r="K727" i="6"/>
  <c r="J727" i="6"/>
  <c r="I727" i="6"/>
  <c r="H727" i="6"/>
  <c r="G727" i="6"/>
  <c r="F727" i="6"/>
  <c r="E727" i="6"/>
  <c r="C727" i="6"/>
  <c r="D727" i="6" s="1"/>
  <c r="B727" i="6"/>
  <c r="A727" i="6"/>
  <c r="K726" i="6"/>
  <c r="J726" i="6"/>
  <c r="I726" i="6"/>
  <c r="H726" i="6"/>
  <c r="G726" i="6"/>
  <c r="F726" i="6"/>
  <c r="E726" i="6"/>
  <c r="C726" i="6"/>
  <c r="D726" i="6" s="1"/>
  <c r="B726" i="6"/>
  <c r="A726" i="6"/>
  <c r="K725" i="6"/>
  <c r="J725" i="6"/>
  <c r="I725" i="6"/>
  <c r="H725" i="6"/>
  <c r="G725" i="6"/>
  <c r="F725" i="6"/>
  <c r="E725" i="6"/>
  <c r="C725" i="6"/>
  <c r="D725" i="6" s="1"/>
  <c r="B725" i="6"/>
  <c r="A725" i="6"/>
  <c r="K724" i="6"/>
  <c r="J724" i="6"/>
  <c r="I724" i="6"/>
  <c r="H724" i="6"/>
  <c r="G724" i="6"/>
  <c r="F724" i="6"/>
  <c r="E724" i="6"/>
  <c r="C724" i="6"/>
  <c r="D724" i="6" s="1"/>
  <c r="B724" i="6"/>
  <c r="A724" i="6"/>
  <c r="K723" i="6"/>
  <c r="J723" i="6"/>
  <c r="I723" i="6"/>
  <c r="H723" i="6"/>
  <c r="G723" i="6"/>
  <c r="F723" i="6"/>
  <c r="E723" i="6"/>
  <c r="C723" i="6"/>
  <c r="D723" i="6" s="1"/>
  <c r="B723" i="6"/>
  <c r="A723" i="6"/>
  <c r="K722" i="6"/>
  <c r="J722" i="6"/>
  <c r="I722" i="6"/>
  <c r="H722" i="6"/>
  <c r="G722" i="6"/>
  <c r="F722" i="6"/>
  <c r="E722" i="6"/>
  <c r="C722" i="6"/>
  <c r="D722" i="6" s="1"/>
  <c r="B722" i="6"/>
  <c r="A722" i="6"/>
  <c r="K721" i="6"/>
  <c r="J721" i="6"/>
  <c r="I721" i="6"/>
  <c r="H721" i="6"/>
  <c r="G721" i="6"/>
  <c r="F721" i="6"/>
  <c r="E721" i="6"/>
  <c r="C721" i="6"/>
  <c r="D721" i="6" s="1"/>
  <c r="B721" i="6"/>
  <c r="A721" i="6"/>
  <c r="K720" i="6"/>
  <c r="J720" i="6"/>
  <c r="I720" i="6"/>
  <c r="H720" i="6"/>
  <c r="G720" i="6"/>
  <c r="F720" i="6"/>
  <c r="E720" i="6"/>
  <c r="C720" i="6"/>
  <c r="D720" i="6" s="1"/>
  <c r="B720" i="6"/>
  <c r="A720" i="6"/>
  <c r="K719" i="6"/>
  <c r="J719" i="6"/>
  <c r="I719" i="6"/>
  <c r="H719" i="6"/>
  <c r="G719" i="6"/>
  <c r="F719" i="6"/>
  <c r="E719" i="6"/>
  <c r="C719" i="6"/>
  <c r="D719" i="6" s="1"/>
  <c r="B719" i="6"/>
  <c r="A719" i="6"/>
  <c r="K718" i="6"/>
  <c r="J718" i="6"/>
  <c r="I718" i="6"/>
  <c r="H718" i="6"/>
  <c r="G718" i="6"/>
  <c r="F718" i="6"/>
  <c r="E718" i="6"/>
  <c r="C718" i="6"/>
  <c r="D718" i="6" s="1"/>
  <c r="B718" i="6"/>
  <c r="A718" i="6"/>
  <c r="K717" i="6"/>
  <c r="J717" i="6"/>
  <c r="I717" i="6"/>
  <c r="H717" i="6"/>
  <c r="G717" i="6"/>
  <c r="F717" i="6"/>
  <c r="E717" i="6"/>
  <c r="C717" i="6"/>
  <c r="D717" i="6" s="1"/>
  <c r="B717" i="6"/>
  <c r="A717" i="6"/>
  <c r="K716" i="6"/>
  <c r="J716" i="6"/>
  <c r="I716" i="6"/>
  <c r="H716" i="6"/>
  <c r="G716" i="6"/>
  <c r="F716" i="6"/>
  <c r="E716" i="6"/>
  <c r="C716" i="6"/>
  <c r="D716" i="6" s="1"/>
  <c r="B716" i="6"/>
  <c r="A716" i="6"/>
  <c r="K715" i="6"/>
  <c r="J715" i="6"/>
  <c r="I715" i="6"/>
  <c r="H715" i="6"/>
  <c r="G715" i="6"/>
  <c r="F715" i="6"/>
  <c r="E715" i="6"/>
  <c r="C715" i="6"/>
  <c r="D715" i="6" s="1"/>
  <c r="B715" i="6"/>
  <c r="A715" i="6"/>
  <c r="K714" i="6"/>
  <c r="J714" i="6"/>
  <c r="I714" i="6"/>
  <c r="H714" i="6"/>
  <c r="G714" i="6"/>
  <c r="F714" i="6"/>
  <c r="E714" i="6"/>
  <c r="C714" i="6"/>
  <c r="D714" i="6" s="1"/>
  <c r="B714" i="6"/>
  <c r="A714" i="6"/>
  <c r="K713" i="6"/>
  <c r="J713" i="6"/>
  <c r="I713" i="6"/>
  <c r="H713" i="6"/>
  <c r="G713" i="6"/>
  <c r="F713" i="6"/>
  <c r="E713" i="6"/>
  <c r="C713" i="6"/>
  <c r="D713" i="6" s="1"/>
  <c r="B713" i="6"/>
  <c r="A713" i="6"/>
  <c r="K712" i="6"/>
  <c r="J712" i="6"/>
  <c r="I712" i="6"/>
  <c r="H712" i="6"/>
  <c r="G712" i="6"/>
  <c r="F712" i="6"/>
  <c r="E712" i="6"/>
  <c r="C712" i="6"/>
  <c r="D712" i="6" s="1"/>
  <c r="B712" i="6"/>
  <c r="A712" i="6"/>
  <c r="K711" i="6"/>
  <c r="J711" i="6"/>
  <c r="I711" i="6"/>
  <c r="H711" i="6"/>
  <c r="G711" i="6"/>
  <c r="F711" i="6"/>
  <c r="E711" i="6"/>
  <c r="C711" i="6"/>
  <c r="D711" i="6" s="1"/>
  <c r="B711" i="6"/>
  <c r="A711" i="6"/>
  <c r="K710" i="6"/>
  <c r="J710" i="6"/>
  <c r="I710" i="6"/>
  <c r="H710" i="6"/>
  <c r="G710" i="6"/>
  <c r="F710" i="6"/>
  <c r="E710" i="6"/>
  <c r="C710" i="6"/>
  <c r="D710" i="6" s="1"/>
  <c r="B710" i="6"/>
  <c r="A710" i="6"/>
  <c r="K709" i="6"/>
  <c r="J709" i="6"/>
  <c r="I709" i="6"/>
  <c r="H709" i="6"/>
  <c r="G709" i="6"/>
  <c r="F709" i="6"/>
  <c r="E709" i="6"/>
  <c r="C709" i="6"/>
  <c r="D709" i="6" s="1"/>
  <c r="B709" i="6"/>
  <c r="A709" i="6"/>
  <c r="K708" i="6"/>
  <c r="J708" i="6"/>
  <c r="I708" i="6"/>
  <c r="H708" i="6"/>
  <c r="G708" i="6"/>
  <c r="F708" i="6"/>
  <c r="E708" i="6"/>
  <c r="C708" i="6"/>
  <c r="D708" i="6" s="1"/>
  <c r="B708" i="6"/>
  <c r="A708" i="6"/>
  <c r="K707" i="6"/>
  <c r="J707" i="6"/>
  <c r="I707" i="6"/>
  <c r="H707" i="6"/>
  <c r="G707" i="6"/>
  <c r="F707" i="6"/>
  <c r="E707" i="6"/>
  <c r="C707" i="6"/>
  <c r="D707" i="6" s="1"/>
  <c r="B707" i="6"/>
  <c r="A707" i="6"/>
  <c r="K706" i="6"/>
  <c r="J706" i="6"/>
  <c r="I706" i="6"/>
  <c r="H706" i="6"/>
  <c r="G706" i="6"/>
  <c r="F706" i="6"/>
  <c r="E706" i="6"/>
  <c r="C706" i="6"/>
  <c r="D706" i="6" s="1"/>
  <c r="B706" i="6"/>
  <c r="A706" i="6"/>
  <c r="K705" i="6"/>
  <c r="J705" i="6"/>
  <c r="I705" i="6"/>
  <c r="H705" i="6"/>
  <c r="G705" i="6"/>
  <c r="F705" i="6"/>
  <c r="E705" i="6"/>
  <c r="C705" i="6"/>
  <c r="D705" i="6" s="1"/>
  <c r="B705" i="6"/>
  <c r="A705" i="6"/>
  <c r="K704" i="6"/>
  <c r="J704" i="6"/>
  <c r="I704" i="6"/>
  <c r="H704" i="6"/>
  <c r="G704" i="6"/>
  <c r="F704" i="6"/>
  <c r="E704" i="6"/>
  <c r="C704" i="6"/>
  <c r="D704" i="6" s="1"/>
  <c r="B704" i="6"/>
  <c r="A704" i="6"/>
  <c r="K703" i="6"/>
  <c r="J703" i="6"/>
  <c r="I703" i="6"/>
  <c r="H703" i="6"/>
  <c r="G703" i="6"/>
  <c r="F703" i="6"/>
  <c r="E703" i="6"/>
  <c r="C703" i="6"/>
  <c r="D703" i="6" s="1"/>
  <c r="B703" i="6"/>
  <c r="A703" i="6"/>
  <c r="K702" i="6"/>
  <c r="J702" i="6"/>
  <c r="I702" i="6"/>
  <c r="H702" i="6"/>
  <c r="G702" i="6"/>
  <c r="F702" i="6"/>
  <c r="E702" i="6"/>
  <c r="D702" i="6"/>
  <c r="C702" i="6"/>
  <c r="B702" i="6"/>
  <c r="A702" i="6"/>
  <c r="K701" i="6"/>
  <c r="J701" i="6"/>
  <c r="I701" i="6"/>
  <c r="H701" i="6"/>
  <c r="G701" i="6"/>
  <c r="F701" i="6"/>
  <c r="E701" i="6"/>
  <c r="C701" i="6"/>
  <c r="D701" i="6" s="1"/>
  <c r="B701" i="6"/>
  <c r="A701" i="6"/>
  <c r="K700" i="6"/>
  <c r="J700" i="6"/>
  <c r="I700" i="6"/>
  <c r="H700" i="6"/>
  <c r="G700" i="6"/>
  <c r="F700" i="6"/>
  <c r="E700" i="6"/>
  <c r="C700" i="6"/>
  <c r="D700" i="6" s="1"/>
  <c r="B700" i="6"/>
  <c r="A700" i="6"/>
  <c r="K699" i="6"/>
  <c r="J699" i="6"/>
  <c r="I699" i="6"/>
  <c r="H699" i="6"/>
  <c r="G699" i="6"/>
  <c r="F699" i="6"/>
  <c r="E699" i="6"/>
  <c r="C699" i="6"/>
  <c r="D699" i="6" s="1"/>
  <c r="B699" i="6"/>
  <c r="A699" i="6"/>
  <c r="K698" i="6"/>
  <c r="J698" i="6"/>
  <c r="I698" i="6"/>
  <c r="H698" i="6"/>
  <c r="G698" i="6"/>
  <c r="F698" i="6"/>
  <c r="E698" i="6"/>
  <c r="C698" i="6"/>
  <c r="D698" i="6" s="1"/>
  <c r="B698" i="6"/>
  <c r="A698" i="6"/>
  <c r="K697" i="6"/>
  <c r="J697" i="6"/>
  <c r="I697" i="6"/>
  <c r="H697" i="6"/>
  <c r="G697" i="6"/>
  <c r="F697" i="6"/>
  <c r="E697" i="6"/>
  <c r="C697" i="6"/>
  <c r="D697" i="6" s="1"/>
  <c r="B697" i="6"/>
  <c r="A697" i="6"/>
  <c r="K696" i="6"/>
  <c r="J696" i="6"/>
  <c r="I696" i="6"/>
  <c r="H696" i="6"/>
  <c r="G696" i="6"/>
  <c r="F696" i="6"/>
  <c r="E696" i="6"/>
  <c r="C696" i="6"/>
  <c r="D696" i="6" s="1"/>
  <c r="B696" i="6"/>
  <c r="A696" i="6"/>
  <c r="K695" i="6"/>
  <c r="J695" i="6"/>
  <c r="I695" i="6"/>
  <c r="H695" i="6"/>
  <c r="G695" i="6"/>
  <c r="F695" i="6"/>
  <c r="E695" i="6"/>
  <c r="C695" i="6"/>
  <c r="D695" i="6" s="1"/>
  <c r="B695" i="6"/>
  <c r="A695" i="6"/>
  <c r="K694" i="6"/>
  <c r="J694" i="6"/>
  <c r="I694" i="6"/>
  <c r="H694" i="6"/>
  <c r="G694" i="6"/>
  <c r="F694" i="6"/>
  <c r="E694" i="6"/>
  <c r="C694" i="6"/>
  <c r="D694" i="6" s="1"/>
  <c r="B694" i="6"/>
  <c r="A694" i="6"/>
  <c r="K693" i="6"/>
  <c r="J693" i="6"/>
  <c r="I693" i="6"/>
  <c r="H693" i="6"/>
  <c r="G693" i="6"/>
  <c r="F693" i="6"/>
  <c r="E693" i="6"/>
  <c r="C693" i="6"/>
  <c r="D693" i="6" s="1"/>
  <c r="B693" i="6"/>
  <c r="A693" i="6"/>
  <c r="K692" i="6"/>
  <c r="J692" i="6"/>
  <c r="I692" i="6"/>
  <c r="H692" i="6"/>
  <c r="G692" i="6"/>
  <c r="F692" i="6"/>
  <c r="E692" i="6"/>
  <c r="C692" i="6"/>
  <c r="D692" i="6" s="1"/>
  <c r="B692" i="6"/>
  <c r="A692" i="6"/>
  <c r="K691" i="6"/>
  <c r="J691" i="6"/>
  <c r="I691" i="6"/>
  <c r="H691" i="6"/>
  <c r="G691" i="6"/>
  <c r="F691" i="6"/>
  <c r="E691" i="6"/>
  <c r="C691" i="6"/>
  <c r="D691" i="6" s="1"/>
  <c r="B691" i="6"/>
  <c r="A691" i="6"/>
  <c r="K690" i="6"/>
  <c r="J690" i="6"/>
  <c r="I690" i="6"/>
  <c r="H690" i="6"/>
  <c r="G690" i="6"/>
  <c r="F690" i="6"/>
  <c r="E690" i="6"/>
  <c r="C690" i="6"/>
  <c r="D690" i="6" s="1"/>
  <c r="B690" i="6"/>
  <c r="A690" i="6"/>
  <c r="K689" i="6"/>
  <c r="J689" i="6"/>
  <c r="I689" i="6"/>
  <c r="H689" i="6"/>
  <c r="G689" i="6"/>
  <c r="F689" i="6"/>
  <c r="E689" i="6"/>
  <c r="C689" i="6"/>
  <c r="D689" i="6" s="1"/>
  <c r="B689" i="6"/>
  <c r="A689" i="6"/>
  <c r="K688" i="6"/>
  <c r="J688" i="6"/>
  <c r="I688" i="6"/>
  <c r="H688" i="6"/>
  <c r="G688" i="6"/>
  <c r="F688" i="6"/>
  <c r="E688" i="6"/>
  <c r="C688" i="6"/>
  <c r="D688" i="6" s="1"/>
  <c r="B688" i="6"/>
  <c r="A688" i="6"/>
  <c r="K687" i="6"/>
  <c r="J687" i="6"/>
  <c r="I687" i="6"/>
  <c r="H687" i="6"/>
  <c r="G687" i="6"/>
  <c r="F687" i="6"/>
  <c r="E687" i="6"/>
  <c r="C687" i="6"/>
  <c r="D687" i="6" s="1"/>
  <c r="B687" i="6"/>
  <c r="A687" i="6"/>
  <c r="K686" i="6"/>
  <c r="J686" i="6"/>
  <c r="I686" i="6"/>
  <c r="H686" i="6"/>
  <c r="G686" i="6"/>
  <c r="F686" i="6"/>
  <c r="E686" i="6"/>
  <c r="D686" i="6"/>
  <c r="C686" i="6"/>
  <c r="B686" i="6"/>
  <c r="A686" i="6"/>
  <c r="K685" i="6"/>
  <c r="J685" i="6"/>
  <c r="I685" i="6"/>
  <c r="H685" i="6"/>
  <c r="G685" i="6"/>
  <c r="F685" i="6"/>
  <c r="E685" i="6"/>
  <c r="C685" i="6"/>
  <c r="D685" i="6" s="1"/>
  <c r="B685" i="6"/>
  <c r="A685" i="6"/>
  <c r="K684" i="6"/>
  <c r="J684" i="6"/>
  <c r="I684" i="6"/>
  <c r="H684" i="6"/>
  <c r="G684" i="6"/>
  <c r="F684" i="6"/>
  <c r="E684" i="6"/>
  <c r="C684" i="6"/>
  <c r="D684" i="6" s="1"/>
  <c r="B684" i="6"/>
  <c r="A684" i="6"/>
  <c r="K683" i="6"/>
  <c r="J683" i="6"/>
  <c r="I683" i="6"/>
  <c r="H683" i="6"/>
  <c r="G683" i="6"/>
  <c r="F683" i="6"/>
  <c r="E683" i="6"/>
  <c r="C683" i="6"/>
  <c r="D683" i="6" s="1"/>
  <c r="B683" i="6"/>
  <c r="A683" i="6"/>
  <c r="K682" i="6"/>
  <c r="J682" i="6"/>
  <c r="I682" i="6"/>
  <c r="H682" i="6"/>
  <c r="G682" i="6"/>
  <c r="F682" i="6"/>
  <c r="E682" i="6"/>
  <c r="C682" i="6"/>
  <c r="D682" i="6" s="1"/>
  <c r="B682" i="6"/>
  <c r="A682" i="6"/>
  <c r="K681" i="6"/>
  <c r="J681" i="6"/>
  <c r="I681" i="6"/>
  <c r="H681" i="6"/>
  <c r="G681" i="6"/>
  <c r="F681" i="6"/>
  <c r="E681" i="6"/>
  <c r="C681" i="6"/>
  <c r="D681" i="6" s="1"/>
  <c r="B681" i="6"/>
  <c r="A681" i="6"/>
  <c r="K680" i="6"/>
  <c r="J680" i="6"/>
  <c r="I680" i="6"/>
  <c r="H680" i="6"/>
  <c r="G680" i="6"/>
  <c r="F680" i="6"/>
  <c r="E680" i="6"/>
  <c r="C680" i="6"/>
  <c r="D680" i="6" s="1"/>
  <c r="B680" i="6"/>
  <c r="A680" i="6"/>
  <c r="K679" i="6"/>
  <c r="J679" i="6"/>
  <c r="I679" i="6"/>
  <c r="H679" i="6"/>
  <c r="G679" i="6"/>
  <c r="F679" i="6"/>
  <c r="E679" i="6"/>
  <c r="C679" i="6"/>
  <c r="D679" i="6" s="1"/>
  <c r="B679" i="6"/>
  <c r="A679" i="6"/>
  <c r="K678" i="6"/>
  <c r="J678" i="6"/>
  <c r="I678" i="6"/>
  <c r="H678" i="6"/>
  <c r="G678" i="6"/>
  <c r="F678" i="6"/>
  <c r="E678" i="6"/>
  <c r="C678" i="6"/>
  <c r="D678" i="6" s="1"/>
  <c r="B678" i="6"/>
  <c r="A678" i="6"/>
  <c r="K677" i="6"/>
  <c r="J677" i="6"/>
  <c r="I677" i="6"/>
  <c r="H677" i="6"/>
  <c r="G677" i="6"/>
  <c r="F677" i="6"/>
  <c r="E677" i="6"/>
  <c r="C677" i="6"/>
  <c r="D677" i="6" s="1"/>
  <c r="B677" i="6"/>
  <c r="A677" i="6"/>
  <c r="K676" i="6"/>
  <c r="J676" i="6"/>
  <c r="I676" i="6"/>
  <c r="H676" i="6"/>
  <c r="G676" i="6"/>
  <c r="F676" i="6"/>
  <c r="E676" i="6"/>
  <c r="C676" i="6"/>
  <c r="D676" i="6" s="1"/>
  <c r="B676" i="6"/>
  <c r="A676" i="6"/>
  <c r="K675" i="6"/>
  <c r="J675" i="6"/>
  <c r="I675" i="6"/>
  <c r="H675" i="6"/>
  <c r="G675" i="6"/>
  <c r="F675" i="6"/>
  <c r="E675" i="6"/>
  <c r="C675" i="6"/>
  <c r="D675" i="6" s="1"/>
  <c r="B675" i="6"/>
  <c r="A675" i="6"/>
  <c r="K674" i="6"/>
  <c r="J674" i="6"/>
  <c r="I674" i="6"/>
  <c r="H674" i="6"/>
  <c r="G674" i="6"/>
  <c r="F674" i="6"/>
  <c r="E674" i="6"/>
  <c r="C674" i="6"/>
  <c r="D674" i="6" s="1"/>
  <c r="B674" i="6"/>
  <c r="A674" i="6"/>
  <c r="K673" i="6"/>
  <c r="J673" i="6"/>
  <c r="I673" i="6"/>
  <c r="H673" i="6"/>
  <c r="G673" i="6"/>
  <c r="F673" i="6"/>
  <c r="E673" i="6"/>
  <c r="C673" i="6"/>
  <c r="D673" i="6" s="1"/>
  <c r="B673" i="6"/>
  <c r="A673" i="6"/>
  <c r="K672" i="6"/>
  <c r="J672" i="6"/>
  <c r="I672" i="6"/>
  <c r="H672" i="6"/>
  <c r="G672" i="6"/>
  <c r="F672" i="6"/>
  <c r="E672" i="6"/>
  <c r="C672" i="6"/>
  <c r="D672" i="6" s="1"/>
  <c r="B672" i="6"/>
  <c r="A672" i="6"/>
  <c r="K671" i="6"/>
  <c r="J671" i="6"/>
  <c r="I671" i="6"/>
  <c r="H671" i="6"/>
  <c r="G671" i="6"/>
  <c r="F671" i="6"/>
  <c r="E671" i="6"/>
  <c r="C671" i="6"/>
  <c r="D671" i="6" s="1"/>
  <c r="B671" i="6"/>
  <c r="A671" i="6"/>
  <c r="K670" i="6"/>
  <c r="J670" i="6"/>
  <c r="I670" i="6"/>
  <c r="H670" i="6"/>
  <c r="G670" i="6"/>
  <c r="F670" i="6"/>
  <c r="E670" i="6"/>
  <c r="C670" i="6"/>
  <c r="D670" i="6" s="1"/>
  <c r="B670" i="6"/>
  <c r="A670" i="6"/>
  <c r="K669" i="6"/>
  <c r="J669" i="6"/>
  <c r="I669" i="6"/>
  <c r="H669" i="6"/>
  <c r="G669" i="6"/>
  <c r="F669" i="6"/>
  <c r="E669" i="6"/>
  <c r="C669" i="6"/>
  <c r="D669" i="6" s="1"/>
  <c r="B669" i="6"/>
  <c r="A669" i="6"/>
  <c r="K668" i="6"/>
  <c r="J668" i="6"/>
  <c r="I668" i="6"/>
  <c r="H668" i="6"/>
  <c r="G668" i="6"/>
  <c r="F668" i="6"/>
  <c r="E668" i="6"/>
  <c r="C668" i="6"/>
  <c r="D668" i="6" s="1"/>
  <c r="B668" i="6"/>
  <c r="A668" i="6"/>
  <c r="K667" i="6"/>
  <c r="J667" i="6"/>
  <c r="I667" i="6"/>
  <c r="H667" i="6"/>
  <c r="G667" i="6"/>
  <c r="F667" i="6"/>
  <c r="E667" i="6"/>
  <c r="C667" i="6"/>
  <c r="D667" i="6" s="1"/>
  <c r="B667" i="6"/>
  <c r="A667" i="6"/>
  <c r="K666" i="6"/>
  <c r="J666" i="6"/>
  <c r="I666" i="6"/>
  <c r="H666" i="6"/>
  <c r="G666" i="6"/>
  <c r="F666" i="6"/>
  <c r="E666" i="6"/>
  <c r="C666" i="6"/>
  <c r="D666" i="6" s="1"/>
  <c r="B666" i="6"/>
  <c r="A666" i="6"/>
  <c r="K665" i="6"/>
  <c r="J665" i="6"/>
  <c r="I665" i="6"/>
  <c r="H665" i="6"/>
  <c r="G665" i="6"/>
  <c r="F665" i="6"/>
  <c r="E665" i="6"/>
  <c r="C665" i="6"/>
  <c r="D665" i="6" s="1"/>
  <c r="B665" i="6"/>
  <c r="A665" i="6"/>
  <c r="K664" i="6"/>
  <c r="J664" i="6"/>
  <c r="I664" i="6"/>
  <c r="H664" i="6"/>
  <c r="G664" i="6"/>
  <c r="F664" i="6"/>
  <c r="E664" i="6"/>
  <c r="C664" i="6"/>
  <c r="D664" i="6" s="1"/>
  <c r="B664" i="6"/>
  <c r="A664" i="6"/>
  <c r="K663" i="6"/>
  <c r="J663" i="6"/>
  <c r="I663" i="6"/>
  <c r="H663" i="6"/>
  <c r="G663" i="6"/>
  <c r="F663" i="6"/>
  <c r="E663" i="6"/>
  <c r="C663" i="6"/>
  <c r="D663" i="6" s="1"/>
  <c r="B663" i="6"/>
  <c r="A663" i="6"/>
  <c r="K662" i="6"/>
  <c r="J662" i="6"/>
  <c r="I662" i="6"/>
  <c r="H662" i="6"/>
  <c r="G662" i="6"/>
  <c r="F662" i="6"/>
  <c r="E662" i="6"/>
  <c r="C662" i="6"/>
  <c r="D662" i="6" s="1"/>
  <c r="B662" i="6"/>
  <c r="A662" i="6"/>
  <c r="K661" i="6"/>
  <c r="J661" i="6"/>
  <c r="I661" i="6"/>
  <c r="H661" i="6"/>
  <c r="G661" i="6"/>
  <c r="F661" i="6"/>
  <c r="E661" i="6"/>
  <c r="C661" i="6"/>
  <c r="D661" i="6" s="1"/>
  <c r="B661" i="6"/>
  <c r="A661" i="6"/>
  <c r="K660" i="6"/>
  <c r="J660" i="6"/>
  <c r="I660" i="6"/>
  <c r="H660" i="6"/>
  <c r="G660" i="6"/>
  <c r="F660" i="6"/>
  <c r="E660" i="6"/>
  <c r="C660" i="6"/>
  <c r="D660" i="6" s="1"/>
  <c r="B660" i="6"/>
  <c r="A660" i="6"/>
  <c r="K659" i="6"/>
  <c r="J659" i="6"/>
  <c r="I659" i="6"/>
  <c r="H659" i="6"/>
  <c r="G659" i="6"/>
  <c r="F659" i="6"/>
  <c r="E659" i="6"/>
  <c r="C659" i="6"/>
  <c r="D659" i="6" s="1"/>
  <c r="B659" i="6"/>
  <c r="A659" i="6"/>
  <c r="K658" i="6"/>
  <c r="J658" i="6"/>
  <c r="I658" i="6"/>
  <c r="H658" i="6"/>
  <c r="G658" i="6"/>
  <c r="F658" i="6"/>
  <c r="E658" i="6"/>
  <c r="C658" i="6"/>
  <c r="D658" i="6" s="1"/>
  <c r="B658" i="6"/>
  <c r="A658" i="6"/>
  <c r="K657" i="6"/>
  <c r="J657" i="6"/>
  <c r="I657" i="6"/>
  <c r="H657" i="6"/>
  <c r="G657" i="6"/>
  <c r="F657" i="6"/>
  <c r="E657" i="6"/>
  <c r="C657" i="6"/>
  <c r="D657" i="6" s="1"/>
  <c r="B657" i="6"/>
  <c r="A657" i="6"/>
  <c r="K656" i="6"/>
  <c r="J656" i="6"/>
  <c r="I656" i="6"/>
  <c r="H656" i="6"/>
  <c r="G656" i="6"/>
  <c r="F656" i="6"/>
  <c r="E656" i="6"/>
  <c r="C656" i="6"/>
  <c r="D656" i="6" s="1"/>
  <c r="B656" i="6"/>
  <c r="A656" i="6"/>
  <c r="K655" i="6"/>
  <c r="J655" i="6"/>
  <c r="I655" i="6"/>
  <c r="H655" i="6"/>
  <c r="G655" i="6"/>
  <c r="F655" i="6"/>
  <c r="E655" i="6"/>
  <c r="C655" i="6"/>
  <c r="D655" i="6" s="1"/>
  <c r="B655" i="6"/>
  <c r="A655" i="6"/>
  <c r="K654" i="6"/>
  <c r="J654" i="6"/>
  <c r="I654" i="6"/>
  <c r="H654" i="6"/>
  <c r="G654" i="6"/>
  <c r="F654" i="6"/>
  <c r="E654" i="6"/>
  <c r="C654" i="6"/>
  <c r="D654" i="6" s="1"/>
  <c r="B654" i="6"/>
  <c r="A654" i="6"/>
  <c r="K653" i="6"/>
  <c r="J653" i="6"/>
  <c r="I653" i="6"/>
  <c r="H653" i="6"/>
  <c r="G653" i="6"/>
  <c r="F653" i="6"/>
  <c r="E653" i="6"/>
  <c r="C653" i="6"/>
  <c r="D653" i="6" s="1"/>
  <c r="B653" i="6"/>
  <c r="A653" i="6"/>
  <c r="K652" i="6"/>
  <c r="J652" i="6"/>
  <c r="I652" i="6"/>
  <c r="H652" i="6"/>
  <c r="G652" i="6"/>
  <c r="F652" i="6"/>
  <c r="E652" i="6"/>
  <c r="C652" i="6"/>
  <c r="D652" i="6" s="1"/>
  <c r="B652" i="6"/>
  <c r="A652" i="6"/>
  <c r="K651" i="6"/>
  <c r="J651" i="6"/>
  <c r="I651" i="6"/>
  <c r="H651" i="6"/>
  <c r="G651" i="6"/>
  <c r="F651" i="6"/>
  <c r="E651" i="6"/>
  <c r="C651" i="6"/>
  <c r="D651" i="6" s="1"/>
  <c r="B651" i="6"/>
  <c r="A651" i="6"/>
  <c r="K650" i="6"/>
  <c r="J650" i="6"/>
  <c r="I650" i="6"/>
  <c r="H650" i="6"/>
  <c r="G650" i="6"/>
  <c r="F650" i="6"/>
  <c r="E650" i="6"/>
  <c r="C650" i="6"/>
  <c r="D650" i="6" s="1"/>
  <c r="B650" i="6"/>
  <c r="A650" i="6"/>
  <c r="K649" i="6"/>
  <c r="J649" i="6"/>
  <c r="I649" i="6"/>
  <c r="H649" i="6"/>
  <c r="G649" i="6"/>
  <c r="F649" i="6"/>
  <c r="E649" i="6"/>
  <c r="C649" i="6"/>
  <c r="D649" i="6" s="1"/>
  <c r="B649" i="6"/>
  <c r="A649" i="6"/>
  <c r="K648" i="6"/>
  <c r="J648" i="6"/>
  <c r="I648" i="6"/>
  <c r="H648" i="6"/>
  <c r="G648" i="6"/>
  <c r="F648" i="6"/>
  <c r="E648" i="6"/>
  <c r="C648" i="6"/>
  <c r="D648" i="6" s="1"/>
  <c r="B648" i="6"/>
  <c r="A648" i="6"/>
  <c r="K647" i="6"/>
  <c r="J647" i="6"/>
  <c r="I647" i="6"/>
  <c r="H647" i="6"/>
  <c r="G647" i="6"/>
  <c r="F647" i="6"/>
  <c r="E647" i="6"/>
  <c r="C647" i="6"/>
  <c r="D647" i="6" s="1"/>
  <c r="B647" i="6"/>
  <c r="A647" i="6"/>
  <c r="K646" i="6"/>
  <c r="J646" i="6"/>
  <c r="I646" i="6"/>
  <c r="H646" i="6"/>
  <c r="G646" i="6"/>
  <c r="F646" i="6"/>
  <c r="E646" i="6"/>
  <c r="C646" i="6"/>
  <c r="D646" i="6" s="1"/>
  <c r="B646" i="6"/>
  <c r="A646" i="6"/>
  <c r="K645" i="6"/>
  <c r="J645" i="6"/>
  <c r="I645" i="6"/>
  <c r="H645" i="6"/>
  <c r="G645" i="6"/>
  <c r="F645" i="6"/>
  <c r="E645" i="6"/>
  <c r="C645" i="6"/>
  <c r="D645" i="6" s="1"/>
  <c r="B645" i="6"/>
  <c r="A645" i="6"/>
  <c r="K644" i="6"/>
  <c r="J644" i="6"/>
  <c r="I644" i="6"/>
  <c r="H644" i="6"/>
  <c r="G644" i="6"/>
  <c r="F644" i="6"/>
  <c r="E644" i="6"/>
  <c r="C644" i="6"/>
  <c r="D644" i="6" s="1"/>
  <c r="B644" i="6"/>
  <c r="A644" i="6"/>
  <c r="K643" i="6"/>
  <c r="J643" i="6"/>
  <c r="I643" i="6"/>
  <c r="H643" i="6"/>
  <c r="G643" i="6"/>
  <c r="F643" i="6"/>
  <c r="E643" i="6"/>
  <c r="C643" i="6"/>
  <c r="D643" i="6" s="1"/>
  <c r="B643" i="6"/>
  <c r="A643" i="6"/>
  <c r="K642" i="6"/>
  <c r="J642" i="6"/>
  <c r="I642" i="6"/>
  <c r="H642" i="6"/>
  <c r="G642" i="6"/>
  <c r="F642" i="6"/>
  <c r="E642" i="6"/>
  <c r="C642" i="6"/>
  <c r="D642" i="6" s="1"/>
  <c r="B642" i="6"/>
  <c r="A642" i="6"/>
  <c r="K641" i="6"/>
  <c r="J641" i="6"/>
  <c r="I641" i="6"/>
  <c r="H641" i="6"/>
  <c r="G641" i="6"/>
  <c r="F641" i="6"/>
  <c r="E641" i="6"/>
  <c r="C641" i="6"/>
  <c r="D641" i="6" s="1"/>
  <c r="B641" i="6"/>
  <c r="A641" i="6"/>
  <c r="K640" i="6"/>
  <c r="J640" i="6"/>
  <c r="I640" i="6"/>
  <c r="H640" i="6"/>
  <c r="G640" i="6"/>
  <c r="F640" i="6"/>
  <c r="E640" i="6"/>
  <c r="C640" i="6"/>
  <c r="D640" i="6" s="1"/>
  <c r="B640" i="6"/>
  <c r="A640" i="6"/>
  <c r="K639" i="6"/>
  <c r="J639" i="6"/>
  <c r="I639" i="6"/>
  <c r="H639" i="6"/>
  <c r="G639" i="6"/>
  <c r="F639" i="6"/>
  <c r="E639" i="6"/>
  <c r="C639" i="6"/>
  <c r="D639" i="6" s="1"/>
  <c r="B639" i="6"/>
  <c r="A639" i="6"/>
  <c r="K638" i="6"/>
  <c r="J638" i="6"/>
  <c r="I638" i="6"/>
  <c r="H638" i="6"/>
  <c r="G638" i="6"/>
  <c r="F638" i="6"/>
  <c r="E638" i="6"/>
  <c r="C638" i="6"/>
  <c r="D638" i="6" s="1"/>
  <c r="B638" i="6"/>
  <c r="A638" i="6"/>
  <c r="K637" i="6"/>
  <c r="J637" i="6"/>
  <c r="I637" i="6"/>
  <c r="H637" i="6"/>
  <c r="G637" i="6"/>
  <c r="F637" i="6"/>
  <c r="E637" i="6"/>
  <c r="C637" i="6"/>
  <c r="D637" i="6" s="1"/>
  <c r="B637" i="6"/>
  <c r="A637" i="6"/>
  <c r="K636" i="6"/>
  <c r="J636" i="6"/>
  <c r="I636" i="6"/>
  <c r="H636" i="6"/>
  <c r="G636" i="6"/>
  <c r="F636" i="6"/>
  <c r="E636" i="6"/>
  <c r="C636" i="6"/>
  <c r="D636" i="6" s="1"/>
  <c r="B636" i="6"/>
  <c r="A636" i="6"/>
  <c r="K635" i="6"/>
  <c r="J635" i="6"/>
  <c r="I635" i="6"/>
  <c r="H635" i="6"/>
  <c r="G635" i="6"/>
  <c r="F635" i="6"/>
  <c r="E635" i="6"/>
  <c r="C635" i="6"/>
  <c r="D635" i="6" s="1"/>
  <c r="B635" i="6"/>
  <c r="A635" i="6"/>
  <c r="K634" i="6"/>
  <c r="J634" i="6"/>
  <c r="I634" i="6"/>
  <c r="H634" i="6"/>
  <c r="G634" i="6"/>
  <c r="F634" i="6"/>
  <c r="E634" i="6"/>
  <c r="C634" i="6"/>
  <c r="D634" i="6" s="1"/>
  <c r="B634" i="6"/>
  <c r="A634" i="6"/>
  <c r="K633" i="6"/>
  <c r="J633" i="6"/>
  <c r="I633" i="6"/>
  <c r="H633" i="6"/>
  <c r="G633" i="6"/>
  <c r="F633" i="6"/>
  <c r="E633" i="6"/>
  <c r="C633" i="6"/>
  <c r="D633" i="6" s="1"/>
  <c r="B633" i="6"/>
  <c r="A633" i="6"/>
  <c r="K632" i="6"/>
  <c r="J632" i="6"/>
  <c r="I632" i="6"/>
  <c r="H632" i="6"/>
  <c r="G632" i="6"/>
  <c r="F632" i="6"/>
  <c r="E632" i="6"/>
  <c r="C632" i="6"/>
  <c r="D632" i="6" s="1"/>
  <c r="B632" i="6"/>
  <c r="A632" i="6"/>
  <c r="K631" i="6"/>
  <c r="J631" i="6"/>
  <c r="I631" i="6"/>
  <c r="H631" i="6"/>
  <c r="G631" i="6"/>
  <c r="F631" i="6"/>
  <c r="E631" i="6"/>
  <c r="C631" i="6"/>
  <c r="D631" i="6" s="1"/>
  <c r="B631" i="6"/>
  <c r="A631" i="6"/>
  <c r="K630" i="6"/>
  <c r="J630" i="6"/>
  <c r="I630" i="6"/>
  <c r="H630" i="6"/>
  <c r="G630" i="6"/>
  <c r="F630" i="6"/>
  <c r="E630" i="6"/>
  <c r="C630" i="6"/>
  <c r="D630" i="6" s="1"/>
  <c r="B630" i="6"/>
  <c r="A630" i="6"/>
  <c r="K629" i="6"/>
  <c r="J629" i="6"/>
  <c r="I629" i="6"/>
  <c r="H629" i="6"/>
  <c r="G629" i="6"/>
  <c r="F629" i="6"/>
  <c r="E629" i="6"/>
  <c r="C629" i="6"/>
  <c r="D629" i="6" s="1"/>
  <c r="B629" i="6"/>
  <c r="A629" i="6"/>
  <c r="K628" i="6"/>
  <c r="J628" i="6"/>
  <c r="I628" i="6"/>
  <c r="H628" i="6"/>
  <c r="G628" i="6"/>
  <c r="F628" i="6"/>
  <c r="E628" i="6"/>
  <c r="C628" i="6"/>
  <c r="D628" i="6" s="1"/>
  <c r="B628" i="6"/>
  <c r="A628" i="6"/>
  <c r="K627" i="6"/>
  <c r="J627" i="6"/>
  <c r="I627" i="6"/>
  <c r="H627" i="6"/>
  <c r="G627" i="6"/>
  <c r="F627" i="6"/>
  <c r="E627" i="6"/>
  <c r="C627" i="6"/>
  <c r="D627" i="6" s="1"/>
  <c r="B627" i="6"/>
  <c r="A627" i="6"/>
  <c r="K626" i="6"/>
  <c r="J626" i="6"/>
  <c r="I626" i="6"/>
  <c r="H626" i="6"/>
  <c r="G626" i="6"/>
  <c r="F626" i="6"/>
  <c r="E626" i="6"/>
  <c r="C626" i="6"/>
  <c r="D626" i="6" s="1"/>
  <c r="B626" i="6"/>
  <c r="A626" i="6"/>
  <c r="K625" i="6"/>
  <c r="J625" i="6"/>
  <c r="I625" i="6"/>
  <c r="H625" i="6"/>
  <c r="G625" i="6"/>
  <c r="F625" i="6"/>
  <c r="E625" i="6"/>
  <c r="C625" i="6"/>
  <c r="D625" i="6" s="1"/>
  <c r="B625" i="6"/>
  <c r="A625" i="6"/>
  <c r="K624" i="6"/>
  <c r="J624" i="6"/>
  <c r="I624" i="6"/>
  <c r="H624" i="6"/>
  <c r="G624" i="6"/>
  <c r="F624" i="6"/>
  <c r="E624" i="6"/>
  <c r="C624" i="6"/>
  <c r="D624" i="6" s="1"/>
  <c r="B624" i="6"/>
  <c r="A624" i="6"/>
  <c r="K623" i="6"/>
  <c r="J623" i="6"/>
  <c r="I623" i="6"/>
  <c r="H623" i="6"/>
  <c r="G623" i="6"/>
  <c r="F623" i="6"/>
  <c r="E623" i="6"/>
  <c r="C623" i="6"/>
  <c r="D623" i="6" s="1"/>
  <c r="B623" i="6"/>
  <c r="A623" i="6"/>
  <c r="K622" i="6"/>
  <c r="J622" i="6"/>
  <c r="I622" i="6"/>
  <c r="H622" i="6"/>
  <c r="G622" i="6"/>
  <c r="F622" i="6"/>
  <c r="E622" i="6"/>
  <c r="D622" i="6"/>
  <c r="C622" i="6"/>
  <c r="B622" i="6"/>
  <c r="A622" i="6"/>
  <c r="K621" i="6"/>
  <c r="J621" i="6"/>
  <c r="I621" i="6"/>
  <c r="H621" i="6"/>
  <c r="G621" i="6"/>
  <c r="F621" i="6"/>
  <c r="E621" i="6"/>
  <c r="C621" i="6"/>
  <c r="D621" i="6" s="1"/>
  <c r="B621" i="6"/>
  <c r="A621" i="6"/>
  <c r="K620" i="6"/>
  <c r="J620" i="6"/>
  <c r="I620" i="6"/>
  <c r="H620" i="6"/>
  <c r="G620" i="6"/>
  <c r="F620" i="6"/>
  <c r="E620" i="6"/>
  <c r="C620" i="6"/>
  <c r="D620" i="6" s="1"/>
  <c r="B620" i="6"/>
  <c r="A620" i="6"/>
  <c r="K619" i="6"/>
  <c r="J619" i="6"/>
  <c r="I619" i="6"/>
  <c r="H619" i="6"/>
  <c r="G619" i="6"/>
  <c r="F619" i="6"/>
  <c r="E619" i="6"/>
  <c r="C619" i="6"/>
  <c r="D619" i="6" s="1"/>
  <c r="B619" i="6"/>
  <c r="A619" i="6"/>
  <c r="K618" i="6"/>
  <c r="J618" i="6"/>
  <c r="I618" i="6"/>
  <c r="H618" i="6"/>
  <c r="G618" i="6"/>
  <c r="F618" i="6"/>
  <c r="E618" i="6"/>
  <c r="C618" i="6"/>
  <c r="D618" i="6" s="1"/>
  <c r="B618" i="6"/>
  <c r="A618" i="6"/>
  <c r="K617" i="6"/>
  <c r="J617" i="6"/>
  <c r="I617" i="6"/>
  <c r="H617" i="6"/>
  <c r="G617" i="6"/>
  <c r="F617" i="6"/>
  <c r="E617" i="6"/>
  <c r="C617" i="6"/>
  <c r="D617" i="6" s="1"/>
  <c r="B617" i="6"/>
  <c r="A617" i="6"/>
  <c r="K616" i="6"/>
  <c r="J616" i="6"/>
  <c r="I616" i="6"/>
  <c r="H616" i="6"/>
  <c r="G616" i="6"/>
  <c r="F616" i="6"/>
  <c r="E616" i="6"/>
  <c r="C616" i="6"/>
  <c r="D616" i="6" s="1"/>
  <c r="B616" i="6"/>
  <c r="A616" i="6"/>
  <c r="K615" i="6"/>
  <c r="J615" i="6"/>
  <c r="I615" i="6"/>
  <c r="H615" i="6"/>
  <c r="G615" i="6"/>
  <c r="F615" i="6"/>
  <c r="E615" i="6"/>
  <c r="C615" i="6"/>
  <c r="D615" i="6" s="1"/>
  <c r="B615" i="6"/>
  <c r="A615" i="6"/>
  <c r="K614" i="6"/>
  <c r="J614" i="6"/>
  <c r="I614" i="6"/>
  <c r="H614" i="6"/>
  <c r="G614" i="6"/>
  <c r="F614" i="6"/>
  <c r="E614" i="6"/>
  <c r="C614" i="6"/>
  <c r="D614" i="6" s="1"/>
  <c r="B614" i="6"/>
  <c r="A614" i="6"/>
  <c r="K613" i="6"/>
  <c r="J613" i="6"/>
  <c r="I613" i="6"/>
  <c r="H613" i="6"/>
  <c r="G613" i="6"/>
  <c r="F613" i="6"/>
  <c r="E613" i="6"/>
  <c r="C613" i="6"/>
  <c r="D613" i="6" s="1"/>
  <c r="B613" i="6"/>
  <c r="A613" i="6"/>
  <c r="K612" i="6"/>
  <c r="J612" i="6"/>
  <c r="I612" i="6"/>
  <c r="H612" i="6"/>
  <c r="G612" i="6"/>
  <c r="F612" i="6"/>
  <c r="E612" i="6"/>
  <c r="C612" i="6"/>
  <c r="D612" i="6" s="1"/>
  <c r="B612" i="6"/>
  <c r="A612" i="6"/>
  <c r="K611" i="6"/>
  <c r="J611" i="6"/>
  <c r="I611" i="6"/>
  <c r="H611" i="6"/>
  <c r="G611" i="6"/>
  <c r="F611" i="6"/>
  <c r="E611" i="6"/>
  <c r="C611" i="6"/>
  <c r="D611" i="6" s="1"/>
  <c r="B611" i="6"/>
  <c r="A611" i="6"/>
  <c r="K610" i="6"/>
  <c r="J610" i="6"/>
  <c r="I610" i="6"/>
  <c r="H610" i="6"/>
  <c r="G610" i="6"/>
  <c r="F610" i="6"/>
  <c r="E610" i="6"/>
  <c r="C610" i="6"/>
  <c r="D610" i="6" s="1"/>
  <c r="B610" i="6"/>
  <c r="A610" i="6"/>
  <c r="K609" i="6"/>
  <c r="J609" i="6"/>
  <c r="I609" i="6"/>
  <c r="H609" i="6"/>
  <c r="G609" i="6"/>
  <c r="F609" i="6"/>
  <c r="E609" i="6"/>
  <c r="C609" i="6"/>
  <c r="D609" i="6" s="1"/>
  <c r="B609" i="6"/>
  <c r="A609" i="6"/>
  <c r="K608" i="6"/>
  <c r="J608" i="6"/>
  <c r="I608" i="6"/>
  <c r="H608" i="6"/>
  <c r="G608" i="6"/>
  <c r="F608" i="6"/>
  <c r="E608" i="6"/>
  <c r="C608" i="6"/>
  <c r="D608" i="6" s="1"/>
  <c r="B608" i="6"/>
  <c r="A608" i="6"/>
  <c r="K607" i="6"/>
  <c r="J607" i="6"/>
  <c r="I607" i="6"/>
  <c r="H607" i="6"/>
  <c r="G607" i="6"/>
  <c r="F607" i="6"/>
  <c r="E607" i="6"/>
  <c r="C607" i="6"/>
  <c r="D607" i="6" s="1"/>
  <c r="B607" i="6"/>
  <c r="A607" i="6"/>
  <c r="K606" i="6"/>
  <c r="J606" i="6"/>
  <c r="I606" i="6"/>
  <c r="H606" i="6"/>
  <c r="G606" i="6"/>
  <c r="F606" i="6"/>
  <c r="E606" i="6"/>
  <c r="D606" i="6"/>
  <c r="C606" i="6"/>
  <c r="B606" i="6"/>
  <c r="A606" i="6"/>
  <c r="K605" i="6"/>
  <c r="J605" i="6"/>
  <c r="I605" i="6"/>
  <c r="H605" i="6"/>
  <c r="G605" i="6"/>
  <c r="F605" i="6"/>
  <c r="E605" i="6"/>
  <c r="C605" i="6"/>
  <c r="D605" i="6" s="1"/>
  <c r="B605" i="6"/>
  <c r="A605" i="6"/>
  <c r="K604" i="6"/>
  <c r="J604" i="6"/>
  <c r="I604" i="6"/>
  <c r="H604" i="6"/>
  <c r="G604" i="6"/>
  <c r="F604" i="6"/>
  <c r="E604" i="6"/>
  <c r="C604" i="6"/>
  <c r="D604" i="6" s="1"/>
  <c r="B604" i="6"/>
  <c r="A604" i="6"/>
  <c r="K603" i="6"/>
  <c r="J603" i="6"/>
  <c r="I603" i="6"/>
  <c r="H603" i="6"/>
  <c r="G603" i="6"/>
  <c r="F603" i="6"/>
  <c r="E603" i="6"/>
  <c r="C603" i="6"/>
  <c r="D603" i="6" s="1"/>
  <c r="B603" i="6"/>
  <c r="A603" i="6"/>
  <c r="K602" i="6"/>
  <c r="J602" i="6"/>
  <c r="I602" i="6"/>
  <c r="H602" i="6"/>
  <c r="G602" i="6"/>
  <c r="F602" i="6"/>
  <c r="E602" i="6"/>
  <c r="C602" i="6"/>
  <c r="D602" i="6" s="1"/>
  <c r="B602" i="6"/>
  <c r="A602" i="6"/>
  <c r="K601" i="6"/>
  <c r="J601" i="6"/>
  <c r="I601" i="6"/>
  <c r="H601" i="6"/>
  <c r="G601" i="6"/>
  <c r="F601" i="6"/>
  <c r="E601" i="6"/>
  <c r="C601" i="6"/>
  <c r="D601" i="6" s="1"/>
  <c r="B601" i="6"/>
  <c r="A601" i="6"/>
  <c r="K600" i="6"/>
  <c r="J600" i="6"/>
  <c r="I600" i="6"/>
  <c r="H600" i="6"/>
  <c r="G600" i="6"/>
  <c r="F600" i="6"/>
  <c r="E600" i="6"/>
  <c r="C600" i="6"/>
  <c r="D600" i="6" s="1"/>
  <c r="B600" i="6"/>
  <c r="A600" i="6"/>
  <c r="K599" i="6"/>
  <c r="J599" i="6"/>
  <c r="I599" i="6"/>
  <c r="H599" i="6"/>
  <c r="G599" i="6"/>
  <c r="F599" i="6"/>
  <c r="E599" i="6"/>
  <c r="C599" i="6"/>
  <c r="D599" i="6" s="1"/>
  <c r="B599" i="6"/>
  <c r="A599" i="6"/>
  <c r="K598" i="6"/>
  <c r="J598" i="6"/>
  <c r="I598" i="6"/>
  <c r="H598" i="6"/>
  <c r="G598" i="6"/>
  <c r="F598" i="6"/>
  <c r="E598" i="6"/>
  <c r="C598" i="6"/>
  <c r="D598" i="6" s="1"/>
  <c r="B598" i="6"/>
  <c r="A598" i="6"/>
  <c r="K597" i="6"/>
  <c r="J597" i="6"/>
  <c r="I597" i="6"/>
  <c r="H597" i="6"/>
  <c r="G597" i="6"/>
  <c r="F597" i="6"/>
  <c r="E597" i="6"/>
  <c r="C597" i="6"/>
  <c r="D597" i="6" s="1"/>
  <c r="B597" i="6"/>
  <c r="A597" i="6"/>
  <c r="K596" i="6"/>
  <c r="J596" i="6"/>
  <c r="I596" i="6"/>
  <c r="H596" i="6"/>
  <c r="G596" i="6"/>
  <c r="F596" i="6"/>
  <c r="E596" i="6"/>
  <c r="C596" i="6"/>
  <c r="D596" i="6" s="1"/>
  <c r="B596" i="6"/>
  <c r="A596" i="6"/>
  <c r="K595" i="6"/>
  <c r="J595" i="6"/>
  <c r="I595" i="6"/>
  <c r="H595" i="6"/>
  <c r="G595" i="6"/>
  <c r="F595" i="6"/>
  <c r="E595" i="6"/>
  <c r="C595" i="6"/>
  <c r="D595" i="6" s="1"/>
  <c r="B595" i="6"/>
  <c r="A595" i="6"/>
  <c r="K594" i="6"/>
  <c r="J594" i="6"/>
  <c r="I594" i="6"/>
  <c r="H594" i="6"/>
  <c r="G594" i="6"/>
  <c r="F594" i="6"/>
  <c r="E594" i="6"/>
  <c r="C594" i="6"/>
  <c r="D594" i="6" s="1"/>
  <c r="B594" i="6"/>
  <c r="A594" i="6"/>
  <c r="K593" i="6"/>
  <c r="J593" i="6"/>
  <c r="I593" i="6"/>
  <c r="H593" i="6"/>
  <c r="G593" i="6"/>
  <c r="F593" i="6"/>
  <c r="E593" i="6"/>
  <c r="C593" i="6"/>
  <c r="D593" i="6" s="1"/>
  <c r="B593" i="6"/>
  <c r="A593" i="6"/>
  <c r="K592" i="6"/>
  <c r="J592" i="6"/>
  <c r="I592" i="6"/>
  <c r="H592" i="6"/>
  <c r="G592" i="6"/>
  <c r="F592" i="6"/>
  <c r="E592" i="6"/>
  <c r="C592" i="6"/>
  <c r="D592" i="6" s="1"/>
  <c r="B592" i="6"/>
  <c r="A592" i="6"/>
  <c r="K591" i="6"/>
  <c r="J591" i="6"/>
  <c r="I591" i="6"/>
  <c r="H591" i="6"/>
  <c r="G591" i="6"/>
  <c r="F591" i="6"/>
  <c r="E591" i="6"/>
  <c r="C591" i="6"/>
  <c r="D591" i="6" s="1"/>
  <c r="B591" i="6"/>
  <c r="A591" i="6"/>
  <c r="K590" i="6"/>
  <c r="J590" i="6"/>
  <c r="I590" i="6"/>
  <c r="H590" i="6"/>
  <c r="G590" i="6"/>
  <c r="F590" i="6"/>
  <c r="E590" i="6"/>
  <c r="C590" i="6"/>
  <c r="D590" i="6" s="1"/>
  <c r="B590" i="6"/>
  <c r="A590" i="6"/>
  <c r="K589" i="6"/>
  <c r="J589" i="6"/>
  <c r="I589" i="6"/>
  <c r="H589" i="6"/>
  <c r="G589" i="6"/>
  <c r="F589" i="6"/>
  <c r="E589" i="6"/>
  <c r="C589" i="6"/>
  <c r="D589" i="6" s="1"/>
  <c r="B589" i="6"/>
  <c r="A589" i="6"/>
  <c r="K588" i="6"/>
  <c r="J588" i="6"/>
  <c r="I588" i="6"/>
  <c r="H588" i="6"/>
  <c r="G588" i="6"/>
  <c r="F588" i="6"/>
  <c r="E588" i="6"/>
  <c r="C588" i="6"/>
  <c r="D588" i="6" s="1"/>
  <c r="B588" i="6"/>
  <c r="A588" i="6"/>
  <c r="K587" i="6"/>
  <c r="J587" i="6"/>
  <c r="I587" i="6"/>
  <c r="H587" i="6"/>
  <c r="G587" i="6"/>
  <c r="F587" i="6"/>
  <c r="E587" i="6"/>
  <c r="C587" i="6"/>
  <c r="D587" i="6" s="1"/>
  <c r="B587" i="6"/>
  <c r="A587" i="6"/>
  <c r="K586" i="6"/>
  <c r="J586" i="6"/>
  <c r="I586" i="6"/>
  <c r="H586" i="6"/>
  <c r="G586" i="6"/>
  <c r="F586" i="6"/>
  <c r="E586" i="6"/>
  <c r="C586" i="6"/>
  <c r="D586" i="6" s="1"/>
  <c r="B586" i="6"/>
  <c r="A586" i="6"/>
  <c r="K585" i="6"/>
  <c r="J585" i="6"/>
  <c r="I585" i="6"/>
  <c r="H585" i="6"/>
  <c r="G585" i="6"/>
  <c r="F585" i="6"/>
  <c r="E585" i="6"/>
  <c r="C585" i="6"/>
  <c r="D585" i="6" s="1"/>
  <c r="B585" i="6"/>
  <c r="A585" i="6"/>
  <c r="K584" i="6"/>
  <c r="J584" i="6"/>
  <c r="I584" i="6"/>
  <c r="H584" i="6"/>
  <c r="G584" i="6"/>
  <c r="F584" i="6"/>
  <c r="E584" i="6"/>
  <c r="C584" i="6"/>
  <c r="D584" i="6" s="1"/>
  <c r="B584" i="6"/>
  <c r="A584" i="6"/>
  <c r="K583" i="6"/>
  <c r="J583" i="6"/>
  <c r="I583" i="6"/>
  <c r="H583" i="6"/>
  <c r="G583" i="6"/>
  <c r="F583" i="6"/>
  <c r="E583" i="6"/>
  <c r="C583" i="6"/>
  <c r="D583" i="6" s="1"/>
  <c r="B583" i="6"/>
  <c r="A583" i="6"/>
  <c r="K582" i="6"/>
  <c r="J582" i="6"/>
  <c r="I582" i="6"/>
  <c r="H582" i="6"/>
  <c r="G582" i="6"/>
  <c r="F582" i="6"/>
  <c r="E582" i="6"/>
  <c r="C582" i="6"/>
  <c r="D582" i="6" s="1"/>
  <c r="B582" i="6"/>
  <c r="A582" i="6"/>
  <c r="K581" i="6"/>
  <c r="J581" i="6"/>
  <c r="I581" i="6"/>
  <c r="H581" i="6"/>
  <c r="G581" i="6"/>
  <c r="F581" i="6"/>
  <c r="E581" i="6"/>
  <c r="C581" i="6"/>
  <c r="D581" i="6" s="1"/>
  <c r="B581" i="6"/>
  <c r="A581" i="6"/>
  <c r="K580" i="6"/>
  <c r="J580" i="6"/>
  <c r="I580" i="6"/>
  <c r="H580" i="6"/>
  <c r="G580" i="6"/>
  <c r="F580" i="6"/>
  <c r="E580" i="6"/>
  <c r="C580" i="6"/>
  <c r="D580" i="6" s="1"/>
  <c r="B580" i="6"/>
  <c r="A580" i="6"/>
  <c r="K579" i="6"/>
  <c r="J579" i="6"/>
  <c r="I579" i="6"/>
  <c r="H579" i="6"/>
  <c r="G579" i="6"/>
  <c r="F579" i="6"/>
  <c r="E579" i="6"/>
  <c r="C579" i="6"/>
  <c r="D579" i="6" s="1"/>
  <c r="B579" i="6"/>
  <c r="A579" i="6"/>
  <c r="K578" i="6"/>
  <c r="J578" i="6"/>
  <c r="I578" i="6"/>
  <c r="H578" i="6"/>
  <c r="G578" i="6"/>
  <c r="F578" i="6"/>
  <c r="E578" i="6"/>
  <c r="C578" i="6"/>
  <c r="D578" i="6" s="1"/>
  <c r="B578" i="6"/>
  <c r="A578" i="6"/>
  <c r="K577" i="6"/>
  <c r="J577" i="6"/>
  <c r="I577" i="6"/>
  <c r="H577" i="6"/>
  <c r="G577" i="6"/>
  <c r="F577" i="6"/>
  <c r="E577" i="6"/>
  <c r="C577" i="6"/>
  <c r="D577" i="6" s="1"/>
  <c r="B577" i="6"/>
  <c r="A577" i="6"/>
  <c r="K576" i="6"/>
  <c r="J576" i="6"/>
  <c r="I576" i="6"/>
  <c r="H576" i="6"/>
  <c r="G576" i="6"/>
  <c r="F576" i="6"/>
  <c r="E576" i="6"/>
  <c r="C576" i="6"/>
  <c r="D576" i="6" s="1"/>
  <c r="B576" i="6"/>
  <c r="A576" i="6"/>
  <c r="K575" i="6"/>
  <c r="J575" i="6"/>
  <c r="I575" i="6"/>
  <c r="H575" i="6"/>
  <c r="G575" i="6"/>
  <c r="F575" i="6"/>
  <c r="E575" i="6"/>
  <c r="C575" i="6"/>
  <c r="D575" i="6" s="1"/>
  <c r="B575" i="6"/>
  <c r="A575" i="6"/>
  <c r="K574" i="6"/>
  <c r="J574" i="6"/>
  <c r="I574" i="6"/>
  <c r="H574" i="6"/>
  <c r="G574" i="6"/>
  <c r="F574" i="6"/>
  <c r="E574" i="6"/>
  <c r="C574" i="6"/>
  <c r="D574" i="6" s="1"/>
  <c r="B574" i="6"/>
  <c r="A574" i="6"/>
  <c r="K573" i="6"/>
  <c r="J573" i="6"/>
  <c r="I573" i="6"/>
  <c r="H573" i="6"/>
  <c r="G573" i="6"/>
  <c r="F573" i="6"/>
  <c r="E573" i="6"/>
  <c r="C573" i="6"/>
  <c r="D573" i="6" s="1"/>
  <c r="B573" i="6"/>
  <c r="A573" i="6"/>
  <c r="K572" i="6"/>
  <c r="J572" i="6"/>
  <c r="I572" i="6"/>
  <c r="H572" i="6"/>
  <c r="G572" i="6"/>
  <c r="F572" i="6"/>
  <c r="E572" i="6"/>
  <c r="C572" i="6"/>
  <c r="D572" i="6" s="1"/>
  <c r="B572" i="6"/>
  <c r="A572" i="6"/>
  <c r="K571" i="6"/>
  <c r="J571" i="6"/>
  <c r="I571" i="6"/>
  <c r="H571" i="6"/>
  <c r="G571" i="6"/>
  <c r="F571" i="6"/>
  <c r="E571" i="6"/>
  <c r="C571" i="6"/>
  <c r="D571" i="6" s="1"/>
  <c r="B571" i="6"/>
  <c r="A571" i="6"/>
  <c r="K570" i="6"/>
  <c r="J570" i="6"/>
  <c r="I570" i="6"/>
  <c r="H570" i="6"/>
  <c r="G570" i="6"/>
  <c r="F570" i="6"/>
  <c r="E570" i="6"/>
  <c r="C570" i="6"/>
  <c r="D570" i="6" s="1"/>
  <c r="B570" i="6"/>
  <c r="A570" i="6"/>
  <c r="K569" i="6"/>
  <c r="J569" i="6"/>
  <c r="I569" i="6"/>
  <c r="H569" i="6"/>
  <c r="G569" i="6"/>
  <c r="F569" i="6"/>
  <c r="E569" i="6"/>
  <c r="C569" i="6"/>
  <c r="D569" i="6" s="1"/>
  <c r="B569" i="6"/>
  <c r="A569" i="6"/>
  <c r="K568" i="6"/>
  <c r="J568" i="6"/>
  <c r="I568" i="6"/>
  <c r="H568" i="6"/>
  <c r="G568" i="6"/>
  <c r="F568" i="6"/>
  <c r="E568" i="6"/>
  <c r="C568" i="6"/>
  <c r="D568" i="6" s="1"/>
  <c r="B568" i="6"/>
  <c r="A568" i="6"/>
  <c r="K567" i="6"/>
  <c r="J567" i="6"/>
  <c r="I567" i="6"/>
  <c r="H567" i="6"/>
  <c r="G567" i="6"/>
  <c r="F567" i="6"/>
  <c r="E567" i="6"/>
  <c r="C567" i="6"/>
  <c r="D567" i="6" s="1"/>
  <c r="B567" i="6"/>
  <c r="A567" i="6"/>
  <c r="K566" i="6"/>
  <c r="J566" i="6"/>
  <c r="I566" i="6"/>
  <c r="H566" i="6"/>
  <c r="G566" i="6"/>
  <c r="F566" i="6"/>
  <c r="E566" i="6"/>
  <c r="C566" i="6"/>
  <c r="D566" i="6" s="1"/>
  <c r="B566" i="6"/>
  <c r="A566" i="6"/>
  <c r="K565" i="6"/>
  <c r="J565" i="6"/>
  <c r="I565" i="6"/>
  <c r="H565" i="6"/>
  <c r="G565" i="6"/>
  <c r="F565" i="6"/>
  <c r="E565" i="6"/>
  <c r="C565" i="6"/>
  <c r="D565" i="6" s="1"/>
  <c r="B565" i="6"/>
  <c r="A565" i="6"/>
  <c r="K564" i="6"/>
  <c r="J564" i="6"/>
  <c r="I564" i="6"/>
  <c r="H564" i="6"/>
  <c r="G564" i="6"/>
  <c r="F564" i="6"/>
  <c r="E564" i="6"/>
  <c r="C564" i="6"/>
  <c r="D564" i="6" s="1"/>
  <c r="B564" i="6"/>
  <c r="A564" i="6"/>
  <c r="K563" i="6"/>
  <c r="J563" i="6"/>
  <c r="I563" i="6"/>
  <c r="H563" i="6"/>
  <c r="G563" i="6"/>
  <c r="F563" i="6"/>
  <c r="E563" i="6"/>
  <c r="C563" i="6"/>
  <c r="D563" i="6" s="1"/>
  <c r="B563" i="6"/>
  <c r="A563" i="6"/>
  <c r="K562" i="6"/>
  <c r="J562" i="6"/>
  <c r="I562" i="6"/>
  <c r="H562" i="6"/>
  <c r="G562" i="6"/>
  <c r="F562" i="6"/>
  <c r="E562" i="6"/>
  <c r="C562" i="6"/>
  <c r="D562" i="6" s="1"/>
  <c r="B562" i="6"/>
  <c r="A562" i="6"/>
  <c r="K561" i="6"/>
  <c r="J561" i="6"/>
  <c r="I561" i="6"/>
  <c r="H561" i="6"/>
  <c r="G561" i="6"/>
  <c r="F561" i="6"/>
  <c r="E561" i="6"/>
  <c r="C561" i="6"/>
  <c r="D561" i="6" s="1"/>
  <c r="B561" i="6"/>
  <c r="A561" i="6"/>
  <c r="K560" i="6"/>
  <c r="J560" i="6"/>
  <c r="I560" i="6"/>
  <c r="H560" i="6"/>
  <c r="G560" i="6"/>
  <c r="F560" i="6"/>
  <c r="E560" i="6"/>
  <c r="C560" i="6"/>
  <c r="D560" i="6" s="1"/>
  <c r="B560" i="6"/>
  <c r="A560" i="6"/>
  <c r="K559" i="6"/>
  <c r="J559" i="6"/>
  <c r="I559" i="6"/>
  <c r="H559" i="6"/>
  <c r="G559" i="6"/>
  <c r="F559" i="6"/>
  <c r="E559" i="6"/>
  <c r="C559" i="6"/>
  <c r="D559" i="6" s="1"/>
  <c r="B559" i="6"/>
  <c r="A559" i="6"/>
  <c r="K558" i="6"/>
  <c r="J558" i="6"/>
  <c r="I558" i="6"/>
  <c r="H558" i="6"/>
  <c r="G558" i="6"/>
  <c r="F558" i="6"/>
  <c r="E558" i="6"/>
  <c r="C558" i="6"/>
  <c r="D558" i="6" s="1"/>
  <c r="B558" i="6"/>
  <c r="A558" i="6"/>
  <c r="K557" i="6"/>
  <c r="J557" i="6"/>
  <c r="I557" i="6"/>
  <c r="H557" i="6"/>
  <c r="G557" i="6"/>
  <c r="F557" i="6"/>
  <c r="E557" i="6"/>
  <c r="C557" i="6"/>
  <c r="D557" i="6" s="1"/>
  <c r="B557" i="6"/>
  <c r="A557" i="6"/>
  <c r="K556" i="6"/>
  <c r="J556" i="6"/>
  <c r="I556" i="6"/>
  <c r="H556" i="6"/>
  <c r="G556" i="6"/>
  <c r="F556" i="6"/>
  <c r="E556" i="6"/>
  <c r="C556" i="6"/>
  <c r="D556" i="6" s="1"/>
  <c r="B556" i="6"/>
  <c r="A556" i="6"/>
  <c r="K555" i="6"/>
  <c r="J555" i="6"/>
  <c r="I555" i="6"/>
  <c r="H555" i="6"/>
  <c r="G555" i="6"/>
  <c r="F555" i="6"/>
  <c r="E555" i="6"/>
  <c r="C555" i="6"/>
  <c r="D555" i="6" s="1"/>
  <c r="B555" i="6"/>
  <c r="A555" i="6"/>
  <c r="K554" i="6"/>
  <c r="J554" i="6"/>
  <c r="I554" i="6"/>
  <c r="H554" i="6"/>
  <c r="G554" i="6"/>
  <c r="F554" i="6"/>
  <c r="E554" i="6"/>
  <c r="C554" i="6"/>
  <c r="D554" i="6" s="1"/>
  <c r="B554" i="6"/>
  <c r="A554" i="6"/>
  <c r="K553" i="6"/>
  <c r="J553" i="6"/>
  <c r="I553" i="6"/>
  <c r="H553" i="6"/>
  <c r="G553" i="6"/>
  <c r="F553" i="6"/>
  <c r="E553" i="6"/>
  <c r="C553" i="6"/>
  <c r="D553" i="6" s="1"/>
  <c r="B553" i="6"/>
  <c r="A553" i="6"/>
  <c r="K552" i="6"/>
  <c r="J552" i="6"/>
  <c r="I552" i="6"/>
  <c r="H552" i="6"/>
  <c r="G552" i="6"/>
  <c r="F552" i="6"/>
  <c r="E552" i="6"/>
  <c r="C552" i="6"/>
  <c r="D552" i="6" s="1"/>
  <c r="B552" i="6"/>
  <c r="A552" i="6"/>
  <c r="K551" i="6"/>
  <c r="J551" i="6"/>
  <c r="I551" i="6"/>
  <c r="H551" i="6"/>
  <c r="G551" i="6"/>
  <c r="F551" i="6"/>
  <c r="E551" i="6"/>
  <c r="C551" i="6"/>
  <c r="D551" i="6" s="1"/>
  <c r="B551" i="6"/>
  <c r="A551" i="6"/>
  <c r="K550" i="6"/>
  <c r="J550" i="6"/>
  <c r="I550" i="6"/>
  <c r="H550" i="6"/>
  <c r="G550" i="6"/>
  <c r="F550" i="6"/>
  <c r="E550" i="6"/>
  <c r="C550" i="6"/>
  <c r="D550" i="6" s="1"/>
  <c r="B550" i="6"/>
  <c r="A550" i="6"/>
  <c r="K549" i="6"/>
  <c r="J549" i="6"/>
  <c r="I549" i="6"/>
  <c r="H549" i="6"/>
  <c r="G549" i="6"/>
  <c r="F549" i="6"/>
  <c r="E549" i="6"/>
  <c r="C549" i="6"/>
  <c r="D549" i="6" s="1"/>
  <c r="B549" i="6"/>
  <c r="A549" i="6"/>
  <c r="K548" i="6"/>
  <c r="J548" i="6"/>
  <c r="I548" i="6"/>
  <c r="H548" i="6"/>
  <c r="G548" i="6"/>
  <c r="F548" i="6"/>
  <c r="E548" i="6"/>
  <c r="C548" i="6"/>
  <c r="D548" i="6" s="1"/>
  <c r="B548" i="6"/>
  <c r="A548" i="6"/>
  <c r="K547" i="6"/>
  <c r="J547" i="6"/>
  <c r="I547" i="6"/>
  <c r="H547" i="6"/>
  <c r="G547" i="6"/>
  <c r="F547" i="6"/>
  <c r="E547" i="6"/>
  <c r="C547" i="6"/>
  <c r="D547" i="6" s="1"/>
  <c r="B547" i="6"/>
  <c r="A547" i="6"/>
  <c r="K546" i="6"/>
  <c r="J546" i="6"/>
  <c r="I546" i="6"/>
  <c r="H546" i="6"/>
  <c r="G546" i="6"/>
  <c r="F546" i="6"/>
  <c r="E546" i="6"/>
  <c r="C546" i="6"/>
  <c r="D546" i="6" s="1"/>
  <c r="B546" i="6"/>
  <c r="A546" i="6"/>
  <c r="K545" i="6"/>
  <c r="J545" i="6"/>
  <c r="I545" i="6"/>
  <c r="H545" i="6"/>
  <c r="G545" i="6"/>
  <c r="F545" i="6"/>
  <c r="E545" i="6"/>
  <c r="C545" i="6"/>
  <c r="D545" i="6" s="1"/>
  <c r="B545" i="6"/>
  <c r="A545" i="6"/>
  <c r="K544" i="6"/>
  <c r="J544" i="6"/>
  <c r="I544" i="6"/>
  <c r="H544" i="6"/>
  <c r="G544" i="6"/>
  <c r="F544" i="6"/>
  <c r="E544" i="6"/>
  <c r="C544" i="6"/>
  <c r="D544" i="6" s="1"/>
  <c r="B544" i="6"/>
  <c r="A544" i="6"/>
  <c r="K543" i="6"/>
  <c r="J543" i="6"/>
  <c r="I543" i="6"/>
  <c r="H543" i="6"/>
  <c r="G543" i="6"/>
  <c r="F543" i="6"/>
  <c r="E543" i="6"/>
  <c r="C543" i="6"/>
  <c r="D543" i="6" s="1"/>
  <c r="B543" i="6"/>
  <c r="A543" i="6"/>
  <c r="K542" i="6"/>
  <c r="J542" i="6"/>
  <c r="I542" i="6"/>
  <c r="H542" i="6"/>
  <c r="G542" i="6"/>
  <c r="F542" i="6"/>
  <c r="E542" i="6"/>
  <c r="D542" i="6"/>
  <c r="C542" i="6"/>
  <c r="B542" i="6"/>
  <c r="A542" i="6"/>
  <c r="K541" i="6"/>
  <c r="J541" i="6"/>
  <c r="I541" i="6"/>
  <c r="H541" i="6"/>
  <c r="G541" i="6"/>
  <c r="F541" i="6"/>
  <c r="E541" i="6"/>
  <c r="C541" i="6"/>
  <c r="D541" i="6" s="1"/>
  <c r="B541" i="6"/>
  <c r="A541" i="6"/>
  <c r="K540" i="6"/>
  <c r="J540" i="6"/>
  <c r="I540" i="6"/>
  <c r="H540" i="6"/>
  <c r="G540" i="6"/>
  <c r="F540" i="6"/>
  <c r="E540" i="6"/>
  <c r="C540" i="6"/>
  <c r="D540" i="6" s="1"/>
  <c r="B540" i="6"/>
  <c r="A540" i="6"/>
  <c r="K539" i="6"/>
  <c r="J539" i="6"/>
  <c r="I539" i="6"/>
  <c r="H539" i="6"/>
  <c r="G539" i="6"/>
  <c r="F539" i="6"/>
  <c r="E539" i="6"/>
  <c r="C539" i="6"/>
  <c r="D539" i="6" s="1"/>
  <c r="B539" i="6"/>
  <c r="A539" i="6"/>
  <c r="K538" i="6"/>
  <c r="J538" i="6"/>
  <c r="I538" i="6"/>
  <c r="H538" i="6"/>
  <c r="G538" i="6"/>
  <c r="F538" i="6"/>
  <c r="E538" i="6"/>
  <c r="C538" i="6"/>
  <c r="D538" i="6" s="1"/>
  <c r="B538" i="6"/>
  <c r="A538" i="6"/>
  <c r="K537" i="6"/>
  <c r="J537" i="6"/>
  <c r="I537" i="6"/>
  <c r="H537" i="6"/>
  <c r="G537" i="6"/>
  <c r="F537" i="6"/>
  <c r="E537" i="6"/>
  <c r="C537" i="6"/>
  <c r="D537" i="6" s="1"/>
  <c r="B537" i="6"/>
  <c r="A537" i="6"/>
  <c r="K536" i="6"/>
  <c r="J536" i="6"/>
  <c r="I536" i="6"/>
  <c r="H536" i="6"/>
  <c r="G536" i="6"/>
  <c r="F536" i="6"/>
  <c r="E536" i="6"/>
  <c r="C536" i="6"/>
  <c r="D536" i="6" s="1"/>
  <c r="B536" i="6"/>
  <c r="A536" i="6"/>
  <c r="K535" i="6"/>
  <c r="J535" i="6"/>
  <c r="I535" i="6"/>
  <c r="H535" i="6"/>
  <c r="G535" i="6"/>
  <c r="F535" i="6"/>
  <c r="E535" i="6"/>
  <c r="C535" i="6"/>
  <c r="D535" i="6" s="1"/>
  <c r="B535" i="6"/>
  <c r="A535" i="6"/>
  <c r="K534" i="6"/>
  <c r="J534" i="6"/>
  <c r="I534" i="6"/>
  <c r="H534" i="6"/>
  <c r="G534" i="6"/>
  <c r="F534" i="6"/>
  <c r="E534" i="6"/>
  <c r="C534" i="6"/>
  <c r="D534" i="6" s="1"/>
  <c r="B534" i="6"/>
  <c r="A534" i="6"/>
  <c r="K533" i="6"/>
  <c r="J533" i="6"/>
  <c r="I533" i="6"/>
  <c r="H533" i="6"/>
  <c r="G533" i="6"/>
  <c r="F533" i="6"/>
  <c r="E533" i="6"/>
  <c r="C533" i="6"/>
  <c r="D533" i="6" s="1"/>
  <c r="B533" i="6"/>
  <c r="A533" i="6"/>
  <c r="K532" i="6"/>
  <c r="J532" i="6"/>
  <c r="I532" i="6"/>
  <c r="H532" i="6"/>
  <c r="G532" i="6"/>
  <c r="F532" i="6"/>
  <c r="E532" i="6"/>
  <c r="C532" i="6"/>
  <c r="D532" i="6" s="1"/>
  <c r="B532" i="6"/>
  <c r="A532" i="6"/>
  <c r="K531" i="6"/>
  <c r="J531" i="6"/>
  <c r="I531" i="6"/>
  <c r="H531" i="6"/>
  <c r="G531" i="6"/>
  <c r="F531" i="6"/>
  <c r="E531" i="6"/>
  <c r="C531" i="6"/>
  <c r="D531" i="6" s="1"/>
  <c r="B531" i="6"/>
  <c r="A531" i="6"/>
  <c r="K530" i="6"/>
  <c r="J530" i="6"/>
  <c r="I530" i="6"/>
  <c r="H530" i="6"/>
  <c r="G530" i="6"/>
  <c r="F530" i="6"/>
  <c r="E530" i="6"/>
  <c r="C530" i="6"/>
  <c r="D530" i="6" s="1"/>
  <c r="B530" i="6"/>
  <c r="A530" i="6"/>
  <c r="K529" i="6"/>
  <c r="J529" i="6"/>
  <c r="I529" i="6"/>
  <c r="H529" i="6"/>
  <c r="G529" i="6"/>
  <c r="F529" i="6"/>
  <c r="E529" i="6"/>
  <c r="C529" i="6"/>
  <c r="D529" i="6" s="1"/>
  <c r="B529" i="6"/>
  <c r="A529" i="6"/>
  <c r="K528" i="6"/>
  <c r="J528" i="6"/>
  <c r="I528" i="6"/>
  <c r="H528" i="6"/>
  <c r="G528" i="6"/>
  <c r="F528" i="6"/>
  <c r="E528" i="6"/>
  <c r="C528" i="6"/>
  <c r="D528" i="6" s="1"/>
  <c r="B528" i="6"/>
  <c r="A528" i="6"/>
  <c r="K527" i="6"/>
  <c r="J527" i="6"/>
  <c r="I527" i="6"/>
  <c r="H527" i="6"/>
  <c r="G527" i="6"/>
  <c r="F527" i="6"/>
  <c r="E527" i="6"/>
  <c r="C527" i="6"/>
  <c r="D527" i="6" s="1"/>
  <c r="B527" i="6"/>
  <c r="A527" i="6"/>
  <c r="K526" i="6"/>
  <c r="J526" i="6"/>
  <c r="I526" i="6"/>
  <c r="H526" i="6"/>
  <c r="G526" i="6"/>
  <c r="F526" i="6"/>
  <c r="E526" i="6"/>
  <c r="C526" i="6"/>
  <c r="D526" i="6" s="1"/>
  <c r="B526" i="6"/>
  <c r="A526" i="6"/>
  <c r="K525" i="6"/>
  <c r="J525" i="6"/>
  <c r="I525" i="6"/>
  <c r="H525" i="6"/>
  <c r="G525" i="6"/>
  <c r="F525" i="6"/>
  <c r="E525" i="6"/>
  <c r="C525" i="6"/>
  <c r="D525" i="6" s="1"/>
  <c r="B525" i="6"/>
  <c r="A525" i="6"/>
  <c r="K524" i="6"/>
  <c r="J524" i="6"/>
  <c r="I524" i="6"/>
  <c r="H524" i="6"/>
  <c r="G524" i="6"/>
  <c r="F524" i="6"/>
  <c r="E524" i="6"/>
  <c r="C524" i="6"/>
  <c r="D524" i="6" s="1"/>
  <c r="B524" i="6"/>
  <c r="A524" i="6"/>
  <c r="K523" i="6"/>
  <c r="J523" i="6"/>
  <c r="I523" i="6"/>
  <c r="H523" i="6"/>
  <c r="G523" i="6"/>
  <c r="F523" i="6"/>
  <c r="E523" i="6"/>
  <c r="C523" i="6"/>
  <c r="D523" i="6" s="1"/>
  <c r="B523" i="6"/>
  <c r="A523" i="6"/>
  <c r="K522" i="6"/>
  <c r="J522" i="6"/>
  <c r="I522" i="6"/>
  <c r="H522" i="6"/>
  <c r="G522" i="6"/>
  <c r="F522" i="6"/>
  <c r="E522" i="6"/>
  <c r="C522" i="6"/>
  <c r="D522" i="6" s="1"/>
  <c r="B522" i="6"/>
  <c r="A522" i="6"/>
  <c r="K521" i="6"/>
  <c r="J521" i="6"/>
  <c r="I521" i="6"/>
  <c r="H521" i="6"/>
  <c r="G521" i="6"/>
  <c r="F521" i="6"/>
  <c r="E521" i="6"/>
  <c r="C521" i="6"/>
  <c r="D521" i="6" s="1"/>
  <c r="B521" i="6"/>
  <c r="A521" i="6"/>
  <c r="K520" i="6"/>
  <c r="J520" i="6"/>
  <c r="I520" i="6"/>
  <c r="H520" i="6"/>
  <c r="G520" i="6"/>
  <c r="F520" i="6"/>
  <c r="E520" i="6"/>
  <c r="C520" i="6"/>
  <c r="D520" i="6" s="1"/>
  <c r="B520" i="6"/>
  <c r="A520" i="6"/>
  <c r="K519" i="6"/>
  <c r="J519" i="6"/>
  <c r="I519" i="6"/>
  <c r="H519" i="6"/>
  <c r="G519" i="6"/>
  <c r="F519" i="6"/>
  <c r="E519" i="6"/>
  <c r="C519" i="6"/>
  <c r="D519" i="6" s="1"/>
  <c r="B519" i="6"/>
  <c r="A519" i="6"/>
  <c r="K518" i="6"/>
  <c r="J518" i="6"/>
  <c r="I518" i="6"/>
  <c r="H518" i="6"/>
  <c r="G518" i="6"/>
  <c r="F518" i="6"/>
  <c r="E518" i="6"/>
  <c r="C518" i="6"/>
  <c r="D518" i="6" s="1"/>
  <c r="B518" i="6"/>
  <c r="A518" i="6"/>
  <c r="K517" i="6"/>
  <c r="J517" i="6"/>
  <c r="I517" i="6"/>
  <c r="H517" i="6"/>
  <c r="G517" i="6"/>
  <c r="F517" i="6"/>
  <c r="E517" i="6"/>
  <c r="C517" i="6"/>
  <c r="D517" i="6" s="1"/>
  <c r="B517" i="6"/>
  <c r="A517" i="6"/>
  <c r="K516" i="6"/>
  <c r="J516" i="6"/>
  <c r="I516" i="6"/>
  <c r="H516" i="6"/>
  <c r="G516" i="6"/>
  <c r="F516" i="6"/>
  <c r="E516" i="6"/>
  <c r="C516" i="6"/>
  <c r="D516" i="6" s="1"/>
  <c r="B516" i="6"/>
  <c r="A516" i="6"/>
  <c r="K515" i="6"/>
  <c r="J515" i="6"/>
  <c r="I515" i="6"/>
  <c r="H515" i="6"/>
  <c r="G515" i="6"/>
  <c r="F515" i="6"/>
  <c r="E515" i="6"/>
  <c r="C515" i="6"/>
  <c r="D515" i="6" s="1"/>
  <c r="B515" i="6"/>
  <c r="A515" i="6"/>
  <c r="K514" i="6"/>
  <c r="J514" i="6"/>
  <c r="I514" i="6"/>
  <c r="H514" i="6"/>
  <c r="G514" i="6"/>
  <c r="F514" i="6"/>
  <c r="E514" i="6"/>
  <c r="C514" i="6"/>
  <c r="D514" i="6" s="1"/>
  <c r="B514" i="6"/>
  <c r="A514" i="6"/>
  <c r="K513" i="6"/>
  <c r="J513" i="6"/>
  <c r="I513" i="6"/>
  <c r="H513" i="6"/>
  <c r="G513" i="6"/>
  <c r="F513" i="6"/>
  <c r="E513" i="6"/>
  <c r="C513" i="6"/>
  <c r="D513" i="6" s="1"/>
  <c r="B513" i="6"/>
  <c r="A513" i="6"/>
  <c r="K512" i="6"/>
  <c r="J512" i="6"/>
  <c r="I512" i="6"/>
  <c r="H512" i="6"/>
  <c r="G512" i="6"/>
  <c r="F512" i="6"/>
  <c r="E512" i="6"/>
  <c r="C512" i="6"/>
  <c r="D512" i="6" s="1"/>
  <c r="B512" i="6"/>
  <c r="A512" i="6"/>
  <c r="K511" i="6"/>
  <c r="J511" i="6"/>
  <c r="I511" i="6"/>
  <c r="H511" i="6"/>
  <c r="G511" i="6"/>
  <c r="F511" i="6"/>
  <c r="E511" i="6"/>
  <c r="C511" i="6"/>
  <c r="D511" i="6" s="1"/>
  <c r="B511" i="6"/>
  <c r="A511" i="6"/>
  <c r="K510" i="6"/>
  <c r="J510" i="6"/>
  <c r="I510" i="6"/>
  <c r="H510" i="6"/>
  <c r="G510" i="6"/>
  <c r="F510" i="6"/>
  <c r="E510" i="6"/>
  <c r="D510" i="6"/>
  <c r="C510" i="6"/>
  <c r="B510" i="6"/>
  <c r="A510" i="6"/>
  <c r="K509" i="6"/>
  <c r="J509" i="6"/>
  <c r="I509" i="6"/>
  <c r="H509" i="6"/>
  <c r="G509" i="6"/>
  <c r="F509" i="6"/>
  <c r="E509" i="6"/>
  <c r="C509" i="6"/>
  <c r="D509" i="6" s="1"/>
  <c r="B509" i="6"/>
  <c r="A509" i="6"/>
  <c r="K508" i="6"/>
  <c r="J508" i="6"/>
  <c r="I508" i="6"/>
  <c r="H508" i="6"/>
  <c r="G508" i="6"/>
  <c r="F508" i="6"/>
  <c r="E508" i="6"/>
  <c r="C508" i="6"/>
  <c r="D508" i="6" s="1"/>
  <c r="B508" i="6"/>
  <c r="A508" i="6"/>
  <c r="K507" i="6"/>
  <c r="J507" i="6"/>
  <c r="I507" i="6"/>
  <c r="H507" i="6"/>
  <c r="G507" i="6"/>
  <c r="F507" i="6"/>
  <c r="E507" i="6"/>
  <c r="C507" i="6"/>
  <c r="D507" i="6" s="1"/>
  <c r="B507" i="6"/>
  <c r="A507" i="6"/>
  <c r="K506" i="6"/>
  <c r="J506" i="6"/>
  <c r="I506" i="6"/>
  <c r="H506" i="6"/>
  <c r="G506" i="6"/>
  <c r="F506" i="6"/>
  <c r="E506" i="6"/>
  <c r="C506" i="6"/>
  <c r="D506" i="6" s="1"/>
  <c r="B506" i="6"/>
  <c r="A506" i="6"/>
  <c r="K505" i="6"/>
  <c r="J505" i="6"/>
  <c r="I505" i="6"/>
  <c r="H505" i="6"/>
  <c r="G505" i="6"/>
  <c r="F505" i="6"/>
  <c r="E505" i="6"/>
  <c r="C505" i="6"/>
  <c r="D505" i="6" s="1"/>
  <c r="B505" i="6"/>
  <c r="A505" i="6"/>
  <c r="K504" i="6"/>
  <c r="J504" i="6"/>
  <c r="I504" i="6"/>
  <c r="H504" i="6"/>
  <c r="G504" i="6"/>
  <c r="F504" i="6"/>
  <c r="E504" i="6"/>
  <c r="C504" i="6"/>
  <c r="D504" i="6" s="1"/>
  <c r="B504" i="6"/>
  <c r="A504" i="6"/>
  <c r="K503" i="6"/>
  <c r="J503" i="6"/>
  <c r="I503" i="6"/>
  <c r="H503" i="6"/>
  <c r="G503" i="6"/>
  <c r="F503" i="6"/>
  <c r="E503" i="6"/>
  <c r="C503" i="6"/>
  <c r="D503" i="6" s="1"/>
  <c r="B503" i="6"/>
  <c r="A503" i="6"/>
  <c r="K502" i="6"/>
  <c r="J502" i="6"/>
  <c r="I502" i="6"/>
  <c r="H502" i="6"/>
  <c r="G502" i="6"/>
  <c r="F502" i="6"/>
  <c r="E502" i="6"/>
  <c r="C502" i="6"/>
  <c r="D502" i="6" s="1"/>
  <c r="B502" i="6"/>
  <c r="A502" i="6"/>
  <c r="K501" i="6"/>
  <c r="J501" i="6"/>
  <c r="I501" i="6"/>
  <c r="H501" i="6"/>
  <c r="G501" i="6"/>
  <c r="F501" i="6"/>
  <c r="E501" i="6"/>
  <c r="C501" i="6"/>
  <c r="D501" i="6" s="1"/>
  <c r="B501" i="6"/>
  <c r="A501" i="6"/>
  <c r="K500" i="6"/>
  <c r="J500" i="6"/>
  <c r="I500" i="6"/>
  <c r="H500" i="6"/>
  <c r="G500" i="6"/>
  <c r="F500" i="6"/>
  <c r="E500" i="6"/>
  <c r="C500" i="6"/>
  <c r="D500" i="6" s="1"/>
  <c r="B500" i="6"/>
  <c r="A500" i="6"/>
  <c r="K499" i="6"/>
  <c r="J499" i="6"/>
  <c r="I499" i="6"/>
  <c r="H499" i="6"/>
  <c r="G499" i="6"/>
  <c r="F499" i="6"/>
  <c r="E499" i="6"/>
  <c r="C499" i="6"/>
  <c r="D499" i="6" s="1"/>
  <c r="B499" i="6"/>
  <c r="A499" i="6"/>
  <c r="K498" i="6"/>
  <c r="J498" i="6"/>
  <c r="I498" i="6"/>
  <c r="H498" i="6"/>
  <c r="G498" i="6"/>
  <c r="F498" i="6"/>
  <c r="E498" i="6"/>
  <c r="C498" i="6"/>
  <c r="D498" i="6" s="1"/>
  <c r="B498" i="6"/>
  <c r="A498" i="6"/>
  <c r="K497" i="6"/>
  <c r="J497" i="6"/>
  <c r="I497" i="6"/>
  <c r="H497" i="6"/>
  <c r="G497" i="6"/>
  <c r="F497" i="6"/>
  <c r="E497" i="6"/>
  <c r="C497" i="6"/>
  <c r="D497" i="6" s="1"/>
  <c r="B497" i="6"/>
  <c r="A497" i="6"/>
  <c r="K496" i="6"/>
  <c r="J496" i="6"/>
  <c r="I496" i="6"/>
  <c r="H496" i="6"/>
  <c r="G496" i="6"/>
  <c r="F496" i="6"/>
  <c r="E496" i="6"/>
  <c r="C496" i="6"/>
  <c r="D496" i="6" s="1"/>
  <c r="B496" i="6"/>
  <c r="A496" i="6"/>
  <c r="K495" i="6"/>
  <c r="J495" i="6"/>
  <c r="I495" i="6"/>
  <c r="H495" i="6"/>
  <c r="G495" i="6"/>
  <c r="F495" i="6"/>
  <c r="E495" i="6"/>
  <c r="C495" i="6"/>
  <c r="D495" i="6" s="1"/>
  <c r="B495" i="6"/>
  <c r="A495" i="6"/>
  <c r="K494" i="6"/>
  <c r="J494" i="6"/>
  <c r="I494" i="6"/>
  <c r="H494" i="6"/>
  <c r="G494" i="6"/>
  <c r="F494" i="6"/>
  <c r="E494" i="6"/>
  <c r="C494" i="6"/>
  <c r="D494" i="6" s="1"/>
  <c r="B494" i="6"/>
  <c r="A494" i="6"/>
  <c r="K493" i="6"/>
  <c r="J493" i="6"/>
  <c r="I493" i="6"/>
  <c r="H493" i="6"/>
  <c r="G493" i="6"/>
  <c r="F493" i="6"/>
  <c r="E493" i="6"/>
  <c r="C493" i="6"/>
  <c r="D493" i="6" s="1"/>
  <c r="B493" i="6"/>
  <c r="A493" i="6"/>
  <c r="K492" i="6"/>
  <c r="J492" i="6"/>
  <c r="I492" i="6"/>
  <c r="H492" i="6"/>
  <c r="G492" i="6"/>
  <c r="F492" i="6"/>
  <c r="E492" i="6"/>
  <c r="C492" i="6"/>
  <c r="D492" i="6" s="1"/>
  <c r="B492" i="6"/>
  <c r="A492" i="6"/>
  <c r="K491" i="6"/>
  <c r="J491" i="6"/>
  <c r="I491" i="6"/>
  <c r="H491" i="6"/>
  <c r="G491" i="6"/>
  <c r="F491" i="6"/>
  <c r="E491" i="6"/>
  <c r="C491" i="6"/>
  <c r="D491" i="6" s="1"/>
  <c r="B491" i="6"/>
  <c r="A491" i="6"/>
  <c r="K490" i="6"/>
  <c r="J490" i="6"/>
  <c r="I490" i="6"/>
  <c r="H490" i="6"/>
  <c r="G490" i="6"/>
  <c r="F490" i="6"/>
  <c r="E490" i="6"/>
  <c r="C490" i="6"/>
  <c r="D490" i="6" s="1"/>
  <c r="B490" i="6"/>
  <c r="A490" i="6"/>
  <c r="K489" i="6"/>
  <c r="J489" i="6"/>
  <c r="I489" i="6"/>
  <c r="H489" i="6"/>
  <c r="G489" i="6"/>
  <c r="F489" i="6"/>
  <c r="E489" i="6"/>
  <c r="C489" i="6"/>
  <c r="D489" i="6" s="1"/>
  <c r="B489" i="6"/>
  <c r="A489" i="6"/>
  <c r="K488" i="6"/>
  <c r="J488" i="6"/>
  <c r="I488" i="6"/>
  <c r="H488" i="6"/>
  <c r="G488" i="6"/>
  <c r="F488" i="6"/>
  <c r="E488" i="6"/>
  <c r="C488" i="6"/>
  <c r="D488" i="6" s="1"/>
  <c r="B488" i="6"/>
  <c r="A488" i="6"/>
  <c r="K487" i="6"/>
  <c r="J487" i="6"/>
  <c r="I487" i="6"/>
  <c r="H487" i="6"/>
  <c r="G487" i="6"/>
  <c r="F487" i="6"/>
  <c r="E487" i="6"/>
  <c r="C487" i="6"/>
  <c r="D487" i="6" s="1"/>
  <c r="B487" i="6"/>
  <c r="A487" i="6"/>
  <c r="K486" i="6"/>
  <c r="J486" i="6"/>
  <c r="I486" i="6"/>
  <c r="H486" i="6"/>
  <c r="G486" i="6"/>
  <c r="F486" i="6"/>
  <c r="E486" i="6"/>
  <c r="C486" i="6"/>
  <c r="D486" i="6" s="1"/>
  <c r="B486" i="6"/>
  <c r="A486" i="6"/>
  <c r="K485" i="6"/>
  <c r="J485" i="6"/>
  <c r="I485" i="6"/>
  <c r="H485" i="6"/>
  <c r="G485" i="6"/>
  <c r="F485" i="6"/>
  <c r="E485" i="6"/>
  <c r="C485" i="6"/>
  <c r="D485" i="6" s="1"/>
  <c r="B485" i="6"/>
  <c r="A485" i="6"/>
  <c r="K484" i="6"/>
  <c r="J484" i="6"/>
  <c r="I484" i="6"/>
  <c r="H484" i="6"/>
  <c r="G484" i="6"/>
  <c r="F484" i="6"/>
  <c r="E484" i="6"/>
  <c r="C484" i="6"/>
  <c r="D484" i="6" s="1"/>
  <c r="B484" i="6"/>
  <c r="A484" i="6"/>
  <c r="K483" i="6"/>
  <c r="J483" i="6"/>
  <c r="I483" i="6"/>
  <c r="H483" i="6"/>
  <c r="G483" i="6"/>
  <c r="F483" i="6"/>
  <c r="E483" i="6"/>
  <c r="C483" i="6"/>
  <c r="D483" i="6" s="1"/>
  <c r="B483" i="6"/>
  <c r="A483" i="6"/>
  <c r="K482" i="6"/>
  <c r="J482" i="6"/>
  <c r="I482" i="6"/>
  <c r="H482" i="6"/>
  <c r="G482" i="6"/>
  <c r="F482" i="6"/>
  <c r="E482" i="6"/>
  <c r="C482" i="6"/>
  <c r="D482" i="6" s="1"/>
  <c r="B482" i="6"/>
  <c r="A482" i="6"/>
  <c r="K481" i="6"/>
  <c r="J481" i="6"/>
  <c r="I481" i="6"/>
  <c r="H481" i="6"/>
  <c r="G481" i="6"/>
  <c r="F481" i="6"/>
  <c r="E481" i="6"/>
  <c r="C481" i="6"/>
  <c r="D481" i="6" s="1"/>
  <c r="B481" i="6"/>
  <c r="A481" i="6"/>
  <c r="K480" i="6"/>
  <c r="J480" i="6"/>
  <c r="I480" i="6"/>
  <c r="H480" i="6"/>
  <c r="G480" i="6"/>
  <c r="F480" i="6"/>
  <c r="E480" i="6"/>
  <c r="C480" i="6"/>
  <c r="D480" i="6" s="1"/>
  <c r="B480" i="6"/>
  <c r="A480" i="6"/>
  <c r="K479" i="6"/>
  <c r="J479" i="6"/>
  <c r="I479" i="6"/>
  <c r="H479" i="6"/>
  <c r="G479" i="6"/>
  <c r="F479" i="6"/>
  <c r="E479" i="6"/>
  <c r="C479" i="6"/>
  <c r="D479" i="6" s="1"/>
  <c r="B479" i="6"/>
  <c r="A479" i="6"/>
  <c r="K478" i="6"/>
  <c r="J478" i="6"/>
  <c r="I478" i="6"/>
  <c r="H478" i="6"/>
  <c r="G478" i="6"/>
  <c r="F478" i="6"/>
  <c r="E478" i="6"/>
  <c r="C478" i="6"/>
  <c r="D478" i="6" s="1"/>
  <c r="B478" i="6"/>
  <c r="A478" i="6"/>
  <c r="K477" i="6"/>
  <c r="J477" i="6"/>
  <c r="I477" i="6"/>
  <c r="H477" i="6"/>
  <c r="G477" i="6"/>
  <c r="F477" i="6"/>
  <c r="E477" i="6"/>
  <c r="C477" i="6"/>
  <c r="D477" i="6" s="1"/>
  <c r="B477" i="6"/>
  <c r="A477" i="6"/>
  <c r="K476" i="6"/>
  <c r="J476" i="6"/>
  <c r="I476" i="6"/>
  <c r="H476" i="6"/>
  <c r="G476" i="6"/>
  <c r="F476" i="6"/>
  <c r="E476" i="6"/>
  <c r="C476" i="6"/>
  <c r="D476" i="6" s="1"/>
  <c r="B476" i="6"/>
  <c r="A476" i="6"/>
  <c r="K475" i="6"/>
  <c r="J475" i="6"/>
  <c r="I475" i="6"/>
  <c r="H475" i="6"/>
  <c r="G475" i="6"/>
  <c r="F475" i="6"/>
  <c r="E475" i="6"/>
  <c r="C475" i="6"/>
  <c r="D475" i="6" s="1"/>
  <c r="B475" i="6"/>
  <c r="A475" i="6"/>
  <c r="K474" i="6"/>
  <c r="J474" i="6"/>
  <c r="I474" i="6"/>
  <c r="H474" i="6"/>
  <c r="G474" i="6"/>
  <c r="F474" i="6"/>
  <c r="E474" i="6"/>
  <c r="C474" i="6"/>
  <c r="D474" i="6" s="1"/>
  <c r="B474" i="6"/>
  <c r="A474" i="6"/>
  <c r="K473" i="6"/>
  <c r="J473" i="6"/>
  <c r="I473" i="6"/>
  <c r="H473" i="6"/>
  <c r="G473" i="6"/>
  <c r="F473" i="6"/>
  <c r="E473" i="6"/>
  <c r="C473" i="6"/>
  <c r="D473" i="6" s="1"/>
  <c r="B473" i="6"/>
  <c r="A473" i="6"/>
  <c r="K472" i="6"/>
  <c r="J472" i="6"/>
  <c r="I472" i="6"/>
  <c r="H472" i="6"/>
  <c r="G472" i="6"/>
  <c r="F472" i="6"/>
  <c r="E472" i="6"/>
  <c r="C472" i="6"/>
  <c r="D472" i="6" s="1"/>
  <c r="B472" i="6"/>
  <c r="A472" i="6"/>
  <c r="K471" i="6"/>
  <c r="J471" i="6"/>
  <c r="I471" i="6"/>
  <c r="H471" i="6"/>
  <c r="G471" i="6"/>
  <c r="F471" i="6"/>
  <c r="E471" i="6"/>
  <c r="C471" i="6"/>
  <c r="D471" i="6" s="1"/>
  <c r="B471" i="6"/>
  <c r="A471" i="6"/>
  <c r="K470" i="6"/>
  <c r="J470" i="6"/>
  <c r="I470" i="6"/>
  <c r="H470" i="6"/>
  <c r="G470" i="6"/>
  <c r="F470" i="6"/>
  <c r="E470" i="6"/>
  <c r="C470" i="6"/>
  <c r="D470" i="6" s="1"/>
  <c r="B470" i="6"/>
  <c r="A470" i="6"/>
  <c r="K469" i="6"/>
  <c r="J469" i="6"/>
  <c r="I469" i="6"/>
  <c r="H469" i="6"/>
  <c r="G469" i="6"/>
  <c r="F469" i="6"/>
  <c r="E469" i="6"/>
  <c r="C469" i="6"/>
  <c r="D469" i="6" s="1"/>
  <c r="B469" i="6"/>
  <c r="A469" i="6"/>
  <c r="K468" i="6"/>
  <c r="J468" i="6"/>
  <c r="I468" i="6"/>
  <c r="H468" i="6"/>
  <c r="G468" i="6"/>
  <c r="F468" i="6"/>
  <c r="E468" i="6"/>
  <c r="C468" i="6"/>
  <c r="D468" i="6" s="1"/>
  <c r="B468" i="6"/>
  <c r="A468" i="6"/>
  <c r="K467" i="6"/>
  <c r="J467" i="6"/>
  <c r="I467" i="6"/>
  <c r="H467" i="6"/>
  <c r="G467" i="6"/>
  <c r="F467" i="6"/>
  <c r="E467" i="6"/>
  <c r="C467" i="6"/>
  <c r="D467" i="6" s="1"/>
  <c r="B467" i="6"/>
  <c r="A467" i="6"/>
  <c r="K466" i="6"/>
  <c r="J466" i="6"/>
  <c r="I466" i="6"/>
  <c r="H466" i="6"/>
  <c r="G466" i="6"/>
  <c r="F466" i="6"/>
  <c r="E466" i="6"/>
  <c r="C466" i="6"/>
  <c r="D466" i="6" s="1"/>
  <c r="B466" i="6"/>
  <c r="A466" i="6"/>
  <c r="K465" i="6"/>
  <c r="J465" i="6"/>
  <c r="I465" i="6"/>
  <c r="H465" i="6"/>
  <c r="G465" i="6"/>
  <c r="F465" i="6"/>
  <c r="E465" i="6"/>
  <c r="C465" i="6"/>
  <c r="D465" i="6" s="1"/>
  <c r="B465" i="6"/>
  <c r="A465" i="6"/>
  <c r="K464" i="6"/>
  <c r="J464" i="6"/>
  <c r="I464" i="6"/>
  <c r="H464" i="6"/>
  <c r="G464" i="6"/>
  <c r="F464" i="6"/>
  <c r="E464" i="6"/>
  <c r="C464" i="6"/>
  <c r="D464" i="6" s="1"/>
  <c r="B464" i="6"/>
  <c r="A464" i="6"/>
  <c r="K463" i="6"/>
  <c r="J463" i="6"/>
  <c r="I463" i="6"/>
  <c r="H463" i="6"/>
  <c r="G463" i="6"/>
  <c r="F463" i="6"/>
  <c r="E463" i="6"/>
  <c r="C463" i="6"/>
  <c r="D463" i="6" s="1"/>
  <c r="B463" i="6"/>
  <c r="A463" i="6"/>
  <c r="K462" i="6"/>
  <c r="J462" i="6"/>
  <c r="I462" i="6"/>
  <c r="H462" i="6"/>
  <c r="G462" i="6"/>
  <c r="F462" i="6"/>
  <c r="E462" i="6"/>
  <c r="C462" i="6"/>
  <c r="D462" i="6" s="1"/>
  <c r="B462" i="6"/>
  <c r="A462" i="6"/>
  <c r="K461" i="6"/>
  <c r="J461" i="6"/>
  <c r="I461" i="6"/>
  <c r="H461" i="6"/>
  <c r="G461" i="6"/>
  <c r="F461" i="6"/>
  <c r="E461" i="6"/>
  <c r="C461" i="6"/>
  <c r="D461" i="6" s="1"/>
  <c r="B461" i="6"/>
  <c r="A461" i="6"/>
  <c r="K460" i="6"/>
  <c r="J460" i="6"/>
  <c r="I460" i="6"/>
  <c r="H460" i="6"/>
  <c r="G460" i="6"/>
  <c r="F460" i="6"/>
  <c r="E460" i="6"/>
  <c r="C460" i="6"/>
  <c r="D460" i="6" s="1"/>
  <c r="B460" i="6"/>
  <c r="A460" i="6"/>
  <c r="K459" i="6"/>
  <c r="J459" i="6"/>
  <c r="I459" i="6"/>
  <c r="H459" i="6"/>
  <c r="G459" i="6"/>
  <c r="F459" i="6"/>
  <c r="E459" i="6"/>
  <c r="C459" i="6"/>
  <c r="D459" i="6" s="1"/>
  <c r="B459" i="6"/>
  <c r="A459" i="6"/>
  <c r="K458" i="6"/>
  <c r="J458" i="6"/>
  <c r="I458" i="6"/>
  <c r="H458" i="6"/>
  <c r="G458" i="6"/>
  <c r="F458" i="6"/>
  <c r="E458" i="6"/>
  <c r="C458" i="6"/>
  <c r="D458" i="6" s="1"/>
  <c r="B458" i="6"/>
  <c r="A458" i="6"/>
  <c r="K457" i="6"/>
  <c r="J457" i="6"/>
  <c r="I457" i="6"/>
  <c r="H457" i="6"/>
  <c r="G457" i="6"/>
  <c r="F457" i="6"/>
  <c r="E457" i="6"/>
  <c r="C457" i="6"/>
  <c r="D457" i="6" s="1"/>
  <c r="B457" i="6"/>
  <c r="A457" i="6"/>
  <c r="K456" i="6"/>
  <c r="J456" i="6"/>
  <c r="I456" i="6"/>
  <c r="H456" i="6"/>
  <c r="G456" i="6"/>
  <c r="F456" i="6"/>
  <c r="E456" i="6"/>
  <c r="C456" i="6"/>
  <c r="D456" i="6" s="1"/>
  <c r="B456" i="6"/>
  <c r="A456" i="6"/>
  <c r="K455" i="6"/>
  <c r="J455" i="6"/>
  <c r="I455" i="6"/>
  <c r="H455" i="6"/>
  <c r="G455" i="6"/>
  <c r="F455" i="6"/>
  <c r="E455" i="6"/>
  <c r="C455" i="6"/>
  <c r="D455" i="6" s="1"/>
  <c r="B455" i="6"/>
  <c r="A455" i="6"/>
  <c r="K454" i="6"/>
  <c r="J454" i="6"/>
  <c r="I454" i="6"/>
  <c r="H454" i="6"/>
  <c r="G454" i="6"/>
  <c r="F454" i="6"/>
  <c r="E454" i="6"/>
  <c r="C454" i="6"/>
  <c r="D454" i="6" s="1"/>
  <c r="B454" i="6"/>
  <c r="A454" i="6"/>
  <c r="K453" i="6"/>
  <c r="J453" i="6"/>
  <c r="I453" i="6"/>
  <c r="H453" i="6"/>
  <c r="G453" i="6"/>
  <c r="F453" i="6"/>
  <c r="E453" i="6"/>
  <c r="C453" i="6"/>
  <c r="D453" i="6" s="1"/>
  <c r="B453" i="6"/>
  <c r="A453" i="6"/>
  <c r="K452" i="6"/>
  <c r="J452" i="6"/>
  <c r="I452" i="6"/>
  <c r="H452" i="6"/>
  <c r="G452" i="6"/>
  <c r="F452" i="6"/>
  <c r="E452" i="6"/>
  <c r="C452" i="6"/>
  <c r="D452" i="6" s="1"/>
  <c r="B452" i="6"/>
  <c r="A452" i="6"/>
  <c r="K451" i="6"/>
  <c r="J451" i="6"/>
  <c r="I451" i="6"/>
  <c r="H451" i="6"/>
  <c r="G451" i="6"/>
  <c r="F451" i="6"/>
  <c r="E451" i="6"/>
  <c r="C451" i="6"/>
  <c r="D451" i="6" s="1"/>
  <c r="B451" i="6"/>
  <c r="A451" i="6"/>
  <c r="K450" i="6"/>
  <c r="J450" i="6"/>
  <c r="I450" i="6"/>
  <c r="H450" i="6"/>
  <c r="G450" i="6"/>
  <c r="F450" i="6"/>
  <c r="E450" i="6"/>
  <c r="C450" i="6"/>
  <c r="D450" i="6" s="1"/>
  <c r="B450" i="6"/>
  <c r="A450" i="6"/>
  <c r="K449" i="6"/>
  <c r="J449" i="6"/>
  <c r="I449" i="6"/>
  <c r="H449" i="6"/>
  <c r="G449" i="6"/>
  <c r="F449" i="6"/>
  <c r="E449" i="6"/>
  <c r="C449" i="6"/>
  <c r="D449" i="6" s="1"/>
  <c r="B449" i="6"/>
  <c r="A449" i="6"/>
  <c r="K448" i="6"/>
  <c r="J448" i="6"/>
  <c r="I448" i="6"/>
  <c r="H448" i="6"/>
  <c r="G448" i="6"/>
  <c r="F448" i="6"/>
  <c r="E448" i="6"/>
  <c r="C448" i="6"/>
  <c r="D448" i="6" s="1"/>
  <c r="B448" i="6"/>
  <c r="A448" i="6"/>
  <c r="K447" i="6"/>
  <c r="J447" i="6"/>
  <c r="I447" i="6"/>
  <c r="H447" i="6"/>
  <c r="G447" i="6"/>
  <c r="F447" i="6"/>
  <c r="E447" i="6"/>
  <c r="C447" i="6"/>
  <c r="D447" i="6" s="1"/>
  <c r="B447" i="6"/>
  <c r="A447" i="6"/>
  <c r="K446" i="6"/>
  <c r="J446" i="6"/>
  <c r="I446" i="6"/>
  <c r="H446" i="6"/>
  <c r="G446" i="6"/>
  <c r="F446" i="6"/>
  <c r="E446" i="6"/>
  <c r="C446" i="6"/>
  <c r="D446" i="6" s="1"/>
  <c r="B446" i="6"/>
  <c r="A446" i="6"/>
  <c r="K445" i="6"/>
  <c r="J445" i="6"/>
  <c r="I445" i="6"/>
  <c r="H445" i="6"/>
  <c r="G445" i="6"/>
  <c r="F445" i="6"/>
  <c r="E445" i="6"/>
  <c r="C445" i="6"/>
  <c r="D445" i="6" s="1"/>
  <c r="B445" i="6"/>
  <c r="A445" i="6"/>
  <c r="K444" i="6"/>
  <c r="J444" i="6"/>
  <c r="I444" i="6"/>
  <c r="H444" i="6"/>
  <c r="G444" i="6"/>
  <c r="F444" i="6"/>
  <c r="E444" i="6"/>
  <c r="C444" i="6"/>
  <c r="D444" i="6" s="1"/>
  <c r="B444" i="6"/>
  <c r="A444" i="6"/>
  <c r="K443" i="6"/>
  <c r="J443" i="6"/>
  <c r="I443" i="6"/>
  <c r="H443" i="6"/>
  <c r="G443" i="6"/>
  <c r="F443" i="6"/>
  <c r="E443" i="6"/>
  <c r="C443" i="6"/>
  <c r="D443" i="6" s="1"/>
  <c r="B443" i="6"/>
  <c r="A443" i="6"/>
  <c r="K442" i="6"/>
  <c r="J442" i="6"/>
  <c r="I442" i="6"/>
  <c r="H442" i="6"/>
  <c r="G442" i="6"/>
  <c r="F442" i="6"/>
  <c r="E442" i="6"/>
  <c r="C442" i="6"/>
  <c r="D442" i="6" s="1"/>
  <c r="B442" i="6"/>
  <c r="A442" i="6"/>
  <c r="K441" i="6"/>
  <c r="J441" i="6"/>
  <c r="I441" i="6"/>
  <c r="H441" i="6"/>
  <c r="G441" i="6"/>
  <c r="F441" i="6"/>
  <c r="E441" i="6"/>
  <c r="C441" i="6"/>
  <c r="D441" i="6" s="1"/>
  <c r="B441" i="6"/>
  <c r="A441" i="6"/>
  <c r="K440" i="6"/>
  <c r="J440" i="6"/>
  <c r="I440" i="6"/>
  <c r="H440" i="6"/>
  <c r="G440" i="6"/>
  <c r="F440" i="6"/>
  <c r="E440" i="6"/>
  <c r="C440" i="6"/>
  <c r="D440" i="6" s="1"/>
  <c r="B440" i="6"/>
  <c r="A440" i="6"/>
  <c r="K439" i="6"/>
  <c r="J439" i="6"/>
  <c r="I439" i="6"/>
  <c r="H439" i="6"/>
  <c r="G439" i="6"/>
  <c r="F439" i="6"/>
  <c r="E439" i="6"/>
  <c r="C439" i="6"/>
  <c r="D439" i="6" s="1"/>
  <c r="B439" i="6"/>
  <c r="A439" i="6"/>
  <c r="K438" i="6"/>
  <c r="J438" i="6"/>
  <c r="I438" i="6"/>
  <c r="H438" i="6"/>
  <c r="G438" i="6"/>
  <c r="F438" i="6"/>
  <c r="E438" i="6"/>
  <c r="C438" i="6"/>
  <c r="D438" i="6" s="1"/>
  <c r="B438" i="6"/>
  <c r="A438" i="6"/>
  <c r="K437" i="6"/>
  <c r="J437" i="6"/>
  <c r="I437" i="6"/>
  <c r="H437" i="6"/>
  <c r="G437" i="6"/>
  <c r="F437" i="6"/>
  <c r="E437" i="6"/>
  <c r="C437" i="6"/>
  <c r="D437" i="6" s="1"/>
  <c r="B437" i="6"/>
  <c r="A437" i="6"/>
  <c r="K436" i="6"/>
  <c r="J436" i="6"/>
  <c r="I436" i="6"/>
  <c r="H436" i="6"/>
  <c r="G436" i="6"/>
  <c r="F436" i="6"/>
  <c r="E436" i="6"/>
  <c r="C436" i="6"/>
  <c r="D436" i="6" s="1"/>
  <c r="B436" i="6"/>
  <c r="A436" i="6"/>
  <c r="K435" i="6"/>
  <c r="J435" i="6"/>
  <c r="I435" i="6"/>
  <c r="H435" i="6"/>
  <c r="G435" i="6"/>
  <c r="F435" i="6"/>
  <c r="E435" i="6"/>
  <c r="C435" i="6"/>
  <c r="D435" i="6" s="1"/>
  <c r="B435" i="6"/>
  <c r="A435" i="6"/>
  <c r="K434" i="6"/>
  <c r="J434" i="6"/>
  <c r="I434" i="6"/>
  <c r="H434" i="6"/>
  <c r="G434" i="6"/>
  <c r="F434" i="6"/>
  <c r="E434" i="6"/>
  <c r="C434" i="6"/>
  <c r="D434" i="6" s="1"/>
  <c r="B434" i="6"/>
  <c r="A434" i="6"/>
  <c r="K433" i="6"/>
  <c r="J433" i="6"/>
  <c r="I433" i="6"/>
  <c r="H433" i="6"/>
  <c r="G433" i="6"/>
  <c r="F433" i="6"/>
  <c r="E433" i="6"/>
  <c r="C433" i="6"/>
  <c r="D433" i="6" s="1"/>
  <c r="B433" i="6"/>
  <c r="A433" i="6"/>
  <c r="K432" i="6"/>
  <c r="J432" i="6"/>
  <c r="I432" i="6"/>
  <c r="H432" i="6"/>
  <c r="G432" i="6"/>
  <c r="F432" i="6"/>
  <c r="E432" i="6"/>
  <c r="C432" i="6"/>
  <c r="D432" i="6" s="1"/>
  <c r="B432" i="6"/>
  <c r="A432" i="6"/>
  <c r="K431" i="6"/>
  <c r="J431" i="6"/>
  <c r="I431" i="6"/>
  <c r="H431" i="6"/>
  <c r="G431" i="6"/>
  <c r="F431" i="6"/>
  <c r="E431" i="6"/>
  <c r="C431" i="6"/>
  <c r="D431" i="6" s="1"/>
  <c r="B431" i="6"/>
  <c r="A431" i="6"/>
  <c r="K430" i="6"/>
  <c r="J430" i="6"/>
  <c r="I430" i="6"/>
  <c r="H430" i="6"/>
  <c r="G430" i="6"/>
  <c r="F430" i="6"/>
  <c r="E430" i="6"/>
  <c r="C430" i="6"/>
  <c r="D430" i="6" s="1"/>
  <c r="B430" i="6"/>
  <c r="A430" i="6"/>
  <c r="K429" i="6"/>
  <c r="J429" i="6"/>
  <c r="I429" i="6"/>
  <c r="H429" i="6"/>
  <c r="G429" i="6"/>
  <c r="F429" i="6"/>
  <c r="E429" i="6"/>
  <c r="C429" i="6"/>
  <c r="D429" i="6" s="1"/>
  <c r="B429" i="6"/>
  <c r="A429" i="6"/>
  <c r="K428" i="6"/>
  <c r="J428" i="6"/>
  <c r="I428" i="6"/>
  <c r="H428" i="6"/>
  <c r="G428" i="6"/>
  <c r="F428" i="6"/>
  <c r="E428" i="6"/>
  <c r="C428" i="6"/>
  <c r="D428" i="6" s="1"/>
  <c r="B428" i="6"/>
  <c r="A428" i="6"/>
  <c r="K427" i="6"/>
  <c r="J427" i="6"/>
  <c r="I427" i="6"/>
  <c r="H427" i="6"/>
  <c r="G427" i="6"/>
  <c r="F427" i="6"/>
  <c r="E427" i="6"/>
  <c r="C427" i="6"/>
  <c r="D427" i="6" s="1"/>
  <c r="B427" i="6"/>
  <c r="A427" i="6"/>
  <c r="K426" i="6"/>
  <c r="J426" i="6"/>
  <c r="I426" i="6"/>
  <c r="H426" i="6"/>
  <c r="G426" i="6"/>
  <c r="F426" i="6"/>
  <c r="E426" i="6"/>
  <c r="C426" i="6"/>
  <c r="D426" i="6" s="1"/>
  <c r="B426" i="6"/>
  <c r="A426" i="6"/>
  <c r="K425" i="6"/>
  <c r="J425" i="6"/>
  <c r="I425" i="6"/>
  <c r="H425" i="6"/>
  <c r="G425" i="6"/>
  <c r="F425" i="6"/>
  <c r="E425" i="6"/>
  <c r="C425" i="6"/>
  <c r="D425" i="6" s="1"/>
  <c r="B425" i="6"/>
  <c r="A425" i="6"/>
  <c r="K424" i="6"/>
  <c r="J424" i="6"/>
  <c r="I424" i="6"/>
  <c r="H424" i="6"/>
  <c r="G424" i="6"/>
  <c r="F424" i="6"/>
  <c r="E424" i="6"/>
  <c r="C424" i="6"/>
  <c r="D424" i="6" s="1"/>
  <c r="B424" i="6"/>
  <c r="A424" i="6"/>
  <c r="K423" i="6"/>
  <c r="J423" i="6"/>
  <c r="I423" i="6"/>
  <c r="H423" i="6"/>
  <c r="G423" i="6"/>
  <c r="F423" i="6"/>
  <c r="E423" i="6"/>
  <c r="C423" i="6"/>
  <c r="D423" i="6" s="1"/>
  <c r="B423" i="6"/>
  <c r="A423" i="6"/>
  <c r="K422" i="6"/>
  <c r="J422" i="6"/>
  <c r="I422" i="6"/>
  <c r="H422" i="6"/>
  <c r="G422" i="6"/>
  <c r="F422" i="6"/>
  <c r="E422" i="6"/>
  <c r="C422" i="6"/>
  <c r="D422" i="6" s="1"/>
  <c r="B422" i="6"/>
  <c r="A422" i="6"/>
  <c r="K421" i="6"/>
  <c r="J421" i="6"/>
  <c r="I421" i="6"/>
  <c r="H421" i="6"/>
  <c r="G421" i="6"/>
  <c r="F421" i="6"/>
  <c r="E421" i="6"/>
  <c r="C421" i="6"/>
  <c r="D421" i="6" s="1"/>
  <c r="B421" i="6"/>
  <c r="A421" i="6"/>
  <c r="K420" i="6"/>
  <c r="J420" i="6"/>
  <c r="I420" i="6"/>
  <c r="H420" i="6"/>
  <c r="G420" i="6"/>
  <c r="F420" i="6"/>
  <c r="E420" i="6"/>
  <c r="C420" i="6"/>
  <c r="D420" i="6" s="1"/>
  <c r="B420" i="6"/>
  <c r="A420" i="6"/>
  <c r="K419" i="6"/>
  <c r="J419" i="6"/>
  <c r="I419" i="6"/>
  <c r="H419" i="6"/>
  <c r="G419" i="6"/>
  <c r="F419" i="6"/>
  <c r="E419" i="6"/>
  <c r="C419" i="6"/>
  <c r="D419" i="6" s="1"/>
  <c r="B419" i="6"/>
  <c r="A419" i="6"/>
  <c r="K418" i="6"/>
  <c r="J418" i="6"/>
  <c r="I418" i="6"/>
  <c r="H418" i="6"/>
  <c r="G418" i="6"/>
  <c r="F418" i="6"/>
  <c r="E418" i="6"/>
  <c r="C418" i="6"/>
  <c r="D418" i="6" s="1"/>
  <c r="B418" i="6"/>
  <c r="A418" i="6"/>
  <c r="K417" i="6"/>
  <c r="J417" i="6"/>
  <c r="I417" i="6"/>
  <c r="H417" i="6"/>
  <c r="G417" i="6"/>
  <c r="F417" i="6"/>
  <c r="E417" i="6"/>
  <c r="C417" i="6"/>
  <c r="D417" i="6" s="1"/>
  <c r="B417" i="6"/>
  <c r="A417" i="6"/>
  <c r="K416" i="6"/>
  <c r="J416" i="6"/>
  <c r="I416" i="6"/>
  <c r="H416" i="6"/>
  <c r="G416" i="6"/>
  <c r="F416" i="6"/>
  <c r="E416" i="6"/>
  <c r="C416" i="6"/>
  <c r="D416" i="6" s="1"/>
  <c r="B416" i="6"/>
  <c r="A416" i="6"/>
  <c r="K415" i="6"/>
  <c r="J415" i="6"/>
  <c r="I415" i="6"/>
  <c r="H415" i="6"/>
  <c r="G415" i="6"/>
  <c r="F415" i="6"/>
  <c r="E415" i="6"/>
  <c r="C415" i="6"/>
  <c r="D415" i="6" s="1"/>
  <c r="B415" i="6"/>
  <c r="A415" i="6"/>
  <c r="K414" i="6"/>
  <c r="J414" i="6"/>
  <c r="I414" i="6"/>
  <c r="H414" i="6"/>
  <c r="G414" i="6"/>
  <c r="F414" i="6"/>
  <c r="E414" i="6"/>
  <c r="D414" i="6"/>
  <c r="C414" i="6"/>
  <c r="B414" i="6"/>
  <c r="A414" i="6"/>
  <c r="K413" i="6"/>
  <c r="J413" i="6"/>
  <c r="I413" i="6"/>
  <c r="H413" i="6"/>
  <c r="G413" i="6"/>
  <c r="F413" i="6"/>
  <c r="E413" i="6"/>
  <c r="C413" i="6"/>
  <c r="D413" i="6" s="1"/>
  <c r="B413" i="6"/>
  <c r="A413" i="6"/>
  <c r="K412" i="6"/>
  <c r="J412" i="6"/>
  <c r="I412" i="6"/>
  <c r="H412" i="6"/>
  <c r="G412" i="6"/>
  <c r="F412" i="6"/>
  <c r="E412" i="6"/>
  <c r="C412" i="6"/>
  <c r="D412" i="6" s="1"/>
  <c r="B412" i="6"/>
  <c r="A412" i="6"/>
  <c r="K411" i="6"/>
  <c r="J411" i="6"/>
  <c r="I411" i="6"/>
  <c r="H411" i="6"/>
  <c r="G411" i="6"/>
  <c r="F411" i="6"/>
  <c r="E411" i="6"/>
  <c r="C411" i="6"/>
  <c r="D411" i="6" s="1"/>
  <c r="B411" i="6"/>
  <c r="A411" i="6"/>
  <c r="K410" i="6"/>
  <c r="J410" i="6"/>
  <c r="I410" i="6"/>
  <c r="H410" i="6"/>
  <c r="G410" i="6"/>
  <c r="F410" i="6"/>
  <c r="E410" i="6"/>
  <c r="C410" i="6"/>
  <c r="D410" i="6" s="1"/>
  <c r="B410" i="6"/>
  <c r="A410" i="6"/>
  <c r="K409" i="6"/>
  <c r="J409" i="6"/>
  <c r="I409" i="6"/>
  <c r="H409" i="6"/>
  <c r="G409" i="6"/>
  <c r="F409" i="6"/>
  <c r="E409" i="6"/>
  <c r="C409" i="6"/>
  <c r="D409" i="6" s="1"/>
  <c r="B409" i="6"/>
  <c r="A409" i="6"/>
  <c r="K408" i="6"/>
  <c r="J408" i="6"/>
  <c r="I408" i="6"/>
  <c r="H408" i="6"/>
  <c r="G408" i="6"/>
  <c r="F408" i="6"/>
  <c r="E408" i="6"/>
  <c r="C408" i="6"/>
  <c r="D408" i="6" s="1"/>
  <c r="B408" i="6"/>
  <c r="A408" i="6"/>
  <c r="K407" i="6"/>
  <c r="J407" i="6"/>
  <c r="I407" i="6"/>
  <c r="H407" i="6"/>
  <c r="G407" i="6"/>
  <c r="F407" i="6"/>
  <c r="E407" i="6"/>
  <c r="C407" i="6"/>
  <c r="D407" i="6" s="1"/>
  <c r="B407" i="6"/>
  <c r="A407" i="6"/>
  <c r="K406" i="6"/>
  <c r="J406" i="6"/>
  <c r="I406" i="6"/>
  <c r="H406" i="6"/>
  <c r="G406" i="6"/>
  <c r="F406" i="6"/>
  <c r="E406" i="6"/>
  <c r="C406" i="6"/>
  <c r="D406" i="6" s="1"/>
  <c r="B406" i="6"/>
  <c r="A406" i="6"/>
  <c r="K405" i="6"/>
  <c r="J405" i="6"/>
  <c r="I405" i="6"/>
  <c r="H405" i="6"/>
  <c r="G405" i="6"/>
  <c r="F405" i="6"/>
  <c r="E405" i="6"/>
  <c r="C405" i="6"/>
  <c r="D405" i="6" s="1"/>
  <c r="B405" i="6"/>
  <c r="A405" i="6"/>
  <c r="K404" i="6"/>
  <c r="J404" i="6"/>
  <c r="I404" i="6"/>
  <c r="H404" i="6"/>
  <c r="G404" i="6"/>
  <c r="F404" i="6"/>
  <c r="E404" i="6"/>
  <c r="C404" i="6"/>
  <c r="D404" i="6" s="1"/>
  <c r="B404" i="6"/>
  <c r="A404" i="6"/>
  <c r="K403" i="6"/>
  <c r="J403" i="6"/>
  <c r="I403" i="6"/>
  <c r="H403" i="6"/>
  <c r="G403" i="6"/>
  <c r="F403" i="6"/>
  <c r="E403" i="6"/>
  <c r="C403" i="6"/>
  <c r="D403" i="6" s="1"/>
  <c r="B403" i="6"/>
  <c r="A403" i="6"/>
  <c r="K402" i="6"/>
  <c r="J402" i="6"/>
  <c r="I402" i="6"/>
  <c r="H402" i="6"/>
  <c r="G402" i="6"/>
  <c r="F402" i="6"/>
  <c r="E402" i="6"/>
  <c r="C402" i="6"/>
  <c r="D402" i="6" s="1"/>
  <c r="B402" i="6"/>
  <c r="A402" i="6"/>
  <c r="K401" i="6"/>
  <c r="J401" i="6"/>
  <c r="I401" i="6"/>
  <c r="H401" i="6"/>
  <c r="G401" i="6"/>
  <c r="F401" i="6"/>
  <c r="E401" i="6"/>
  <c r="C401" i="6"/>
  <c r="D401" i="6" s="1"/>
  <c r="B401" i="6"/>
  <c r="A401" i="6"/>
  <c r="K400" i="6"/>
  <c r="J400" i="6"/>
  <c r="I400" i="6"/>
  <c r="H400" i="6"/>
  <c r="G400" i="6"/>
  <c r="F400" i="6"/>
  <c r="E400" i="6"/>
  <c r="C400" i="6"/>
  <c r="D400" i="6" s="1"/>
  <c r="B400" i="6"/>
  <c r="A400" i="6"/>
  <c r="K399" i="6"/>
  <c r="J399" i="6"/>
  <c r="I399" i="6"/>
  <c r="H399" i="6"/>
  <c r="G399" i="6"/>
  <c r="F399" i="6"/>
  <c r="E399" i="6"/>
  <c r="C399" i="6"/>
  <c r="D399" i="6" s="1"/>
  <c r="B399" i="6"/>
  <c r="A399" i="6"/>
  <c r="K398" i="6"/>
  <c r="J398" i="6"/>
  <c r="I398" i="6"/>
  <c r="H398" i="6"/>
  <c r="G398" i="6"/>
  <c r="F398" i="6"/>
  <c r="E398" i="6"/>
  <c r="C398" i="6"/>
  <c r="D398" i="6" s="1"/>
  <c r="B398" i="6"/>
  <c r="A398" i="6"/>
  <c r="K397" i="6"/>
  <c r="J397" i="6"/>
  <c r="I397" i="6"/>
  <c r="H397" i="6"/>
  <c r="G397" i="6"/>
  <c r="F397" i="6"/>
  <c r="E397" i="6"/>
  <c r="C397" i="6"/>
  <c r="D397" i="6" s="1"/>
  <c r="B397" i="6"/>
  <c r="A397" i="6"/>
  <c r="K396" i="6"/>
  <c r="J396" i="6"/>
  <c r="I396" i="6"/>
  <c r="H396" i="6"/>
  <c r="G396" i="6"/>
  <c r="F396" i="6"/>
  <c r="E396" i="6"/>
  <c r="C396" i="6"/>
  <c r="D396" i="6" s="1"/>
  <c r="B396" i="6"/>
  <c r="A396" i="6"/>
  <c r="K395" i="6"/>
  <c r="J395" i="6"/>
  <c r="I395" i="6"/>
  <c r="H395" i="6"/>
  <c r="G395" i="6"/>
  <c r="F395" i="6"/>
  <c r="E395" i="6"/>
  <c r="C395" i="6"/>
  <c r="D395" i="6" s="1"/>
  <c r="B395" i="6"/>
  <c r="A395" i="6"/>
  <c r="K394" i="6"/>
  <c r="J394" i="6"/>
  <c r="I394" i="6"/>
  <c r="H394" i="6"/>
  <c r="G394" i="6"/>
  <c r="F394" i="6"/>
  <c r="E394" i="6"/>
  <c r="C394" i="6"/>
  <c r="D394" i="6" s="1"/>
  <c r="B394" i="6"/>
  <c r="A394" i="6"/>
  <c r="K393" i="6"/>
  <c r="J393" i="6"/>
  <c r="I393" i="6"/>
  <c r="H393" i="6"/>
  <c r="G393" i="6"/>
  <c r="F393" i="6"/>
  <c r="E393" i="6"/>
  <c r="C393" i="6"/>
  <c r="D393" i="6" s="1"/>
  <c r="B393" i="6"/>
  <c r="A393" i="6"/>
  <c r="K392" i="6"/>
  <c r="J392" i="6"/>
  <c r="I392" i="6"/>
  <c r="H392" i="6"/>
  <c r="G392" i="6"/>
  <c r="F392" i="6"/>
  <c r="E392" i="6"/>
  <c r="C392" i="6"/>
  <c r="D392" i="6" s="1"/>
  <c r="B392" i="6"/>
  <c r="A392" i="6"/>
  <c r="K391" i="6"/>
  <c r="J391" i="6"/>
  <c r="I391" i="6"/>
  <c r="H391" i="6"/>
  <c r="G391" i="6"/>
  <c r="F391" i="6"/>
  <c r="E391" i="6"/>
  <c r="C391" i="6"/>
  <c r="D391" i="6" s="1"/>
  <c r="B391" i="6"/>
  <c r="A391" i="6"/>
  <c r="K390" i="6"/>
  <c r="J390" i="6"/>
  <c r="I390" i="6"/>
  <c r="H390" i="6"/>
  <c r="G390" i="6"/>
  <c r="F390" i="6"/>
  <c r="E390" i="6"/>
  <c r="C390" i="6"/>
  <c r="D390" i="6" s="1"/>
  <c r="B390" i="6"/>
  <c r="A390" i="6"/>
  <c r="K389" i="6"/>
  <c r="J389" i="6"/>
  <c r="I389" i="6"/>
  <c r="H389" i="6"/>
  <c r="G389" i="6"/>
  <c r="F389" i="6"/>
  <c r="E389" i="6"/>
  <c r="C389" i="6"/>
  <c r="D389" i="6" s="1"/>
  <c r="B389" i="6"/>
  <c r="A389" i="6"/>
  <c r="K388" i="6"/>
  <c r="J388" i="6"/>
  <c r="I388" i="6"/>
  <c r="H388" i="6"/>
  <c r="G388" i="6"/>
  <c r="F388" i="6"/>
  <c r="E388" i="6"/>
  <c r="C388" i="6"/>
  <c r="D388" i="6" s="1"/>
  <c r="B388" i="6"/>
  <c r="A388" i="6"/>
  <c r="K387" i="6"/>
  <c r="J387" i="6"/>
  <c r="I387" i="6"/>
  <c r="H387" i="6"/>
  <c r="G387" i="6"/>
  <c r="F387" i="6"/>
  <c r="E387" i="6"/>
  <c r="C387" i="6"/>
  <c r="D387" i="6" s="1"/>
  <c r="B387" i="6"/>
  <c r="A387" i="6"/>
  <c r="K386" i="6"/>
  <c r="J386" i="6"/>
  <c r="I386" i="6"/>
  <c r="H386" i="6"/>
  <c r="G386" i="6"/>
  <c r="F386" i="6"/>
  <c r="E386" i="6"/>
  <c r="C386" i="6"/>
  <c r="D386" i="6" s="1"/>
  <c r="B386" i="6"/>
  <c r="A386" i="6"/>
  <c r="K385" i="6"/>
  <c r="J385" i="6"/>
  <c r="I385" i="6"/>
  <c r="H385" i="6"/>
  <c r="G385" i="6"/>
  <c r="F385" i="6"/>
  <c r="E385" i="6"/>
  <c r="C385" i="6"/>
  <c r="D385" i="6" s="1"/>
  <c r="B385" i="6"/>
  <c r="A385" i="6"/>
  <c r="K384" i="6"/>
  <c r="J384" i="6"/>
  <c r="I384" i="6"/>
  <c r="H384" i="6"/>
  <c r="G384" i="6"/>
  <c r="F384" i="6"/>
  <c r="E384" i="6"/>
  <c r="C384" i="6"/>
  <c r="D384" i="6" s="1"/>
  <c r="B384" i="6"/>
  <c r="A384" i="6"/>
  <c r="K383" i="6"/>
  <c r="J383" i="6"/>
  <c r="I383" i="6"/>
  <c r="H383" i="6"/>
  <c r="G383" i="6"/>
  <c r="F383" i="6"/>
  <c r="E383" i="6"/>
  <c r="C383" i="6"/>
  <c r="D383" i="6" s="1"/>
  <c r="B383" i="6"/>
  <c r="A383" i="6"/>
  <c r="K382" i="6"/>
  <c r="J382" i="6"/>
  <c r="I382" i="6"/>
  <c r="H382" i="6"/>
  <c r="G382" i="6"/>
  <c r="F382" i="6"/>
  <c r="E382" i="6"/>
  <c r="C382" i="6"/>
  <c r="D382" i="6" s="1"/>
  <c r="B382" i="6"/>
  <c r="A382" i="6"/>
  <c r="K381" i="6"/>
  <c r="J381" i="6"/>
  <c r="I381" i="6"/>
  <c r="H381" i="6"/>
  <c r="G381" i="6"/>
  <c r="F381" i="6"/>
  <c r="E381" i="6"/>
  <c r="C381" i="6"/>
  <c r="D381" i="6" s="1"/>
  <c r="B381" i="6"/>
  <c r="A381" i="6"/>
  <c r="K380" i="6"/>
  <c r="J380" i="6"/>
  <c r="I380" i="6"/>
  <c r="H380" i="6"/>
  <c r="G380" i="6"/>
  <c r="F380" i="6"/>
  <c r="E380" i="6"/>
  <c r="C380" i="6"/>
  <c r="D380" i="6" s="1"/>
  <c r="B380" i="6"/>
  <c r="A380" i="6"/>
  <c r="K379" i="6"/>
  <c r="J379" i="6"/>
  <c r="I379" i="6"/>
  <c r="H379" i="6"/>
  <c r="G379" i="6"/>
  <c r="F379" i="6"/>
  <c r="E379" i="6"/>
  <c r="C379" i="6"/>
  <c r="D379" i="6" s="1"/>
  <c r="B379" i="6"/>
  <c r="A379" i="6"/>
  <c r="K378" i="6"/>
  <c r="J378" i="6"/>
  <c r="I378" i="6"/>
  <c r="H378" i="6"/>
  <c r="G378" i="6"/>
  <c r="F378" i="6"/>
  <c r="E378" i="6"/>
  <c r="C378" i="6"/>
  <c r="D378" i="6" s="1"/>
  <c r="B378" i="6"/>
  <c r="A378" i="6"/>
  <c r="K377" i="6"/>
  <c r="J377" i="6"/>
  <c r="I377" i="6"/>
  <c r="H377" i="6"/>
  <c r="G377" i="6"/>
  <c r="F377" i="6"/>
  <c r="E377" i="6"/>
  <c r="C377" i="6"/>
  <c r="D377" i="6" s="1"/>
  <c r="B377" i="6"/>
  <c r="A377" i="6"/>
  <c r="K376" i="6"/>
  <c r="J376" i="6"/>
  <c r="I376" i="6"/>
  <c r="H376" i="6"/>
  <c r="G376" i="6"/>
  <c r="F376" i="6"/>
  <c r="E376" i="6"/>
  <c r="C376" i="6"/>
  <c r="D376" i="6" s="1"/>
  <c r="B376" i="6"/>
  <c r="A376" i="6"/>
  <c r="K375" i="6"/>
  <c r="J375" i="6"/>
  <c r="I375" i="6"/>
  <c r="H375" i="6"/>
  <c r="G375" i="6"/>
  <c r="F375" i="6"/>
  <c r="E375" i="6"/>
  <c r="C375" i="6"/>
  <c r="D375" i="6" s="1"/>
  <c r="B375" i="6"/>
  <c r="A375" i="6"/>
  <c r="K374" i="6"/>
  <c r="J374" i="6"/>
  <c r="I374" i="6"/>
  <c r="H374" i="6"/>
  <c r="G374" i="6"/>
  <c r="F374" i="6"/>
  <c r="E374" i="6"/>
  <c r="C374" i="6"/>
  <c r="D374" i="6" s="1"/>
  <c r="B374" i="6"/>
  <c r="A374" i="6"/>
  <c r="K373" i="6"/>
  <c r="J373" i="6"/>
  <c r="I373" i="6"/>
  <c r="H373" i="6"/>
  <c r="G373" i="6"/>
  <c r="F373" i="6"/>
  <c r="E373" i="6"/>
  <c r="C373" i="6"/>
  <c r="D373" i="6" s="1"/>
  <c r="B373" i="6"/>
  <c r="A373" i="6"/>
  <c r="K372" i="6"/>
  <c r="J372" i="6"/>
  <c r="I372" i="6"/>
  <c r="H372" i="6"/>
  <c r="G372" i="6"/>
  <c r="F372" i="6"/>
  <c r="E372" i="6"/>
  <c r="C372" i="6"/>
  <c r="D372" i="6" s="1"/>
  <c r="B372" i="6"/>
  <c r="A372" i="6"/>
  <c r="K371" i="6"/>
  <c r="J371" i="6"/>
  <c r="I371" i="6"/>
  <c r="H371" i="6"/>
  <c r="G371" i="6"/>
  <c r="F371" i="6"/>
  <c r="E371" i="6"/>
  <c r="C371" i="6"/>
  <c r="D371" i="6" s="1"/>
  <c r="B371" i="6"/>
  <c r="A371" i="6"/>
  <c r="K370" i="6"/>
  <c r="J370" i="6"/>
  <c r="I370" i="6"/>
  <c r="H370" i="6"/>
  <c r="G370" i="6"/>
  <c r="F370" i="6"/>
  <c r="E370" i="6"/>
  <c r="C370" i="6"/>
  <c r="D370" i="6" s="1"/>
  <c r="B370" i="6"/>
  <c r="A370" i="6"/>
  <c r="K369" i="6"/>
  <c r="J369" i="6"/>
  <c r="I369" i="6"/>
  <c r="H369" i="6"/>
  <c r="G369" i="6"/>
  <c r="F369" i="6"/>
  <c r="E369" i="6"/>
  <c r="C369" i="6"/>
  <c r="D369" i="6" s="1"/>
  <c r="B369" i="6"/>
  <c r="A369" i="6"/>
  <c r="K368" i="6"/>
  <c r="J368" i="6"/>
  <c r="I368" i="6"/>
  <c r="H368" i="6"/>
  <c r="G368" i="6"/>
  <c r="F368" i="6"/>
  <c r="E368" i="6"/>
  <c r="C368" i="6"/>
  <c r="D368" i="6" s="1"/>
  <c r="B368" i="6"/>
  <c r="A368" i="6"/>
  <c r="K367" i="6"/>
  <c r="J367" i="6"/>
  <c r="I367" i="6"/>
  <c r="H367" i="6"/>
  <c r="G367" i="6"/>
  <c r="F367" i="6"/>
  <c r="E367" i="6"/>
  <c r="C367" i="6"/>
  <c r="D367" i="6" s="1"/>
  <c r="B367" i="6"/>
  <c r="A367" i="6"/>
  <c r="K366" i="6"/>
  <c r="J366" i="6"/>
  <c r="I366" i="6"/>
  <c r="H366" i="6"/>
  <c r="G366" i="6"/>
  <c r="F366" i="6"/>
  <c r="E366" i="6"/>
  <c r="C366" i="6"/>
  <c r="D366" i="6" s="1"/>
  <c r="B366" i="6"/>
  <c r="A366" i="6"/>
  <c r="K365" i="6"/>
  <c r="J365" i="6"/>
  <c r="I365" i="6"/>
  <c r="H365" i="6"/>
  <c r="G365" i="6"/>
  <c r="F365" i="6"/>
  <c r="E365" i="6"/>
  <c r="C365" i="6"/>
  <c r="D365" i="6" s="1"/>
  <c r="B365" i="6"/>
  <c r="A365" i="6"/>
  <c r="K364" i="6"/>
  <c r="J364" i="6"/>
  <c r="I364" i="6"/>
  <c r="H364" i="6"/>
  <c r="G364" i="6"/>
  <c r="F364" i="6"/>
  <c r="E364" i="6"/>
  <c r="C364" i="6"/>
  <c r="D364" i="6" s="1"/>
  <c r="B364" i="6"/>
  <c r="A364" i="6"/>
  <c r="K363" i="6"/>
  <c r="J363" i="6"/>
  <c r="I363" i="6"/>
  <c r="H363" i="6"/>
  <c r="G363" i="6"/>
  <c r="F363" i="6"/>
  <c r="E363" i="6"/>
  <c r="C363" i="6"/>
  <c r="D363" i="6" s="1"/>
  <c r="B363" i="6"/>
  <c r="A363" i="6"/>
  <c r="K362" i="6"/>
  <c r="J362" i="6"/>
  <c r="I362" i="6"/>
  <c r="H362" i="6"/>
  <c r="G362" i="6"/>
  <c r="F362" i="6"/>
  <c r="E362" i="6"/>
  <c r="C362" i="6"/>
  <c r="D362" i="6" s="1"/>
  <c r="B362" i="6"/>
  <c r="A362" i="6"/>
  <c r="K361" i="6"/>
  <c r="J361" i="6"/>
  <c r="I361" i="6"/>
  <c r="H361" i="6"/>
  <c r="G361" i="6"/>
  <c r="F361" i="6"/>
  <c r="E361" i="6"/>
  <c r="C361" i="6"/>
  <c r="D361" i="6" s="1"/>
  <c r="B361" i="6"/>
  <c r="A361" i="6"/>
  <c r="K360" i="6"/>
  <c r="J360" i="6"/>
  <c r="I360" i="6"/>
  <c r="H360" i="6"/>
  <c r="G360" i="6"/>
  <c r="F360" i="6"/>
  <c r="E360" i="6"/>
  <c r="C360" i="6"/>
  <c r="D360" i="6" s="1"/>
  <c r="B360" i="6"/>
  <c r="A360" i="6"/>
  <c r="K359" i="6"/>
  <c r="J359" i="6"/>
  <c r="I359" i="6"/>
  <c r="H359" i="6"/>
  <c r="G359" i="6"/>
  <c r="F359" i="6"/>
  <c r="E359" i="6"/>
  <c r="C359" i="6"/>
  <c r="D359" i="6" s="1"/>
  <c r="B359" i="6"/>
  <c r="A359" i="6"/>
  <c r="K358" i="6"/>
  <c r="J358" i="6"/>
  <c r="I358" i="6"/>
  <c r="H358" i="6"/>
  <c r="G358" i="6"/>
  <c r="F358" i="6"/>
  <c r="E358" i="6"/>
  <c r="C358" i="6"/>
  <c r="D358" i="6" s="1"/>
  <c r="B358" i="6"/>
  <c r="A358" i="6"/>
  <c r="K357" i="6"/>
  <c r="J357" i="6"/>
  <c r="I357" i="6"/>
  <c r="H357" i="6"/>
  <c r="G357" i="6"/>
  <c r="F357" i="6"/>
  <c r="E357" i="6"/>
  <c r="C357" i="6"/>
  <c r="D357" i="6" s="1"/>
  <c r="B357" i="6"/>
  <c r="A357" i="6"/>
  <c r="K356" i="6"/>
  <c r="J356" i="6"/>
  <c r="I356" i="6"/>
  <c r="H356" i="6"/>
  <c r="G356" i="6"/>
  <c r="F356" i="6"/>
  <c r="E356" i="6"/>
  <c r="C356" i="6"/>
  <c r="D356" i="6" s="1"/>
  <c r="B356" i="6"/>
  <c r="A356" i="6"/>
  <c r="K355" i="6"/>
  <c r="J355" i="6"/>
  <c r="I355" i="6"/>
  <c r="H355" i="6"/>
  <c r="G355" i="6"/>
  <c r="F355" i="6"/>
  <c r="E355" i="6"/>
  <c r="C355" i="6"/>
  <c r="D355" i="6" s="1"/>
  <c r="B355" i="6"/>
  <c r="A355" i="6"/>
  <c r="K354" i="6"/>
  <c r="J354" i="6"/>
  <c r="I354" i="6"/>
  <c r="H354" i="6"/>
  <c r="G354" i="6"/>
  <c r="F354" i="6"/>
  <c r="E354" i="6"/>
  <c r="C354" i="6"/>
  <c r="D354" i="6" s="1"/>
  <c r="B354" i="6"/>
  <c r="A354" i="6"/>
  <c r="K353" i="6"/>
  <c r="J353" i="6"/>
  <c r="I353" i="6"/>
  <c r="H353" i="6"/>
  <c r="G353" i="6"/>
  <c r="F353" i="6"/>
  <c r="E353" i="6"/>
  <c r="C353" i="6"/>
  <c r="D353" i="6" s="1"/>
  <c r="B353" i="6"/>
  <c r="A353" i="6"/>
  <c r="K352" i="6"/>
  <c r="J352" i="6"/>
  <c r="I352" i="6"/>
  <c r="H352" i="6"/>
  <c r="G352" i="6"/>
  <c r="F352" i="6"/>
  <c r="E352" i="6"/>
  <c r="C352" i="6"/>
  <c r="D352" i="6" s="1"/>
  <c r="B352" i="6"/>
  <c r="A352" i="6"/>
  <c r="K351" i="6"/>
  <c r="J351" i="6"/>
  <c r="I351" i="6"/>
  <c r="H351" i="6"/>
  <c r="G351" i="6"/>
  <c r="F351" i="6"/>
  <c r="E351" i="6"/>
  <c r="C351" i="6"/>
  <c r="D351" i="6" s="1"/>
  <c r="B351" i="6"/>
  <c r="A351" i="6"/>
  <c r="K350" i="6"/>
  <c r="J350" i="6"/>
  <c r="I350" i="6"/>
  <c r="H350" i="6"/>
  <c r="G350" i="6"/>
  <c r="F350" i="6"/>
  <c r="E350" i="6"/>
  <c r="C350" i="6"/>
  <c r="D350" i="6" s="1"/>
  <c r="B350" i="6"/>
  <c r="A350" i="6"/>
  <c r="K349" i="6"/>
  <c r="J349" i="6"/>
  <c r="I349" i="6"/>
  <c r="H349" i="6"/>
  <c r="G349" i="6"/>
  <c r="F349" i="6"/>
  <c r="E349" i="6"/>
  <c r="C349" i="6"/>
  <c r="D349" i="6" s="1"/>
  <c r="B349" i="6"/>
  <c r="A349" i="6"/>
  <c r="K348" i="6"/>
  <c r="J348" i="6"/>
  <c r="I348" i="6"/>
  <c r="H348" i="6"/>
  <c r="G348" i="6"/>
  <c r="F348" i="6"/>
  <c r="E348" i="6"/>
  <c r="C348" i="6"/>
  <c r="D348" i="6" s="1"/>
  <c r="B348" i="6"/>
  <c r="A348" i="6"/>
  <c r="K347" i="6"/>
  <c r="J347" i="6"/>
  <c r="I347" i="6"/>
  <c r="H347" i="6"/>
  <c r="G347" i="6"/>
  <c r="F347" i="6"/>
  <c r="E347" i="6"/>
  <c r="C347" i="6"/>
  <c r="D347" i="6" s="1"/>
  <c r="B347" i="6"/>
  <c r="A347" i="6"/>
  <c r="K346" i="6"/>
  <c r="J346" i="6"/>
  <c r="I346" i="6"/>
  <c r="H346" i="6"/>
  <c r="G346" i="6"/>
  <c r="F346" i="6"/>
  <c r="E346" i="6"/>
  <c r="C346" i="6"/>
  <c r="D346" i="6" s="1"/>
  <c r="B346" i="6"/>
  <c r="A346" i="6"/>
  <c r="K345" i="6"/>
  <c r="J345" i="6"/>
  <c r="I345" i="6"/>
  <c r="H345" i="6"/>
  <c r="G345" i="6"/>
  <c r="F345" i="6"/>
  <c r="E345" i="6"/>
  <c r="C345" i="6"/>
  <c r="D345" i="6" s="1"/>
  <c r="B345" i="6"/>
  <c r="A345" i="6"/>
  <c r="K344" i="6"/>
  <c r="J344" i="6"/>
  <c r="I344" i="6"/>
  <c r="H344" i="6"/>
  <c r="G344" i="6"/>
  <c r="F344" i="6"/>
  <c r="E344" i="6"/>
  <c r="C344" i="6"/>
  <c r="D344" i="6" s="1"/>
  <c r="B344" i="6"/>
  <c r="A344" i="6"/>
  <c r="K343" i="6"/>
  <c r="J343" i="6"/>
  <c r="I343" i="6"/>
  <c r="H343" i="6"/>
  <c r="G343" i="6"/>
  <c r="F343" i="6"/>
  <c r="E343" i="6"/>
  <c r="C343" i="6"/>
  <c r="D343" i="6" s="1"/>
  <c r="B343" i="6"/>
  <c r="A343" i="6"/>
  <c r="K342" i="6"/>
  <c r="J342" i="6"/>
  <c r="I342" i="6"/>
  <c r="H342" i="6"/>
  <c r="G342" i="6"/>
  <c r="F342" i="6"/>
  <c r="E342" i="6"/>
  <c r="C342" i="6"/>
  <c r="D342" i="6" s="1"/>
  <c r="B342" i="6"/>
  <c r="A342" i="6"/>
  <c r="K341" i="6"/>
  <c r="J341" i="6"/>
  <c r="I341" i="6"/>
  <c r="H341" i="6"/>
  <c r="G341" i="6"/>
  <c r="F341" i="6"/>
  <c r="E341" i="6"/>
  <c r="C341" i="6"/>
  <c r="D341" i="6" s="1"/>
  <c r="B341" i="6"/>
  <c r="A341" i="6"/>
  <c r="K340" i="6"/>
  <c r="J340" i="6"/>
  <c r="I340" i="6"/>
  <c r="H340" i="6"/>
  <c r="G340" i="6"/>
  <c r="F340" i="6"/>
  <c r="E340" i="6"/>
  <c r="C340" i="6"/>
  <c r="D340" i="6" s="1"/>
  <c r="B340" i="6"/>
  <c r="A340" i="6"/>
  <c r="K339" i="6"/>
  <c r="J339" i="6"/>
  <c r="I339" i="6"/>
  <c r="H339" i="6"/>
  <c r="G339" i="6"/>
  <c r="F339" i="6"/>
  <c r="E339" i="6"/>
  <c r="C339" i="6"/>
  <c r="D339" i="6" s="1"/>
  <c r="B339" i="6"/>
  <c r="A339" i="6"/>
  <c r="K338" i="6"/>
  <c r="J338" i="6"/>
  <c r="I338" i="6"/>
  <c r="H338" i="6"/>
  <c r="G338" i="6"/>
  <c r="F338" i="6"/>
  <c r="E338" i="6"/>
  <c r="C338" i="6"/>
  <c r="D338" i="6" s="1"/>
  <c r="B338" i="6"/>
  <c r="A338" i="6"/>
  <c r="K337" i="6"/>
  <c r="J337" i="6"/>
  <c r="I337" i="6"/>
  <c r="H337" i="6"/>
  <c r="G337" i="6"/>
  <c r="F337" i="6"/>
  <c r="E337" i="6"/>
  <c r="C337" i="6"/>
  <c r="D337" i="6" s="1"/>
  <c r="B337" i="6"/>
  <c r="A337" i="6"/>
  <c r="K336" i="6"/>
  <c r="J336" i="6"/>
  <c r="I336" i="6"/>
  <c r="H336" i="6"/>
  <c r="G336" i="6"/>
  <c r="F336" i="6"/>
  <c r="E336" i="6"/>
  <c r="C336" i="6"/>
  <c r="D336" i="6" s="1"/>
  <c r="B336" i="6"/>
  <c r="A336" i="6"/>
  <c r="K335" i="6"/>
  <c r="J335" i="6"/>
  <c r="I335" i="6"/>
  <c r="H335" i="6"/>
  <c r="G335" i="6"/>
  <c r="F335" i="6"/>
  <c r="E335" i="6"/>
  <c r="C335" i="6"/>
  <c r="D335" i="6" s="1"/>
  <c r="B335" i="6"/>
  <c r="A335" i="6"/>
  <c r="K334" i="6"/>
  <c r="J334" i="6"/>
  <c r="I334" i="6"/>
  <c r="H334" i="6"/>
  <c r="G334" i="6"/>
  <c r="F334" i="6"/>
  <c r="E334" i="6"/>
  <c r="C334" i="6"/>
  <c r="D334" i="6" s="1"/>
  <c r="B334" i="6"/>
  <c r="A334" i="6"/>
  <c r="K333" i="6"/>
  <c r="J333" i="6"/>
  <c r="I333" i="6"/>
  <c r="H333" i="6"/>
  <c r="G333" i="6"/>
  <c r="F333" i="6"/>
  <c r="E333" i="6"/>
  <c r="C333" i="6"/>
  <c r="D333" i="6" s="1"/>
  <c r="B333" i="6"/>
  <c r="A333" i="6"/>
  <c r="K332" i="6"/>
  <c r="J332" i="6"/>
  <c r="I332" i="6"/>
  <c r="H332" i="6"/>
  <c r="G332" i="6"/>
  <c r="F332" i="6"/>
  <c r="E332" i="6"/>
  <c r="C332" i="6"/>
  <c r="D332" i="6" s="1"/>
  <c r="B332" i="6"/>
  <c r="A332" i="6"/>
  <c r="K331" i="6"/>
  <c r="J331" i="6"/>
  <c r="I331" i="6"/>
  <c r="H331" i="6"/>
  <c r="G331" i="6"/>
  <c r="F331" i="6"/>
  <c r="E331" i="6"/>
  <c r="C331" i="6"/>
  <c r="D331" i="6" s="1"/>
  <c r="B331" i="6"/>
  <c r="A331" i="6"/>
  <c r="K330" i="6"/>
  <c r="J330" i="6"/>
  <c r="I330" i="6"/>
  <c r="H330" i="6"/>
  <c r="G330" i="6"/>
  <c r="F330" i="6"/>
  <c r="E330" i="6"/>
  <c r="C330" i="6"/>
  <c r="D330" i="6" s="1"/>
  <c r="B330" i="6"/>
  <c r="A330" i="6"/>
  <c r="K329" i="6"/>
  <c r="J329" i="6"/>
  <c r="I329" i="6"/>
  <c r="H329" i="6"/>
  <c r="G329" i="6"/>
  <c r="F329" i="6"/>
  <c r="E329" i="6"/>
  <c r="C329" i="6"/>
  <c r="D329" i="6" s="1"/>
  <c r="B329" i="6"/>
  <c r="A329" i="6"/>
  <c r="K328" i="6"/>
  <c r="J328" i="6"/>
  <c r="I328" i="6"/>
  <c r="H328" i="6"/>
  <c r="G328" i="6"/>
  <c r="F328" i="6"/>
  <c r="E328" i="6"/>
  <c r="C328" i="6"/>
  <c r="D328" i="6" s="1"/>
  <c r="B328" i="6"/>
  <c r="A328" i="6"/>
  <c r="K327" i="6"/>
  <c r="J327" i="6"/>
  <c r="I327" i="6"/>
  <c r="H327" i="6"/>
  <c r="G327" i="6"/>
  <c r="F327" i="6"/>
  <c r="E327" i="6"/>
  <c r="C327" i="6"/>
  <c r="D327" i="6" s="1"/>
  <c r="B327" i="6"/>
  <c r="A327" i="6"/>
  <c r="K326" i="6"/>
  <c r="J326" i="6"/>
  <c r="I326" i="6"/>
  <c r="H326" i="6"/>
  <c r="G326" i="6"/>
  <c r="F326" i="6"/>
  <c r="E326" i="6"/>
  <c r="C326" i="6"/>
  <c r="D326" i="6" s="1"/>
  <c r="B326" i="6"/>
  <c r="A326" i="6"/>
  <c r="K325" i="6"/>
  <c r="J325" i="6"/>
  <c r="I325" i="6"/>
  <c r="H325" i="6"/>
  <c r="G325" i="6"/>
  <c r="F325" i="6"/>
  <c r="E325" i="6"/>
  <c r="C325" i="6"/>
  <c r="D325" i="6" s="1"/>
  <c r="B325" i="6"/>
  <c r="A325" i="6"/>
  <c r="K324" i="6"/>
  <c r="J324" i="6"/>
  <c r="I324" i="6"/>
  <c r="H324" i="6"/>
  <c r="G324" i="6"/>
  <c r="F324" i="6"/>
  <c r="E324" i="6"/>
  <c r="C324" i="6"/>
  <c r="D324" i="6" s="1"/>
  <c r="B324" i="6"/>
  <c r="A324" i="6"/>
  <c r="K323" i="6"/>
  <c r="J323" i="6"/>
  <c r="I323" i="6"/>
  <c r="H323" i="6"/>
  <c r="G323" i="6"/>
  <c r="F323" i="6"/>
  <c r="E323" i="6"/>
  <c r="C323" i="6"/>
  <c r="D323" i="6" s="1"/>
  <c r="B323" i="6"/>
  <c r="A323" i="6"/>
  <c r="K322" i="6"/>
  <c r="J322" i="6"/>
  <c r="I322" i="6"/>
  <c r="H322" i="6"/>
  <c r="G322" i="6"/>
  <c r="F322" i="6"/>
  <c r="E322" i="6"/>
  <c r="C322" i="6"/>
  <c r="D322" i="6" s="1"/>
  <c r="B322" i="6"/>
  <c r="A322" i="6"/>
  <c r="K321" i="6"/>
  <c r="J321" i="6"/>
  <c r="I321" i="6"/>
  <c r="H321" i="6"/>
  <c r="G321" i="6"/>
  <c r="F321" i="6"/>
  <c r="E321" i="6"/>
  <c r="C321" i="6"/>
  <c r="D321" i="6" s="1"/>
  <c r="B321" i="6"/>
  <c r="A321" i="6"/>
  <c r="K320" i="6"/>
  <c r="J320" i="6"/>
  <c r="I320" i="6"/>
  <c r="H320" i="6"/>
  <c r="G320" i="6"/>
  <c r="F320" i="6"/>
  <c r="E320" i="6"/>
  <c r="C320" i="6"/>
  <c r="D320" i="6" s="1"/>
  <c r="B320" i="6"/>
  <c r="A320" i="6"/>
  <c r="K319" i="6"/>
  <c r="J319" i="6"/>
  <c r="I319" i="6"/>
  <c r="H319" i="6"/>
  <c r="G319" i="6"/>
  <c r="F319" i="6"/>
  <c r="E319" i="6"/>
  <c r="C319" i="6"/>
  <c r="D319" i="6" s="1"/>
  <c r="B319" i="6"/>
  <c r="A319" i="6"/>
  <c r="K318" i="6"/>
  <c r="J318" i="6"/>
  <c r="I318" i="6"/>
  <c r="H318" i="6"/>
  <c r="G318" i="6"/>
  <c r="F318" i="6"/>
  <c r="E318" i="6"/>
  <c r="C318" i="6"/>
  <c r="D318" i="6" s="1"/>
  <c r="B318" i="6"/>
  <c r="A318" i="6"/>
  <c r="K317" i="6"/>
  <c r="J317" i="6"/>
  <c r="I317" i="6"/>
  <c r="H317" i="6"/>
  <c r="G317" i="6"/>
  <c r="F317" i="6"/>
  <c r="E317" i="6"/>
  <c r="C317" i="6"/>
  <c r="D317" i="6" s="1"/>
  <c r="B317" i="6"/>
  <c r="A317" i="6"/>
  <c r="K316" i="6"/>
  <c r="J316" i="6"/>
  <c r="I316" i="6"/>
  <c r="H316" i="6"/>
  <c r="G316" i="6"/>
  <c r="F316" i="6"/>
  <c r="E316" i="6"/>
  <c r="C316" i="6"/>
  <c r="D316" i="6" s="1"/>
  <c r="B316" i="6"/>
  <c r="A316" i="6"/>
  <c r="K315" i="6"/>
  <c r="J315" i="6"/>
  <c r="I315" i="6"/>
  <c r="H315" i="6"/>
  <c r="G315" i="6"/>
  <c r="F315" i="6"/>
  <c r="E315" i="6"/>
  <c r="C315" i="6"/>
  <c r="D315" i="6" s="1"/>
  <c r="B315" i="6"/>
  <c r="A315" i="6"/>
  <c r="K314" i="6"/>
  <c r="J314" i="6"/>
  <c r="I314" i="6"/>
  <c r="H314" i="6"/>
  <c r="G314" i="6"/>
  <c r="F314" i="6"/>
  <c r="E314" i="6"/>
  <c r="C314" i="6"/>
  <c r="D314" i="6" s="1"/>
  <c r="B314" i="6"/>
  <c r="A314" i="6"/>
  <c r="K313" i="6"/>
  <c r="J313" i="6"/>
  <c r="I313" i="6"/>
  <c r="H313" i="6"/>
  <c r="G313" i="6"/>
  <c r="F313" i="6"/>
  <c r="E313" i="6"/>
  <c r="C313" i="6"/>
  <c r="D313" i="6" s="1"/>
  <c r="B313" i="6"/>
  <c r="A313" i="6"/>
  <c r="K312" i="6"/>
  <c r="J312" i="6"/>
  <c r="I312" i="6"/>
  <c r="H312" i="6"/>
  <c r="G312" i="6"/>
  <c r="F312" i="6"/>
  <c r="E312" i="6"/>
  <c r="C312" i="6"/>
  <c r="D312" i="6" s="1"/>
  <c r="B312" i="6"/>
  <c r="A312" i="6"/>
  <c r="K311" i="6"/>
  <c r="J311" i="6"/>
  <c r="I311" i="6"/>
  <c r="H311" i="6"/>
  <c r="G311" i="6"/>
  <c r="F311" i="6"/>
  <c r="E311" i="6"/>
  <c r="C311" i="6"/>
  <c r="D311" i="6" s="1"/>
  <c r="B311" i="6"/>
  <c r="A311" i="6"/>
  <c r="K310" i="6"/>
  <c r="J310" i="6"/>
  <c r="I310" i="6"/>
  <c r="H310" i="6"/>
  <c r="G310" i="6"/>
  <c r="F310" i="6"/>
  <c r="E310" i="6"/>
  <c r="C310" i="6"/>
  <c r="D310" i="6" s="1"/>
  <c r="B310" i="6"/>
  <c r="A310" i="6"/>
  <c r="K309" i="6"/>
  <c r="J309" i="6"/>
  <c r="I309" i="6"/>
  <c r="H309" i="6"/>
  <c r="G309" i="6"/>
  <c r="F309" i="6"/>
  <c r="E309" i="6"/>
  <c r="C309" i="6"/>
  <c r="D309" i="6" s="1"/>
  <c r="B309" i="6"/>
  <c r="A309" i="6"/>
  <c r="K308" i="6"/>
  <c r="J308" i="6"/>
  <c r="I308" i="6"/>
  <c r="H308" i="6"/>
  <c r="G308" i="6"/>
  <c r="F308" i="6"/>
  <c r="E308" i="6"/>
  <c r="B308" i="6"/>
  <c r="A308" i="6"/>
  <c r="K307" i="6"/>
  <c r="J307" i="6"/>
  <c r="I307" i="6"/>
  <c r="H307" i="6"/>
  <c r="G307" i="6"/>
  <c r="F307" i="6"/>
  <c r="E307" i="6"/>
  <c r="B307" i="6"/>
  <c r="A307" i="6"/>
  <c r="K306" i="6"/>
  <c r="J306" i="6"/>
  <c r="I306" i="6"/>
  <c r="H306" i="6"/>
  <c r="G306" i="6"/>
  <c r="F306" i="6"/>
  <c r="E306" i="6"/>
  <c r="B306" i="6"/>
  <c r="A306" i="6"/>
  <c r="K305" i="6"/>
  <c r="J305" i="6"/>
  <c r="I305" i="6"/>
  <c r="H305" i="6"/>
  <c r="G305" i="6"/>
  <c r="F305" i="6"/>
  <c r="E305" i="6"/>
  <c r="B305" i="6"/>
  <c r="A305" i="6"/>
  <c r="K304" i="6"/>
  <c r="J304" i="6"/>
  <c r="I304" i="6"/>
  <c r="H304" i="6"/>
  <c r="G304" i="6"/>
  <c r="F304" i="6"/>
  <c r="E304" i="6"/>
  <c r="B304" i="6"/>
  <c r="A304" i="6"/>
  <c r="K303" i="6"/>
  <c r="J303" i="6"/>
  <c r="I303" i="6"/>
  <c r="H303" i="6"/>
  <c r="G303" i="6"/>
  <c r="F303" i="6"/>
  <c r="E303" i="6"/>
  <c r="B303" i="6"/>
  <c r="A303" i="6"/>
  <c r="K302" i="6"/>
  <c r="J302" i="6"/>
  <c r="I302" i="6"/>
  <c r="H302" i="6"/>
  <c r="G302" i="6"/>
  <c r="F302" i="6"/>
  <c r="E302" i="6"/>
  <c r="B302" i="6"/>
  <c r="A302" i="6"/>
  <c r="K301" i="6"/>
  <c r="J301" i="6"/>
  <c r="I301" i="6"/>
  <c r="H301" i="6"/>
  <c r="G301" i="6"/>
  <c r="F301" i="6"/>
  <c r="E301" i="6"/>
  <c r="B301" i="6"/>
  <c r="A301" i="6"/>
  <c r="K300" i="6"/>
  <c r="J300" i="6"/>
  <c r="I300" i="6"/>
  <c r="H300" i="6"/>
  <c r="G300" i="6"/>
  <c r="F300" i="6"/>
  <c r="E300" i="6"/>
  <c r="C300" i="6"/>
  <c r="D300" i="6" s="1"/>
  <c r="B300" i="6"/>
  <c r="A300" i="6"/>
  <c r="K299" i="6"/>
  <c r="J299" i="6"/>
  <c r="I299" i="6"/>
  <c r="H299" i="6"/>
  <c r="G299" i="6"/>
  <c r="F299" i="6"/>
  <c r="E299" i="6"/>
  <c r="C299" i="6"/>
  <c r="D299" i="6" s="1"/>
  <c r="B299" i="6"/>
  <c r="A299" i="6"/>
  <c r="K298" i="6"/>
  <c r="J298" i="6"/>
  <c r="I298" i="6"/>
  <c r="H298" i="6"/>
  <c r="G298" i="6"/>
  <c r="F298" i="6"/>
  <c r="E298" i="6"/>
  <c r="C298" i="6"/>
  <c r="D298" i="6" s="1"/>
  <c r="B298" i="6"/>
  <c r="A298" i="6"/>
  <c r="K297" i="6"/>
  <c r="J297" i="6"/>
  <c r="I297" i="6"/>
  <c r="H297" i="6"/>
  <c r="G297" i="6"/>
  <c r="F297" i="6"/>
  <c r="E297" i="6"/>
  <c r="C297" i="6"/>
  <c r="D297" i="6" s="1"/>
  <c r="B297" i="6"/>
  <c r="A297" i="6"/>
  <c r="K296" i="6"/>
  <c r="J296" i="6"/>
  <c r="I296" i="6"/>
  <c r="H296" i="6"/>
  <c r="G296" i="6"/>
  <c r="F296" i="6"/>
  <c r="E296" i="6"/>
  <c r="C296" i="6"/>
  <c r="D296" i="6" s="1"/>
  <c r="B296" i="6"/>
  <c r="A296" i="6"/>
  <c r="K295" i="6"/>
  <c r="J295" i="6"/>
  <c r="I295" i="6"/>
  <c r="H295" i="6"/>
  <c r="G295" i="6"/>
  <c r="F295" i="6"/>
  <c r="E295" i="6"/>
  <c r="C295" i="6"/>
  <c r="D295" i="6" s="1"/>
  <c r="B295" i="6"/>
  <c r="A295" i="6"/>
  <c r="K294" i="6"/>
  <c r="J294" i="6"/>
  <c r="I294" i="6"/>
  <c r="H294" i="6"/>
  <c r="G294" i="6"/>
  <c r="F294" i="6"/>
  <c r="E294" i="6"/>
  <c r="C294" i="6"/>
  <c r="D294" i="6" s="1"/>
  <c r="B294" i="6"/>
  <c r="A294" i="6"/>
  <c r="K293" i="6"/>
  <c r="J293" i="6"/>
  <c r="I293" i="6"/>
  <c r="H293" i="6"/>
  <c r="G293" i="6"/>
  <c r="F293" i="6"/>
  <c r="E293" i="6"/>
  <c r="C293" i="6"/>
  <c r="D293" i="6" s="1"/>
  <c r="B293" i="6"/>
  <c r="A293" i="6"/>
  <c r="K292" i="6"/>
  <c r="J292" i="6"/>
  <c r="I292" i="6"/>
  <c r="H292" i="6"/>
  <c r="G292" i="6"/>
  <c r="F292" i="6"/>
  <c r="E292" i="6"/>
  <c r="C292" i="6"/>
  <c r="D292" i="6" s="1"/>
  <c r="B292" i="6"/>
  <c r="A292" i="6"/>
  <c r="K291" i="6"/>
  <c r="J291" i="6"/>
  <c r="I291" i="6"/>
  <c r="H291" i="6"/>
  <c r="G291" i="6"/>
  <c r="F291" i="6"/>
  <c r="E291" i="6"/>
  <c r="C291" i="6"/>
  <c r="D291" i="6" s="1"/>
  <c r="B291" i="6"/>
  <c r="A291" i="6"/>
  <c r="K290" i="6"/>
  <c r="J290" i="6"/>
  <c r="I290" i="6"/>
  <c r="H290" i="6"/>
  <c r="G290" i="6"/>
  <c r="F290" i="6"/>
  <c r="E290" i="6"/>
  <c r="C290" i="6"/>
  <c r="D290" i="6" s="1"/>
  <c r="B290" i="6"/>
  <c r="A290" i="6"/>
  <c r="K289" i="6"/>
  <c r="J289" i="6"/>
  <c r="I289" i="6"/>
  <c r="H289" i="6"/>
  <c r="G289" i="6"/>
  <c r="F289" i="6"/>
  <c r="E289" i="6"/>
  <c r="C289" i="6"/>
  <c r="D289" i="6" s="1"/>
  <c r="B289" i="6"/>
  <c r="A289" i="6"/>
  <c r="K288" i="6"/>
  <c r="J288" i="6"/>
  <c r="I288" i="6"/>
  <c r="H288" i="6"/>
  <c r="G288" i="6"/>
  <c r="F288" i="6"/>
  <c r="E288" i="6"/>
  <c r="C288" i="6"/>
  <c r="D288" i="6" s="1"/>
  <c r="B288" i="6"/>
  <c r="A288" i="6"/>
  <c r="K287" i="6"/>
  <c r="J287" i="6"/>
  <c r="I287" i="6"/>
  <c r="H287" i="6"/>
  <c r="G287" i="6"/>
  <c r="F287" i="6"/>
  <c r="E287" i="6"/>
  <c r="C287" i="6"/>
  <c r="D287" i="6" s="1"/>
  <c r="B287" i="6"/>
  <c r="A287" i="6"/>
  <c r="K286" i="6"/>
  <c r="J286" i="6"/>
  <c r="I286" i="6"/>
  <c r="H286" i="6"/>
  <c r="G286" i="6"/>
  <c r="F286" i="6"/>
  <c r="E286" i="6"/>
  <c r="C286" i="6"/>
  <c r="D286" i="6" s="1"/>
  <c r="B286" i="6"/>
  <c r="A286" i="6"/>
  <c r="K285" i="6"/>
  <c r="J285" i="6"/>
  <c r="I285" i="6"/>
  <c r="H285" i="6"/>
  <c r="G285" i="6"/>
  <c r="F285" i="6"/>
  <c r="E285" i="6"/>
  <c r="C285" i="6"/>
  <c r="D285" i="6" s="1"/>
  <c r="B285" i="6"/>
  <c r="A285" i="6"/>
  <c r="K284" i="6"/>
  <c r="J284" i="6"/>
  <c r="I284" i="6"/>
  <c r="H284" i="6"/>
  <c r="G284" i="6"/>
  <c r="F284" i="6"/>
  <c r="E284" i="6"/>
  <c r="C284" i="6"/>
  <c r="D284" i="6" s="1"/>
  <c r="B284" i="6"/>
  <c r="A284" i="6"/>
  <c r="K283" i="6"/>
  <c r="J283" i="6"/>
  <c r="I283" i="6"/>
  <c r="H283" i="6"/>
  <c r="G283" i="6"/>
  <c r="F283" i="6"/>
  <c r="E283" i="6"/>
  <c r="C283" i="6"/>
  <c r="D283" i="6" s="1"/>
  <c r="B283" i="6"/>
  <c r="A283" i="6"/>
  <c r="K282" i="6"/>
  <c r="J282" i="6"/>
  <c r="I282" i="6"/>
  <c r="H282" i="6"/>
  <c r="G282" i="6"/>
  <c r="F282" i="6"/>
  <c r="E282" i="6"/>
  <c r="C282" i="6"/>
  <c r="D282" i="6" s="1"/>
  <c r="B282" i="6"/>
  <c r="A282" i="6"/>
  <c r="K281" i="6"/>
  <c r="J281" i="6"/>
  <c r="I281" i="6"/>
  <c r="H281" i="6"/>
  <c r="G281" i="6"/>
  <c r="F281" i="6"/>
  <c r="E281" i="6"/>
  <c r="C281" i="6"/>
  <c r="D281" i="6" s="1"/>
  <c r="B281" i="6"/>
  <c r="A281" i="6"/>
  <c r="K280" i="6"/>
  <c r="J280" i="6"/>
  <c r="I280" i="6"/>
  <c r="H280" i="6"/>
  <c r="G280" i="6"/>
  <c r="F280" i="6"/>
  <c r="E280" i="6"/>
  <c r="C280" i="6"/>
  <c r="D280" i="6" s="1"/>
  <c r="B280" i="6"/>
  <c r="A280" i="6"/>
  <c r="K279" i="6"/>
  <c r="J279" i="6"/>
  <c r="I279" i="6"/>
  <c r="H279" i="6"/>
  <c r="G279" i="6"/>
  <c r="F279" i="6"/>
  <c r="E279" i="6"/>
  <c r="C279" i="6"/>
  <c r="D279" i="6" s="1"/>
  <c r="B279" i="6"/>
  <c r="A279" i="6"/>
  <c r="K278" i="6"/>
  <c r="J278" i="6"/>
  <c r="I278" i="6"/>
  <c r="H278" i="6"/>
  <c r="G278" i="6"/>
  <c r="F278" i="6"/>
  <c r="E278" i="6"/>
  <c r="C278" i="6"/>
  <c r="D278" i="6" s="1"/>
  <c r="B278" i="6"/>
  <c r="A278" i="6"/>
  <c r="K277" i="6"/>
  <c r="J277" i="6"/>
  <c r="I277" i="6"/>
  <c r="H277" i="6"/>
  <c r="G277" i="6"/>
  <c r="F277" i="6"/>
  <c r="E277" i="6"/>
  <c r="C277" i="6"/>
  <c r="D277" i="6" s="1"/>
  <c r="B277" i="6"/>
  <c r="A277" i="6"/>
  <c r="K276" i="6"/>
  <c r="J276" i="6"/>
  <c r="I276" i="6"/>
  <c r="H276" i="6"/>
  <c r="G276" i="6"/>
  <c r="F276" i="6"/>
  <c r="E276" i="6"/>
  <c r="C276" i="6"/>
  <c r="D276" i="6" s="1"/>
  <c r="B276" i="6"/>
  <c r="A276" i="6"/>
  <c r="K275" i="6"/>
  <c r="J275" i="6"/>
  <c r="I275" i="6"/>
  <c r="H275" i="6"/>
  <c r="G275" i="6"/>
  <c r="F275" i="6"/>
  <c r="E275" i="6"/>
  <c r="C275" i="6"/>
  <c r="D275" i="6" s="1"/>
  <c r="B275" i="6"/>
  <c r="A275" i="6"/>
  <c r="K274" i="6"/>
  <c r="J274" i="6"/>
  <c r="I274" i="6"/>
  <c r="H274" i="6"/>
  <c r="G274" i="6"/>
  <c r="F274" i="6"/>
  <c r="E274" i="6"/>
  <c r="C274" i="6"/>
  <c r="D274" i="6" s="1"/>
  <c r="B274" i="6"/>
  <c r="A274" i="6"/>
  <c r="K273" i="6"/>
  <c r="J273" i="6"/>
  <c r="I273" i="6"/>
  <c r="H273" i="6"/>
  <c r="G273" i="6"/>
  <c r="F273" i="6"/>
  <c r="E273" i="6"/>
  <c r="D273" i="6"/>
  <c r="C273" i="6"/>
  <c r="B273" i="6"/>
  <c r="A273" i="6"/>
  <c r="K272" i="6"/>
  <c r="J272" i="6"/>
  <c r="I272" i="6"/>
  <c r="H272" i="6"/>
  <c r="G272" i="6"/>
  <c r="F272" i="6"/>
  <c r="E272" i="6"/>
  <c r="D272" i="6"/>
  <c r="C272" i="6"/>
  <c r="B272" i="6"/>
  <c r="A272" i="6"/>
  <c r="K271" i="6"/>
  <c r="J271" i="6"/>
  <c r="I271" i="6"/>
  <c r="H271" i="6"/>
  <c r="G271" i="6"/>
  <c r="F271" i="6"/>
  <c r="E271" i="6"/>
  <c r="C271" i="6"/>
  <c r="D271" i="6" s="1"/>
  <c r="B271" i="6"/>
  <c r="A271" i="6"/>
  <c r="K270" i="6"/>
  <c r="J270" i="6"/>
  <c r="I270" i="6"/>
  <c r="H270" i="6"/>
  <c r="G270" i="6"/>
  <c r="F270" i="6"/>
  <c r="E270" i="6"/>
  <c r="C270" i="6"/>
  <c r="D270" i="6" s="1"/>
  <c r="B270" i="6"/>
  <c r="A270" i="6"/>
  <c r="K269" i="6"/>
  <c r="J269" i="6"/>
  <c r="I269" i="6"/>
  <c r="H269" i="6"/>
  <c r="G269" i="6"/>
  <c r="F269" i="6"/>
  <c r="E269" i="6"/>
  <c r="C269" i="6"/>
  <c r="D269" i="6" s="1"/>
  <c r="B269" i="6"/>
  <c r="A269" i="6"/>
  <c r="K268" i="6"/>
  <c r="J268" i="6"/>
  <c r="I268" i="6"/>
  <c r="H268" i="6"/>
  <c r="G268" i="6"/>
  <c r="F268" i="6"/>
  <c r="E268" i="6"/>
  <c r="C268" i="6"/>
  <c r="D268" i="6" s="1"/>
  <c r="B268" i="6"/>
  <c r="A268" i="6"/>
  <c r="K267" i="6"/>
  <c r="J267" i="6"/>
  <c r="I267" i="6"/>
  <c r="H267" i="6"/>
  <c r="G267" i="6"/>
  <c r="F267" i="6"/>
  <c r="E267" i="6"/>
  <c r="C267" i="6"/>
  <c r="D267" i="6" s="1"/>
  <c r="B267" i="6"/>
  <c r="A267" i="6"/>
  <c r="K266" i="6"/>
  <c r="J266" i="6"/>
  <c r="I266" i="6"/>
  <c r="H266" i="6"/>
  <c r="G266" i="6"/>
  <c r="F266" i="6"/>
  <c r="E266" i="6"/>
  <c r="C266" i="6"/>
  <c r="D266" i="6" s="1"/>
  <c r="B266" i="6"/>
  <c r="A266" i="6"/>
  <c r="K265" i="6"/>
  <c r="J265" i="6"/>
  <c r="I265" i="6"/>
  <c r="H265" i="6"/>
  <c r="G265" i="6"/>
  <c r="F265" i="6"/>
  <c r="E265" i="6"/>
  <c r="C265" i="6"/>
  <c r="D265" i="6" s="1"/>
  <c r="B265" i="6"/>
  <c r="A265" i="6"/>
  <c r="K264" i="6"/>
  <c r="J264" i="6"/>
  <c r="I264" i="6"/>
  <c r="H264" i="6"/>
  <c r="G264" i="6"/>
  <c r="F264" i="6"/>
  <c r="E264" i="6"/>
  <c r="C264" i="6"/>
  <c r="D264" i="6" s="1"/>
  <c r="B264" i="6"/>
  <c r="A264" i="6"/>
  <c r="K263" i="6"/>
  <c r="J263" i="6"/>
  <c r="I263" i="6"/>
  <c r="H263" i="6"/>
  <c r="G263" i="6"/>
  <c r="F263" i="6"/>
  <c r="E263" i="6"/>
  <c r="C263" i="6"/>
  <c r="D263" i="6" s="1"/>
  <c r="B263" i="6"/>
  <c r="A263" i="6"/>
  <c r="K262" i="6"/>
  <c r="J262" i="6"/>
  <c r="I262" i="6"/>
  <c r="H262" i="6"/>
  <c r="G262" i="6"/>
  <c r="F262" i="6"/>
  <c r="E262" i="6"/>
  <c r="C262" i="6"/>
  <c r="D262" i="6" s="1"/>
  <c r="B262" i="6"/>
  <c r="A262" i="6"/>
  <c r="K261" i="6"/>
  <c r="J261" i="6"/>
  <c r="I261" i="6"/>
  <c r="H261" i="6"/>
  <c r="G261" i="6"/>
  <c r="F261" i="6"/>
  <c r="E261" i="6"/>
  <c r="C261" i="6"/>
  <c r="D261" i="6" s="1"/>
  <c r="B261" i="6"/>
  <c r="A261" i="6"/>
  <c r="K260" i="6"/>
  <c r="J260" i="6"/>
  <c r="I260" i="6"/>
  <c r="H260" i="6"/>
  <c r="G260" i="6"/>
  <c r="F260" i="6"/>
  <c r="E260" i="6"/>
  <c r="C260" i="6"/>
  <c r="D260" i="6" s="1"/>
  <c r="B260" i="6"/>
  <c r="A260" i="6"/>
  <c r="K259" i="6"/>
  <c r="J259" i="6"/>
  <c r="I259" i="6"/>
  <c r="H259" i="6"/>
  <c r="G259" i="6"/>
  <c r="F259" i="6"/>
  <c r="E259" i="6"/>
  <c r="C259" i="6"/>
  <c r="D259" i="6" s="1"/>
  <c r="B259" i="6"/>
  <c r="A259" i="6"/>
  <c r="K258" i="6"/>
  <c r="J258" i="6"/>
  <c r="I258" i="6"/>
  <c r="H258" i="6"/>
  <c r="G258" i="6"/>
  <c r="F258" i="6"/>
  <c r="E258" i="6"/>
  <c r="C258" i="6"/>
  <c r="D258" i="6" s="1"/>
  <c r="B258" i="6"/>
  <c r="A258" i="6"/>
  <c r="K257" i="6"/>
  <c r="J257" i="6"/>
  <c r="I257" i="6"/>
  <c r="H257" i="6"/>
  <c r="G257" i="6"/>
  <c r="F257" i="6"/>
  <c r="E257" i="6"/>
  <c r="C257" i="6"/>
  <c r="D257" i="6" s="1"/>
  <c r="B257" i="6"/>
  <c r="A257" i="6"/>
  <c r="K256" i="6"/>
  <c r="J256" i="6"/>
  <c r="I256" i="6"/>
  <c r="H256" i="6"/>
  <c r="G256" i="6"/>
  <c r="F256" i="6"/>
  <c r="E256" i="6"/>
  <c r="C256" i="6"/>
  <c r="D256" i="6" s="1"/>
  <c r="B256" i="6"/>
  <c r="A256" i="6"/>
  <c r="K255" i="6"/>
  <c r="J255" i="6"/>
  <c r="I255" i="6"/>
  <c r="H255" i="6"/>
  <c r="G255" i="6"/>
  <c r="F255" i="6"/>
  <c r="E255" i="6"/>
  <c r="C255" i="6"/>
  <c r="D255" i="6" s="1"/>
  <c r="B255" i="6"/>
  <c r="A255" i="6"/>
  <c r="K254" i="6"/>
  <c r="J254" i="6"/>
  <c r="I254" i="6"/>
  <c r="H254" i="6"/>
  <c r="G254" i="6"/>
  <c r="F254" i="6"/>
  <c r="E254" i="6"/>
  <c r="C254" i="6"/>
  <c r="D254" i="6" s="1"/>
  <c r="B254" i="6"/>
  <c r="A254" i="6"/>
  <c r="K253" i="6"/>
  <c r="J253" i="6"/>
  <c r="I253" i="6"/>
  <c r="H253" i="6"/>
  <c r="G253" i="6"/>
  <c r="F253" i="6"/>
  <c r="E253" i="6"/>
  <c r="C253" i="6"/>
  <c r="D253" i="6" s="1"/>
  <c r="B253" i="6"/>
  <c r="A253" i="6"/>
  <c r="K252" i="6"/>
  <c r="J252" i="6"/>
  <c r="I252" i="6"/>
  <c r="H252" i="6"/>
  <c r="G252" i="6"/>
  <c r="F252" i="6"/>
  <c r="E252" i="6"/>
  <c r="C252" i="6"/>
  <c r="D252" i="6" s="1"/>
  <c r="B252" i="6"/>
  <c r="A252" i="6"/>
  <c r="K251" i="6"/>
  <c r="J251" i="6"/>
  <c r="I251" i="6"/>
  <c r="H251" i="6"/>
  <c r="G251" i="6"/>
  <c r="F251" i="6"/>
  <c r="E251" i="6"/>
  <c r="C251" i="6"/>
  <c r="D251" i="6" s="1"/>
  <c r="B251" i="6"/>
  <c r="A251" i="6"/>
  <c r="K250" i="6"/>
  <c r="J250" i="6"/>
  <c r="I250" i="6"/>
  <c r="H250" i="6"/>
  <c r="G250" i="6"/>
  <c r="F250" i="6"/>
  <c r="E250" i="6"/>
  <c r="C250" i="6"/>
  <c r="D250" i="6" s="1"/>
  <c r="B250" i="6"/>
  <c r="A250" i="6"/>
  <c r="K249" i="6"/>
  <c r="J249" i="6"/>
  <c r="I249" i="6"/>
  <c r="H249" i="6"/>
  <c r="G249" i="6"/>
  <c r="F249" i="6"/>
  <c r="E249" i="6"/>
  <c r="C249" i="6"/>
  <c r="D249" i="6" s="1"/>
  <c r="B249" i="6"/>
  <c r="A249" i="6"/>
  <c r="K248" i="6"/>
  <c r="J248" i="6"/>
  <c r="I248" i="6"/>
  <c r="H248" i="6"/>
  <c r="G248" i="6"/>
  <c r="F248" i="6"/>
  <c r="E248" i="6"/>
  <c r="C248" i="6"/>
  <c r="D248" i="6" s="1"/>
  <c r="B248" i="6"/>
  <c r="A248" i="6"/>
  <c r="K247" i="6"/>
  <c r="J247" i="6"/>
  <c r="I247" i="6"/>
  <c r="H247" i="6"/>
  <c r="G247" i="6"/>
  <c r="F247" i="6"/>
  <c r="E247" i="6"/>
  <c r="C247" i="6"/>
  <c r="D247" i="6" s="1"/>
  <c r="B247" i="6"/>
  <c r="A247" i="6"/>
  <c r="K246" i="6"/>
  <c r="J246" i="6"/>
  <c r="I246" i="6"/>
  <c r="H246" i="6"/>
  <c r="G246" i="6"/>
  <c r="F246" i="6"/>
  <c r="E246" i="6"/>
  <c r="C246" i="6"/>
  <c r="D246" i="6" s="1"/>
  <c r="B246" i="6"/>
  <c r="A246" i="6"/>
  <c r="K245" i="6"/>
  <c r="J245" i="6"/>
  <c r="I245" i="6"/>
  <c r="H245" i="6"/>
  <c r="G245" i="6"/>
  <c r="F245" i="6"/>
  <c r="E245" i="6"/>
  <c r="C245" i="6"/>
  <c r="D245" i="6" s="1"/>
  <c r="B245" i="6"/>
  <c r="A245" i="6"/>
  <c r="K244" i="6"/>
  <c r="J244" i="6"/>
  <c r="I244" i="6"/>
  <c r="H244" i="6"/>
  <c r="G244" i="6"/>
  <c r="F244" i="6"/>
  <c r="E244" i="6"/>
  <c r="C244" i="6"/>
  <c r="D244" i="6" s="1"/>
  <c r="B244" i="6"/>
  <c r="A244" i="6"/>
  <c r="K243" i="6"/>
  <c r="J243" i="6"/>
  <c r="I243" i="6"/>
  <c r="H243" i="6"/>
  <c r="G243" i="6"/>
  <c r="F243" i="6"/>
  <c r="E243" i="6"/>
  <c r="C243" i="6"/>
  <c r="D243" i="6" s="1"/>
  <c r="B243" i="6"/>
  <c r="A243" i="6"/>
  <c r="K242" i="6"/>
  <c r="J242" i="6"/>
  <c r="I242" i="6"/>
  <c r="H242" i="6"/>
  <c r="G242" i="6"/>
  <c r="F242" i="6"/>
  <c r="E242" i="6"/>
  <c r="C242" i="6"/>
  <c r="D242" i="6" s="1"/>
  <c r="B242" i="6"/>
  <c r="A242" i="6"/>
  <c r="K241" i="6"/>
  <c r="J241" i="6"/>
  <c r="I241" i="6"/>
  <c r="H241" i="6"/>
  <c r="G241" i="6"/>
  <c r="F241" i="6"/>
  <c r="E241" i="6"/>
  <c r="C241" i="6"/>
  <c r="D241" i="6" s="1"/>
  <c r="B241" i="6"/>
  <c r="A241" i="6"/>
  <c r="K240" i="6"/>
  <c r="J240" i="6"/>
  <c r="I240" i="6"/>
  <c r="H240" i="6"/>
  <c r="G240" i="6"/>
  <c r="F240" i="6"/>
  <c r="E240" i="6"/>
  <c r="C240" i="6"/>
  <c r="D240" i="6" s="1"/>
  <c r="B240" i="6"/>
  <c r="A240" i="6"/>
  <c r="K239" i="6"/>
  <c r="J239" i="6"/>
  <c r="I239" i="6"/>
  <c r="H239" i="6"/>
  <c r="G239" i="6"/>
  <c r="F239" i="6"/>
  <c r="E239" i="6"/>
  <c r="C239" i="6"/>
  <c r="D239" i="6" s="1"/>
  <c r="B239" i="6"/>
  <c r="A239" i="6"/>
  <c r="K238" i="6"/>
  <c r="J238" i="6"/>
  <c r="I238" i="6"/>
  <c r="H238" i="6"/>
  <c r="G238" i="6"/>
  <c r="F238" i="6"/>
  <c r="E238" i="6"/>
  <c r="C238" i="6"/>
  <c r="D238" i="6" s="1"/>
  <c r="B238" i="6"/>
  <c r="A238" i="6"/>
  <c r="K237" i="6"/>
  <c r="J237" i="6"/>
  <c r="I237" i="6"/>
  <c r="H237" i="6"/>
  <c r="G237" i="6"/>
  <c r="F237" i="6"/>
  <c r="E237" i="6"/>
  <c r="C237" i="6"/>
  <c r="D237" i="6" s="1"/>
  <c r="B237" i="6"/>
  <c r="A237" i="6"/>
  <c r="K236" i="6"/>
  <c r="J236" i="6"/>
  <c r="I236" i="6"/>
  <c r="H236" i="6"/>
  <c r="G236" i="6"/>
  <c r="F236" i="6"/>
  <c r="E236" i="6"/>
  <c r="C236" i="6"/>
  <c r="D236" i="6" s="1"/>
  <c r="B236" i="6"/>
  <c r="A236" i="6"/>
  <c r="K235" i="6"/>
  <c r="J235" i="6"/>
  <c r="I235" i="6"/>
  <c r="H235" i="6"/>
  <c r="G235" i="6"/>
  <c r="F235" i="6"/>
  <c r="E235" i="6"/>
  <c r="C235" i="6"/>
  <c r="D235" i="6" s="1"/>
  <c r="B235" i="6"/>
  <c r="A235" i="6"/>
  <c r="K234" i="6"/>
  <c r="J234" i="6"/>
  <c r="I234" i="6"/>
  <c r="H234" i="6"/>
  <c r="G234" i="6"/>
  <c r="F234" i="6"/>
  <c r="E234" i="6"/>
  <c r="C234" i="6"/>
  <c r="D234" i="6" s="1"/>
  <c r="B234" i="6"/>
  <c r="A234" i="6"/>
  <c r="K233" i="6"/>
  <c r="J233" i="6"/>
  <c r="I233" i="6"/>
  <c r="H233" i="6"/>
  <c r="G233" i="6"/>
  <c r="F233" i="6"/>
  <c r="E233" i="6"/>
  <c r="C233" i="6"/>
  <c r="D233" i="6" s="1"/>
  <c r="B233" i="6"/>
  <c r="A233" i="6"/>
  <c r="K232" i="6"/>
  <c r="J232" i="6"/>
  <c r="I232" i="6"/>
  <c r="H232" i="6"/>
  <c r="G232" i="6"/>
  <c r="F232" i="6"/>
  <c r="E232" i="6"/>
  <c r="C232" i="6"/>
  <c r="D232" i="6" s="1"/>
  <c r="B232" i="6"/>
  <c r="A232" i="6"/>
  <c r="K231" i="6"/>
  <c r="J231" i="6"/>
  <c r="I231" i="6"/>
  <c r="H231" i="6"/>
  <c r="G231" i="6"/>
  <c r="F231" i="6"/>
  <c r="E231" i="6"/>
  <c r="C231" i="6"/>
  <c r="D231" i="6" s="1"/>
  <c r="B231" i="6"/>
  <c r="A231" i="6"/>
  <c r="K230" i="6"/>
  <c r="J230" i="6"/>
  <c r="I230" i="6"/>
  <c r="H230" i="6"/>
  <c r="G230" i="6"/>
  <c r="F230" i="6"/>
  <c r="E230" i="6"/>
  <c r="C230" i="6"/>
  <c r="D230" i="6" s="1"/>
  <c r="B230" i="6"/>
  <c r="A230" i="6"/>
  <c r="K229" i="6"/>
  <c r="J229" i="6"/>
  <c r="I229" i="6"/>
  <c r="H229" i="6"/>
  <c r="G229" i="6"/>
  <c r="F229" i="6"/>
  <c r="E229" i="6"/>
  <c r="C229" i="6"/>
  <c r="D229" i="6" s="1"/>
  <c r="B229" i="6"/>
  <c r="A229" i="6"/>
  <c r="K228" i="6"/>
  <c r="J228" i="6"/>
  <c r="I228" i="6"/>
  <c r="H228" i="6"/>
  <c r="G228" i="6"/>
  <c r="F228" i="6"/>
  <c r="E228" i="6"/>
  <c r="C228" i="6"/>
  <c r="D228" i="6" s="1"/>
  <c r="B228" i="6"/>
  <c r="A228" i="6"/>
  <c r="K227" i="6"/>
  <c r="J227" i="6"/>
  <c r="I227" i="6"/>
  <c r="H227" i="6"/>
  <c r="G227" i="6"/>
  <c r="F227" i="6"/>
  <c r="E227" i="6"/>
  <c r="C227" i="6"/>
  <c r="D227" i="6" s="1"/>
  <c r="B227" i="6"/>
  <c r="A227" i="6"/>
  <c r="K226" i="6"/>
  <c r="J226" i="6"/>
  <c r="I226" i="6"/>
  <c r="H226" i="6"/>
  <c r="G226" i="6"/>
  <c r="F226" i="6"/>
  <c r="E226" i="6"/>
  <c r="C226" i="6"/>
  <c r="D226" i="6" s="1"/>
  <c r="B226" i="6"/>
  <c r="A226" i="6"/>
  <c r="K225" i="6"/>
  <c r="J225" i="6"/>
  <c r="I225" i="6"/>
  <c r="H225" i="6"/>
  <c r="G225" i="6"/>
  <c r="F225" i="6"/>
  <c r="E225" i="6"/>
  <c r="C225" i="6"/>
  <c r="D225" i="6" s="1"/>
  <c r="B225" i="6"/>
  <c r="A225" i="6"/>
  <c r="K224" i="6"/>
  <c r="J224" i="6"/>
  <c r="I224" i="6"/>
  <c r="H224" i="6"/>
  <c r="G224" i="6"/>
  <c r="F224" i="6"/>
  <c r="E224" i="6"/>
  <c r="C224" i="6"/>
  <c r="D224" i="6" s="1"/>
  <c r="B224" i="6"/>
  <c r="A224" i="6"/>
  <c r="K223" i="6"/>
  <c r="J223" i="6"/>
  <c r="I223" i="6"/>
  <c r="H223" i="6"/>
  <c r="G223" i="6"/>
  <c r="F223" i="6"/>
  <c r="E223" i="6"/>
  <c r="C223" i="6"/>
  <c r="D223" i="6" s="1"/>
  <c r="B223" i="6"/>
  <c r="A223" i="6"/>
  <c r="K222" i="6"/>
  <c r="J222" i="6"/>
  <c r="I222" i="6"/>
  <c r="H222" i="6"/>
  <c r="G222" i="6"/>
  <c r="F222" i="6"/>
  <c r="E222" i="6"/>
  <c r="C222" i="6"/>
  <c r="D222" i="6" s="1"/>
  <c r="B222" i="6"/>
  <c r="A222" i="6"/>
  <c r="K221" i="6"/>
  <c r="J221" i="6"/>
  <c r="I221" i="6"/>
  <c r="H221" i="6"/>
  <c r="G221" i="6"/>
  <c r="F221" i="6"/>
  <c r="E221" i="6"/>
  <c r="C221" i="6"/>
  <c r="D221" i="6" s="1"/>
  <c r="B221" i="6"/>
  <c r="A221" i="6"/>
  <c r="K220" i="6"/>
  <c r="J220" i="6"/>
  <c r="I220" i="6"/>
  <c r="H220" i="6"/>
  <c r="G220" i="6"/>
  <c r="F220" i="6"/>
  <c r="E220" i="6"/>
  <c r="C220" i="6"/>
  <c r="D220" i="6" s="1"/>
  <c r="B220" i="6"/>
  <c r="A220" i="6"/>
  <c r="K219" i="6"/>
  <c r="J219" i="6"/>
  <c r="I219" i="6"/>
  <c r="H219" i="6"/>
  <c r="G219" i="6"/>
  <c r="F219" i="6"/>
  <c r="E219" i="6"/>
  <c r="C219" i="6"/>
  <c r="D219" i="6" s="1"/>
  <c r="B219" i="6"/>
  <c r="A219" i="6"/>
  <c r="K218" i="6"/>
  <c r="J218" i="6"/>
  <c r="I218" i="6"/>
  <c r="H218" i="6"/>
  <c r="G218" i="6"/>
  <c r="F218" i="6"/>
  <c r="E218" i="6"/>
  <c r="C218" i="6"/>
  <c r="D218" i="6" s="1"/>
  <c r="B218" i="6"/>
  <c r="A218" i="6"/>
  <c r="K217" i="6"/>
  <c r="J217" i="6"/>
  <c r="I217" i="6"/>
  <c r="H217" i="6"/>
  <c r="G217" i="6"/>
  <c r="F217" i="6"/>
  <c r="E217" i="6"/>
  <c r="C217" i="6"/>
  <c r="D217" i="6" s="1"/>
  <c r="B217" i="6"/>
  <c r="A217" i="6"/>
  <c r="K216" i="6"/>
  <c r="J216" i="6"/>
  <c r="I216" i="6"/>
  <c r="H216" i="6"/>
  <c r="G216" i="6"/>
  <c r="F216" i="6"/>
  <c r="E216" i="6"/>
  <c r="C216" i="6"/>
  <c r="D216" i="6" s="1"/>
  <c r="B216" i="6"/>
  <c r="A216" i="6"/>
  <c r="K215" i="6"/>
  <c r="J215" i="6"/>
  <c r="I215" i="6"/>
  <c r="H215" i="6"/>
  <c r="G215" i="6"/>
  <c r="F215" i="6"/>
  <c r="E215" i="6"/>
  <c r="C215" i="6"/>
  <c r="D215" i="6" s="1"/>
  <c r="B215" i="6"/>
  <c r="A215" i="6"/>
  <c r="K214" i="6"/>
  <c r="J214" i="6"/>
  <c r="I214" i="6"/>
  <c r="H214" i="6"/>
  <c r="G214" i="6"/>
  <c r="F214" i="6"/>
  <c r="E214" i="6"/>
  <c r="C214" i="6"/>
  <c r="D214" i="6" s="1"/>
  <c r="B214" i="6"/>
  <c r="A214" i="6"/>
  <c r="K213" i="6"/>
  <c r="J213" i="6"/>
  <c r="I213" i="6"/>
  <c r="H213" i="6"/>
  <c r="G213" i="6"/>
  <c r="F213" i="6"/>
  <c r="E213" i="6"/>
  <c r="C213" i="6"/>
  <c r="D213" i="6" s="1"/>
  <c r="B213" i="6"/>
  <c r="A213" i="6"/>
  <c r="K212" i="6"/>
  <c r="J212" i="6"/>
  <c r="I212" i="6"/>
  <c r="H212" i="6"/>
  <c r="G212" i="6"/>
  <c r="F212" i="6"/>
  <c r="E212" i="6"/>
  <c r="C212" i="6"/>
  <c r="D212" i="6" s="1"/>
  <c r="B212" i="6"/>
  <c r="A212" i="6"/>
  <c r="K211" i="6"/>
  <c r="J211" i="6"/>
  <c r="I211" i="6"/>
  <c r="H211" i="6"/>
  <c r="G211" i="6"/>
  <c r="F211" i="6"/>
  <c r="E211" i="6"/>
  <c r="C211" i="6"/>
  <c r="D211" i="6" s="1"/>
  <c r="B211" i="6"/>
  <c r="A211" i="6"/>
  <c r="K210" i="6"/>
  <c r="J210" i="6"/>
  <c r="I210" i="6"/>
  <c r="H210" i="6"/>
  <c r="G210" i="6"/>
  <c r="F210" i="6"/>
  <c r="E210" i="6"/>
  <c r="C210" i="6"/>
  <c r="D210" i="6" s="1"/>
  <c r="B210" i="6"/>
  <c r="A210" i="6"/>
  <c r="K209" i="6"/>
  <c r="J209" i="6"/>
  <c r="I209" i="6"/>
  <c r="H209" i="6"/>
  <c r="G209" i="6"/>
  <c r="F209" i="6"/>
  <c r="E209" i="6"/>
  <c r="C209" i="6"/>
  <c r="D209" i="6" s="1"/>
  <c r="B209" i="6"/>
  <c r="A209" i="6"/>
  <c r="K208" i="6"/>
  <c r="J208" i="6"/>
  <c r="I208" i="6"/>
  <c r="H208" i="6"/>
  <c r="G208" i="6"/>
  <c r="F208" i="6"/>
  <c r="E208" i="6"/>
  <c r="C208" i="6"/>
  <c r="D208" i="6" s="1"/>
  <c r="B208" i="6"/>
  <c r="A208" i="6"/>
  <c r="K207" i="6"/>
  <c r="J207" i="6"/>
  <c r="I207" i="6"/>
  <c r="H207" i="6"/>
  <c r="G207" i="6"/>
  <c r="F207" i="6"/>
  <c r="E207" i="6"/>
  <c r="C207" i="6"/>
  <c r="D207" i="6" s="1"/>
  <c r="B207" i="6"/>
  <c r="A207" i="6"/>
  <c r="K206" i="6"/>
  <c r="J206" i="6"/>
  <c r="I206" i="6"/>
  <c r="H206" i="6"/>
  <c r="G206" i="6"/>
  <c r="F206" i="6"/>
  <c r="E206" i="6"/>
  <c r="C206" i="6"/>
  <c r="D206" i="6" s="1"/>
  <c r="B206" i="6"/>
  <c r="A206" i="6"/>
  <c r="K205" i="6"/>
  <c r="J205" i="6"/>
  <c r="I205" i="6"/>
  <c r="H205" i="6"/>
  <c r="G205" i="6"/>
  <c r="F205" i="6"/>
  <c r="E205" i="6"/>
  <c r="C205" i="6"/>
  <c r="D205" i="6" s="1"/>
  <c r="B205" i="6"/>
  <c r="A205" i="6"/>
  <c r="K204" i="6"/>
  <c r="J204" i="6"/>
  <c r="I204" i="6"/>
  <c r="H204" i="6"/>
  <c r="G204" i="6"/>
  <c r="F204" i="6"/>
  <c r="E204" i="6"/>
  <c r="C204" i="6"/>
  <c r="D204" i="6" s="1"/>
  <c r="B204" i="6"/>
  <c r="A204" i="6"/>
  <c r="K203" i="6"/>
  <c r="J203" i="6"/>
  <c r="I203" i="6"/>
  <c r="H203" i="6"/>
  <c r="G203" i="6"/>
  <c r="F203" i="6"/>
  <c r="E203" i="6"/>
  <c r="C203" i="6"/>
  <c r="D203" i="6" s="1"/>
  <c r="B203" i="6"/>
  <c r="A203" i="6"/>
  <c r="K202" i="6"/>
  <c r="J202" i="6"/>
  <c r="I202" i="6"/>
  <c r="H202" i="6"/>
  <c r="G202" i="6"/>
  <c r="F202" i="6"/>
  <c r="E202" i="6"/>
  <c r="C202" i="6"/>
  <c r="D202" i="6" s="1"/>
  <c r="B202" i="6"/>
  <c r="A202" i="6"/>
  <c r="K201" i="6"/>
  <c r="J201" i="6"/>
  <c r="I201" i="6"/>
  <c r="H201" i="6"/>
  <c r="G201" i="6"/>
  <c r="F201" i="6"/>
  <c r="E201" i="6"/>
  <c r="C201" i="6"/>
  <c r="D201" i="6" s="1"/>
  <c r="B201" i="6"/>
  <c r="A201" i="6"/>
  <c r="K200" i="6"/>
  <c r="J200" i="6"/>
  <c r="I200" i="6"/>
  <c r="H200" i="6"/>
  <c r="G200" i="6"/>
  <c r="F200" i="6"/>
  <c r="E200" i="6"/>
  <c r="C200" i="6"/>
  <c r="D200" i="6" s="1"/>
  <c r="B200" i="6"/>
  <c r="A200" i="6"/>
  <c r="K199" i="6"/>
  <c r="J199" i="6"/>
  <c r="I199" i="6"/>
  <c r="H199" i="6"/>
  <c r="G199" i="6"/>
  <c r="F199" i="6"/>
  <c r="E199" i="6"/>
  <c r="C199" i="6"/>
  <c r="D199" i="6" s="1"/>
  <c r="B199" i="6"/>
  <c r="A199" i="6"/>
  <c r="K198" i="6"/>
  <c r="J198" i="6"/>
  <c r="I198" i="6"/>
  <c r="H198" i="6"/>
  <c r="G198" i="6"/>
  <c r="F198" i="6"/>
  <c r="E198" i="6"/>
  <c r="C198" i="6"/>
  <c r="D198" i="6" s="1"/>
  <c r="B198" i="6"/>
  <c r="A198" i="6"/>
  <c r="K197" i="6"/>
  <c r="J197" i="6"/>
  <c r="I197" i="6"/>
  <c r="H197" i="6"/>
  <c r="G197" i="6"/>
  <c r="F197" i="6"/>
  <c r="E197" i="6"/>
  <c r="C197" i="6"/>
  <c r="D197" i="6" s="1"/>
  <c r="B197" i="6"/>
  <c r="A197" i="6"/>
  <c r="K196" i="6"/>
  <c r="J196" i="6"/>
  <c r="I196" i="6"/>
  <c r="H196" i="6"/>
  <c r="G196" i="6"/>
  <c r="F196" i="6"/>
  <c r="E196" i="6"/>
  <c r="C196" i="6"/>
  <c r="D196" i="6" s="1"/>
  <c r="B196" i="6"/>
  <c r="A196" i="6"/>
  <c r="K195" i="6"/>
  <c r="J195" i="6"/>
  <c r="I195" i="6"/>
  <c r="H195" i="6"/>
  <c r="G195" i="6"/>
  <c r="F195" i="6"/>
  <c r="E195" i="6"/>
  <c r="C195" i="6"/>
  <c r="D195" i="6" s="1"/>
  <c r="B195" i="6"/>
  <c r="A195" i="6"/>
  <c r="K194" i="6"/>
  <c r="J194" i="6"/>
  <c r="I194" i="6"/>
  <c r="H194" i="6"/>
  <c r="G194" i="6"/>
  <c r="F194" i="6"/>
  <c r="E194" i="6"/>
  <c r="C194" i="6"/>
  <c r="D194" i="6" s="1"/>
  <c r="B194" i="6"/>
  <c r="A194" i="6"/>
  <c r="K193" i="6"/>
  <c r="J193" i="6"/>
  <c r="I193" i="6"/>
  <c r="H193" i="6"/>
  <c r="G193" i="6"/>
  <c r="F193" i="6"/>
  <c r="E193" i="6"/>
  <c r="C193" i="6"/>
  <c r="D193" i="6" s="1"/>
  <c r="B193" i="6"/>
  <c r="A193" i="6"/>
  <c r="K192" i="6"/>
  <c r="J192" i="6"/>
  <c r="I192" i="6"/>
  <c r="H192" i="6"/>
  <c r="G192" i="6"/>
  <c r="F192" i="6"/>
  <c r="E192" i="6"/>
  <c r="C192" i="6"/>
  <c r="D192" i="6" s="1"/>
  <c r="B192" i="6"/>
  <c r="A192" i="6"/>
  <c r="K191" i="6"/>
  <c r="J191" i="6"/>
  <c r="I191" i="6"/>
  <c r="H191" i="6"/>
  <c r="G191" i="6"/>
  <c r="F191" i="6"/>
  <c r="E191" i="6"/>
  <c r="C191" i="6"/>
  <c r="D191" i="6" s="1"/>
  <c r="B191" i="6"/>
  <c r="A191" i="6"/>
  <c r="K190" i="6"/>
  <c r="J190" i="6"/>
  <c r="I190" i="6"/>
  <c r="H190" i="6"/>
  <c r="G190" i="6"/>
  <c r="F190" i="6"/>
  <c r="E190" i="6"/>
  <c r="C190" i="6"/>
  <c r="D190" i="6" s="1"/>
  <c r="B190" i="6"/>
  <c r="A190" i="6"/>
  <c r="K189" i="6"/>
  <c r="J189" i="6"/>
  <c r="I189" i="6"/>
  <c r="H189" i="6"/>
  <c r="G189" i="6"/>
  <c r="F189" i="6"/>
  <c r="E189" i="6"/>
  <c r="C189" i="6"/>
  <c r="D189" i="6" s="1"/>
  <c r="B189" i="6"/>
  <c r="A189" i="6"/>
  <c r="K188" i="6"/>
  <c r="J188" i="6"/>
  <c r="I188" i="6"/>
  <c r="H188" i="6"/>
  <c r="G188" i="6"/>
  <c r="F188" i="6"/>
  <c r="E188" i="6"/>
  <c r="C188" i="6"/>
  <c r="D188" i="6" s="1"/>
  <c r="B188" i="6"/>
  <c r="A188" i="6"/>
  <c r="K187" i="6"/>
  <c r="J187" i="6"/>
  <c r="I187" i="6"/>
  <c r="H187" i="6"/>
  <c r="G187" i="6"/>
  <c r="F187" i="6"/>
  <c r="E187" i="6"/>
  <c r="C187" i="6"/>
  <c r="D187" i="6" s="1"/>
  <c r="B187" i="6"/>
  <c r="A187" i="6"/>
  <c r="K186" i="6"/>
  <c r="J186" i="6"/>
  <c r="I186" i="6"/>
  <c r="H186" i="6"/>
  <c r="G186" i="6"/>
  <c r="F186" i="6"/>
  <c r="E186" i="6"/>
  <c r="C186" i="6"/>
  <c r="D186" i="6" s="1"/>
  <c r="B186" i="6"/>
  <c r="A186" i="6"/>
  <c r="K185" i="6"/>
  <c r="J185" i="6"/>
  <c r="I185" i="6"/>
  <c r="H185" i="6"/>
  <c r="G185" i="6"/>
  <c r="F185" i="6"/>
  <c r="E185" i="6"/>
  <c r="C185" i="6"/>
  <c r="D185" i="6" s="1"/>
  <c r="B185" i="6"/>
  <c r="A185" i="6"/>
  <c r="K184" i="6"/>
  <c r="J184" i="6"/>
  <c r="I184" i="6"/>
  <c r="H184" i="6"/>
  <c r="G184" i="6"/>
  <c r="F184" i="6"/>
  <c r="E184" i="6"/>
  <c r="C184" i="6"/>
  <c r="D184" i="6" s="1"/>
  <c r="B184" i="6"/>
  <c r="A184" i="6"/>
  <c r="K183" i="6"/>
  <c r="J183" i="6"/>
  <c r="I183" i="6"/>
  <c r="H183" i="6"/>
  <c r="G183" i="6"/>
  <c r="F183" i="6"/>
  <c r="E183" i="6"/>
  <c r="C183" i="6"/>
  <c r="D183" i="6" s="1"/>
  <c r="B183" i="6"/>
  <c r="A183" i="6"/>
  <c r="K182" i="6"/>
  <c r="J182" i="6"/>
  <c r="I182" i="6"/>
  <c r="H182" i="6"/>
  <c r="G182" i="6"/>
  <c r="F182" i="6"/>
  <c r="E182" i="6"/>
  <c r="C182" i="6"/>
  <c r="D182" i="6" s="1"/>
  <c r="B182" i="6"/>
  <c r="A182" i="6"/>
  <c r="K181" i="6"/>
  <c r="J181" i="6"/>
  <c r="I181" i="6"/>
  <c r="H181" i="6"/>
  <c r="G181" i="6"/>
  <c r="F181" i="6"/>
  <c r="E181" i="6"/>
  <c r="C181" i="6"/>
  <c r="D181" i="6" s="1"/>
  <c r="B181" i="6"/>
  <c r="A181" i="6"/>
  <c r="K180" i="6"/>
  <c r="J180" i="6"/>
  <c r="I180" i="6"/>
  <c r="H180" i="6"/>
  <c r="G180" i="6"/>
  <c r="F180" i="6"/>
  <c r="E180" i="6"/>
  <c r="C180" i="6"/>
  <c r="D180" i="6" s="1"/>
  <c r="B180" i="6"/>
  <c r="A180" i="6"/>
  <c r="K179" i="6"/>
  <c r="J179" i="6"/>
  <c r="I179" i="6"/>
  <c r="H179" i="6"/>
  <c r="G179" i="6"/>
  <c r="F179" i="6"/>
  <c r="E179" i="6"/>
  <c r="C179" i="6"/>
  <c r="D179" i="6" s="1"/>
  <c r="B179" i="6"/>
  <c r="A179" i="6"/>
  <c r="K178" i="6"/>
  <c r="J178" i="6"/>
  <c r="I178" i="6"/>
  <c r="H178" i="6"/>
  <c r="G178" i="6"/>
  <c r="F178" i="6"/>
  <c r="E178" i="6"/>
  <c r="C178" i="6"/>
  <c r="D178" i="6" s="1"/>
  <c r="B178" i="6"/>
  <c r="A178" i="6"/>
  <c r="K177" i="6"/>
  <c r="J177" i="6"/>
  <c r="I177" i="6"/>
  <c r="H177" i="6"/>
  <c r="G177" i="6"/>
  <c r="F177" i="6"/>
  <c r="E177" i="6"/>
  <c r="C177" i="6"/>
  <c r="D177" i="6" s="1"/>
  <c r="B177" i="6"/>
  <c r="A177" i="6"/>
  <c r="K176" i="6"/>
  <c r="J176" i="6"/>
  <c r="I176" i="6"/>
  <c r="H176" i="6"/>
  <c r="G176" i="6"/>
  <c r="F176" i="6"/>
  <c r="E176" i="6"/>
  <c r="C176" i="6"/>
  <c r="D176" i="6" s="1"/>
  <c r="B176" i="6"/>
  <c r="A176" i="6"/>
  <c r="K175" i="6"/>
  <c r="J175" i="6"/>
  <c r="I175" i="6"/>
  <c r="H175" i="6"/>
  <c r="G175" i="6"/>
  <c r="F175" i="6"/>
  <c r="E175" i="6"/>
  <c r="C175" i="6"/>
  <c r="D175" i="6" s="1"/>
  <c r="B175" i="6"/>
  <c r="A175" i="6"/>
  <c r="K174" i="6"/>
  <c r="J174" i="6"/>
  <c r="I174" i="6"/>
  <c r="H174" i="6"/>
  <c r="G174" i="6"/>
  <c r="F174" i="6"/>
  <c r="E174" i="6"/>
  <c r="C174" i="6"/>
  <c r="D174" i="6" s="1"/>
  <c r="B174" i="6"/>
  <c r="A174" i="6"/>
  <c r="K173" i="6"/>
  <c r="J173" i="6"/>
  <c r="I173" i="6"/>
  <c r="H173" i="6"/>
  <c r="G173" i="6"/>
  <c r="F173" i="6"/>
  <c r="E173" i="6"/>
  <c r="C173" i="6"/>
  <c r="D173" i="6" s="1"/>
  <c r="B173" i="6"/>
  <c r="A173" i="6"/>
  <c r="K172" i="6"/>
  <c r="J172" i="6"/>
  <c r="I172" i="6"/>
  <c r="H172" i="6"/>
  <c r="G172" i="6"/>
  <c r="F172" i="6"/>
  <c r="E172" i="6"/>
  <c r="C172" i="6"/>
  <c r="D172" i="6" s="1"/>
  <c r="B172" i="6"/>
  <c r="A172" i="6"/>
  <c r="K171" i="6"/>
  <c r="J171" i="6"/>
  <c r="I171" i="6"/>
  <c r="H171" i="6"/>
  <c r="G171" i="6"/>
  <c r="F171" i="6"/>
  <c r="E171" i="6"/>
  <c r="C171" i="6"/>
  <c r="D171" i="6" s="1"/>
  <c r="B171" i="6"/>
  <c r="A171" i="6"/>
  <c r="K170" i="6"/>
  <c r="J170" i="6"/>
  <c r="I170" i="6"/>
  <c r="H170" i="6"/>
  <c r="G170" i="6"/>
  <c r="F170" i="6"/>
  <c r="E170" i="6"/>
  <c r="C170" i="6"/>
  <c r="D170" i="6" s="1"/>
  <c r="B170" i="6"/>
  <c r="A170" i="6"/>
  <c r="K169" i="6"/>
  <c r="J169" i="6"/>
  <c r="I169" i="6"/>
  <c r="H169" i="6"/>
  <c r="G169" i="6"/>
  <c r="F169" i="6"/>
  <c r="E169" i="6"/>
  <c r="C169" i="6"/>
  <c r="D169" i="6" s="1"/>
  <c r="B169" i="6"/>
  <c r="A169" i="6"/>
  <c r="K168" i="6"/>
  <c r="J168" i="6"/>
  <c r="I168" i="6"/>
  <c r="H168" i="6"/>
  <c r="G168" i="6"/>
  <c r="F168" i="6"/>
  <c r="E168" i="6"/>
  <c r="C168" i="6"/>
  <c r="D168" i="6" s="1"/>
  <c r="B168" i="6"/>
  <c r="A168" i="6"/>
  <c r="K167" i="6"/>
  <c r="J167" i="6"/>
  <c r="I167" i="6"/>
  <c r="H167" i="6"/>
  <c r="G167" i="6"/>
  <c r="F167" i="6"/>
  <c r="E167" i="6"/>
  <c r="C167" i="6"/>
  <c r="D167" i="6" s="1"/>
  <c r="B167" i="6"/>
  <c r="A167" i="6"/>
  <c r="K166" i="6"/>
  <c r="J166" i="6"/>
  <c r="I166" i="6"/>
  <c r="H166" i="6"/>
  <c r="G166" i="6"/>
  <c r="F166" i="6"/>
  <c r="E166" i="6"/>
  <c r="C166" i="6"/>
  <c r="D166" i="6" s="1"/>
  <c r="B166" i="6"/>
  <c r="A166" i="6"/>
  <c r="K165" i="6"/>
  <c r="J165" i="6"/>
  <c r="I165" i="6"/>
  <c r="H165" i="6"/>
  <c r="G165" i="6"/>
  <c r="F165" i="6"/>
  <c r="E165" i="6"/>
  <c r="C165" i="6"/>
  <c r="D165" i="6" s="1"/>
  <c r="B165" i="6"/>
  <c r="A165" i="6"/>
  <c r="K164" i="6"/>
  <c r="J164" i="6"/>
  <c r="I164" i="6"/>
  <c r="H164" i="6"/>
  <c r="G164" i="6"/>
  <c r="F164" i="6"/>
  <c r="E164" i="6"/>
  <c r="C164" i="6"/>
  <c r="D164" i="6" s="1"/>
  <c r="B164" i="6"/>
  <c r="A164" i="6"/>
  <c r="K163" i="6"/>
  <c r="J163" i="6"/>
  <c r="I163" i="6"/>
  <c r="H163" i="6"/>
  <c r="G163" i="6"/>
  <c r="F163" i="6"/>
  <c r="E163" i="6"/>
  <c r="C163" i="6"/>
  <c r="D163" i="6" s="1"/>
  <c r="B163" i="6"/>
  <c r="A163" i="6"/>
  <c r="K162" i="6"/>
  <c r="J162" i="6"/>
  <c r="I162" i="6"/>
  <c r="H162" i="6"/>
  <c r="G162" i="6"/>
  <c r="F162" i="6"/>
  <c r="E162" i="6"/>
  <c r="C162" i="6"/>
  <c r="D162" i="6" s="1"/>
  <c r="B162" i="6"/>
  <c r="A162" i="6"/>
  <c r="K161" i="6"/>
  <c r="J161" i="6"/>
  <c r="I161" i="6"/>
  <c r="H161" i="6"/>
  <c r="G161" i="6"/>
  <c r="F161" i="6"/>
  <c r="E161" i="6"/>
  <c r="C161" i="6"/>
  <c r="D161" i="6" s="1"/>
  <c r="B161" i="6"/>
  <c r="A161" i="6"/>
  <c r="K160" i="6"/>
  <c r="J160" i="6"/>
  <c r="I160" i="6"/>
  <c r="H160" i="6"/>
  <c r="G160" i="6"/>
  <c r="F160" i="6"/>
  <c r="E160" i="6"/>
  <c r="C160" i="6"/>
  <c r="D160" i="6" s="1"/>
  <c r="B160" i="6"/>
  <c r="A160" i="6"/>
  <c r="K159" i="6"/>
  <c r="J159" i="6"/>
  <c r="I159" i="6"/>
  <c r="H159" i="6"/>
  <c r="G159" i="6"/>
  <c r="F159" i="6"/>
  <c r="E159" i="6"/>
  <c r="C159" i="6"/>
  <c r="D159" i="6" s="1"/>
  <c r="B159" i="6"/>
  <c r="A159" i="6"/>
  <c r="K158" i="6"/>
  <c r="J158" i="6"/>
  <c r="I158" i="6"/>
  <c r="H158" i="6"/>
  <c r="G158" i="6"/>
  <c r="F158" i="6"/>
  <c r="E158" i="6"/>
  <c r="C158" i="6"/>
  <c r="D158" i="6" s="1"/>
  <c r="B158" i="6"/>
  <c r="A158" i="6"/>
  <c r="K157" i="6"/>
  <c r="J157" i="6"/>
  <c r="I157" i="6"/>
  <c r="H157" i="6"/>
  <c r="G157" i="6"/>
  <c r="F157" i="6"/>
  <c r="E157" i="6"/>
  <c r="C157" i="6"/>
  <c r="D157" i="6" s="1"/>
  <c r="B157" i="6"/>
  <c r="A157" i="6"/>
  <c r="K156" i="6"/>
  <c r="J156" i="6"/>
  <c r="I156" i="6"/>
  <c r="H156" i="6"/>
  <c r="G156" i="6"/>
  <c r="F156" i="6"/>
  <c r="E156" i="6"/>
  <c r="C156" i="6"/>
  <c r="D156" i="6" s="1"/>
  <c r="B156" i="6"/>
  <c r="A156" i="6"/>
  <c r="K155" i="6"/>
  <c r="J155" i="6"/>
  <c r="I155" i="6"/>
  <c r="H155" i="6"/>
  <c r="G155" i="6"/>
  <c r="F155" i="6"/>
  <c r="E155" i="6"/>
  <c r="C155" i="6"/>
  <c r="D155" i="6" s="1"/>
  <c r="B155" i="6"/>
  <c r="A155" i="6"/>
  <c r="K154" i="6"/>
  <c r="J154" i="6"/>
  <c r="I154" i="6"/>
  <c r="H154" i="6"/>
  <c r="G154" i="6"/>
  <c r="F154" i="6"/>
  <c r="E154" i="6"/>
  <c r="C154" i="6"/>
  <c r="D154" i="6" s="1"/>
  <c r="B154" i="6"/>
  <c r="A154" i="6"/>
  <c r="K153" i="6"/>
  <c r="J153" i="6"/>
  <c r="I153" i="6"/>
  <c r="H153" i="6"/>
  <c r="G153" i="6"/>
  <c r="F153" i="6"/>
  <c r="E153" i="6"/>
  <c r="C153" i="6"/>
  <c r="D153" i="6" s="1"/>
  <c r="B153" i="6"/>
  <c r="A153" i="6"/>
  <c r="K152" i="6"/>
  <c r="J152" i="6"/>
  <c r="I152" i="6"/>
  <c r="H152" i="6"/>
  <c r="G152" i="6"/>
  <c r="F152" i="6"/>
  <c r="E152" i="6"/>
  <c r="C152" i="6"/>
  <c r="D152" i="6" s="1"/>
  <c r="B152" i="6"/>
  <c r="A152" i="6"/>
  <c r="K151" i="6"/>
  <c r="J151" i="6"/>
  <c r="I151" i="6"/>
  <c r="H151" i="6"/>
  <c r="G151" i="6"/>
  <c r="F151" i="6"/>
  <c r="E151" i="6"/>
  <c r="C151" i="6"/>
  <c r="D151" i="6" s="1"/>
  <c r="B151" i="6"/>
  <c r="A151" i="6"/>
  <c r="K150" i="6"/>
  <c r="J150" i="6"/>
  <c r="I150" i="6"/>
  <c r="H150" i="6"/>
  <c r="G150" i="6"/>
  <c r="F150" i="6"/>
  <c r="E150" i="6"/>
  <c r="C150" i="6"/>
  <c r="D150" i="6" s="1"/>
  <c r="B150" i="6"/>
  <c r="A150" i="6"/>
  <c r="K149" i="6"/>
  <c r="J149" i="6"/>
  <c r="I149" i="6"/>
  <c r="H149" i="6"/>
  <c r="G149" i="6"/>
  <c r="F149" i="6"/>
  <c r="E149" i="6"/>
  <c r="C149" i="6"/>
  <c r="D149" i="6" s="1"/>
  <c r="B149" i="6"/>
  <c r="A149" i="6"/>
  <c r="K148" i="6"/>
  <c r="J148" i="6"/>
  <c r="I148" i="6"/>
  <c r="H148" i="6"/>
  <c r="G148" i="6"/>
  <c r="F148" i="6"/>
  <c r="E148" i="6"/>
  <c r="C148" i="6"/>
  <c r="D148" i="6" s="1"/>
  <c r="B148" i="6"/>
  <c r="A148" i="6"/>
  <c r="K147" i="6"/>
  <c r="J147" i="6"/>
  <c r="I147" i="6"/>
  <c r="H147" i="6"/>
  <c r="G147" i="6"/>
  <c r="F147" i="6"/>
  <c r="E147" i="6"/>
  <c r="C147" i="6"/>
  <c r="D147" i="6" s="1"/>
  <c r="B147" i="6"/>
  <c r="A147" i="6"/>
  <c r="K146" i="6"/>
  <c r="J146" i="6"/>
  <c r="I146" i="6"/>
  <c r="H146" i="6"/>
  <c r="G146" i="6"/>
  <c r="F146" i="6"/>
  <c r="E146" i="6"/>
  <c r="C146" i="6"/>
  <c r="D146" i="6" s="1"/>
  <c r="B146" i="6"/>
  <c r="A146" i="6"/>
  <c r="K145" i="6"/>
  <c r="J145" i="6"/>
  <c r="I145" i="6"/>
  <c r="H145" i="6"/>
  <c r="G145" i="6"/>
  <c r="F145" i="6"/>
  <c r="E145" i="6"/>
  <c r="C145" i="6"/>
  <c r="D145" i="6" s="1"/>
  <c r="B145" i="6"/>
  <c r="A145" i="6"/>
  <c r="K144" i="6"/>
  <c r="J144" i="6"/>
  <c r="I144" i="6"/>
  <c r="H144" i="6"/>
  <c r="G144" i="6"/>
  <c r="F144" i="6"/>
  <c r="E144" i="6"/>
  <c r="C144" i="6"/>
  <c r="D144" i="6" s="1"/>
  <c r="B144" i="6"/>
  <c r="A144" i="6"/>
  <c r="K143" i="6"/>
  <c r="J143" i="6"/>
  <c r="I143" i="6"/>
  <c r="H143" i="6"/>
  <c r="G143" i="6"/>
  <c r="F143" i="6"/>
  <c r="E143" i="6"/>
  <c r="C143" i="6"/>
  <c r="D143" i="6" s="1"/>
  <c r="B143" i="6"/>
  <c r="A143" i="6"/>
  <c r="K142" i="6"/>
  <c r="J142" i="6"/>
  <c r="I142" i="6"/>
  <c r="H142" i="6"/>
  <c r="G142" i="6"/>
  <c r="F142" i="6"/>
  <c r="E142" i="6"/>
  <c r="C142" i="6"/>
  <c r="D142" i="6" s="1"/>
  <c r="B142" i="6"/>
  <c r="A142" i="6"/>
  <c r="K141" i="6"/>
  <c r="J141" i="6"/>
  <c r="I141" i="6"/>
  <c r="H141" i="6"/>
  <c r="G141" i="6"/>
  <c r="F141" i="6"/>
  <c r="E141" i="6"/>
  <c r="C141" i="6"/>
  <c r="D141" i="6" s="1"/>
  <c r="B141" i="6"/>
  <c r="A141" i="6"/>
  <c r="K140" i="6"/>
  <c r="J140" i="6"/>
  <c r="I140" i="6"/>
  <c r="H140" i="6"/>
  <c r="G140" i="6"/>
  <c r="F140" i="6"/>
  <c r="E140" i="6"/>
  <c r="C140" i="6"/>
  <c r="D140" i="6" s="1"/>
  <c r="B140" i="6"/>
  <c r="A140" i="6"/>
  <c r="K139" i="6"/>
  <c r="J139" i="6"/>
  <c r="I139" i="6"/>
  <c r="H139" i="6"/>
  <c r="G139" i="6"/>
  <c r="F139" i="6"/>
  <c r="E139" i="6"/>
  <c r="C139" i="6"/>
  <c r="D139" i="6" s="1"/>
  <c r="B139" i="6"/>
  <c r="A139" i="6"/>
  <c r="K138" i="6"/>
  <c r="J138" i="6"/>
  <c r="I138" i="6"/>
  <c r="H138" i="6"/>
  <c r="G138" i="6"/>
  <c r="F138" i="6"/>
  <c r="E138" i="6"/>
  <c r="C138" i="6"/>
  <c r="D138" i="6" s="1"/>
  <c r="B138" i="6"/>
  <c r="A138" i="6"/>
  <c r="K137" i="6"/>
  <c r="J137" i="6"/>
  <c r="I137" i="6"/>
  <c r="H137" i="6"/>
  <c r="G137" i="6"/>
  <c r="F137" i="6"/>
  <c r="E137" i="6"/>
  <c r="C137" i="6"/>
  <c r="D137" i="6" s="1"/>
  <c r="B137" i="6"/>
  <c r="A137" i="6"/>
  <c r="K136" i="6"/>
  <c r="J136" i="6"/>
  <c r="I136" i="6"/>
  <c r="H136" i="6"/>
  <c r="G136" i="6"/>
  <c r="F136" i="6"/>
  <c r="E136" i="6"/>
  <c r="C136" i="6"/>
  <c r="D136" i="6" s="1"/>
  <c r="B136" i="6"/>
  <c r="A136" i="6"/>
  <c r="K135" i="6"/>
  <c r="J135" i="6"/>
  <c r="I135" i="6"/>
  <c r="H135" i="6"/>
  <c r="G135" i="6"/>
  <c r="F135" i="6"/>
  <c r="E135" i="6"/>
  <c r="C135" i="6"/>
  <c r="D135" i="6" s="1"/>
  <c r="B135" i="6"/>
  <c r="A135" i="6"/>
  <c r="K134" i="6"/>
  <c r="J134" i="6"/>
  <c r="I134" i="6"/>
  <c r="H134" i="6"/>
  <c r="G134" i="6"/>
  <c r="F134" i="6"/>
  <c r="E134" i="6"/>
  <c r="C134" i="6"/>
  <c r="D134" i="6" s="1"/>
  <c r="B134" i="6"/>
  <c r="A134" i="6"/>
  <c r="K133" i="6"/>
  <c r="J133" i="6"/>
  <c r="I133" i="6"/>
  <c r="H133" i="6"/>
  <c r="G133" i="6"/>
  <c r="F133" i="6"/>
  <c r="E133" i="6"/>
  <c r="C133" i="6"/>
  <c r="D133" i="6" s="1"/>
  <c r="B133" i="6"/>
  <c r="A133" i="6"/>
  <c r="K132" i="6"/>
  <c r="J132" i="6"/>
  <c r="I132" i="6"/>
  <c r="H132" i="6"/>
  <c r="G132" i="6"/>
  <c r="F132" i="6"/>
  <c r="E132" i="6"/>
  <c r="C132" i="6"/>
  <c r="D132" i="6" s="1"/>
  <c r="B132" i="6"/>
  <c r="A132" i="6"/>
  <c r="K131" i="6"/>
  <c r="J131" i="6"/>
  <c r="I131" i="6"/>
  <c r="H131" i="6"/>
  <c r="G131" i="6"/>
  <c r="F131" i="6"/>
  <c r="E131" i="6"/>
  <c r="C131" i="6"/>
  <c r="D131" i="6" s="1"/>
  <c r="B131" i="6"/>
  <c r="A131" i="6"/>
  <c r="K130" i="6"/>
  <c r="J130" i="6"/>
  <c r="I130" i="6"/>
  <c r="H130" i="6"/>
  <c r="G130" i="6"/>
  <c r="F130" i="6"/>
  <c r="E130" i="6"/>
  <c r="C130" i="6"/>
  <c r="D130" i="6" s="1"/>
  <c r="B130" i="6"/>
  <c r="A130" i="6"/>
  <c r="K129" i="6"/>
  <c r="J129" i="6"/>
  <c r="I129" i="6"/>
  <c r="H129" i="6"/>
  <c r="G129" i="6"/>
  <c r="F129" i="6"/>
  <c r="E129" i="6"/>
  <c r="C129" i="6"/>
  <c r="D129" i="6" s="1"/>
  <c r="B129" i="6"/>
  <c r="A129" i="6"/>
  <c r="K128" i="6"/>
  <c r="J128" i="6"/>
  <c r="I128" i="6"/>
  <c r="H128" i="6"/>
  <c r="G128" i="6"/>
  <c r="F128" i="6"/>
  <c r="E128" i="6"/>
  <c r="C128" i="6"/>
  <c r="D128" i="6" s="1"/>
  <c r="B128" i="6"/>
  <c r="A128" i="6"/>
  <c r="K127" i="6"/>
  <c r="J127" i="6"/>
  <c r="I127" i="6"/>
  <c r="H127" i="6"/>
  <c r="G127" i="6"/>
  <c r="F127" i="6"/>
  <c r="E127" i="6"/>
  <c r="C127" i="6"/>
  <c r="D127" i="6" s="1"/>
  <c r="B127" i="6"/>
  <c r="A127" i="6"/>
  <c r="K126" i="6"/>
  <c r="J126" i="6"/>
  <c r="I126" i="6"/>
  <c r="H126" i="6"/>
  <c r="G126" i="6"/>
  <c r="F126" i="6"/>
  <c r="E126" i="6"/>
  <c r="C126" i="6"/>
  <c r="D126" i="6" s="1"/>
  <c r="B126" i="6"/>
  <c r="A126" i="6"/>
  <c r="K125" i="6"/>
  <c r="J125" i="6"/>
  <c r="I125" i="6"/>
  <c r="H125" i="6"/>
  <c r="G125" i="6"/>
  <c r="F125" i="6"/>
  <c r="E125" i="6"/>
  <c r="C125" i="6"/>
  <c r="D125" i="6" s="1"/>
  <c r="B125" i="6"/>
  <c r="A125" i="6"/>
  <c r="K124" i="6"/>
  <c r="J124" i="6"/>
  <c r="I124" i="6"/>
  <c r="H124" i="6"/>
  <c r="G124" i="6"/>
  <c r="F124" i="6"/>
  <c r="E124" i="6"/>
  <c r="C124" i="6"/>
  <c r="D124" i="6" s="1"/>
  <c r="B124" i="6"/>
  <c r="A124" i="6"/>
  <c r="K123" i="6"/>
  <c r="J123" i="6"/>
  <c r="I123" i="6"/>
  <c r="H123" i="6"/>
  <c r="G123" i="6"/>
  <c r="F123" i="6"/>
  <c r="E123" i="6"/>
  <c r="C123" i="6"/>
  <c r="D123" i="6" s="1"/>
  <c r="B123" i="6"/>
  <c r="A123" i="6"/>
  <c r="K122" i="6"/>
  <c r="J122" i="6"/>
  <c r="I122" i="6"/>
  <c r="H122" i="6"/>
  <c r="G122" i="6"/>
  <c r="F122" i="6"/>
  <c r="E122" i="6"/>
  <c r="C122" i="6"/>
  <c r="D122" i="6" s="1"/>
  <c r="B122" i="6"/>
  <c r="A122" i="6"/>
  <c r="K121" i="6"/>
  <c r="J121" i="6"/>
  <c r="I121" i="6"/>
  <c r="H121" i="6"/>
  <c r="G121" i="6"/>
  <c r="F121" i="6"/>
  <c r="E121" i="6"/>
  <c r="C121" i="6"/>
  <c r="D121" i="6" s="1"/>
  <c r="B121" i="6"/>
  <c r="A121" i="6"/>
  <c r="K120" i="6"/>
  <c r="J120" i="6"/>
  <c r="I120" i="6"/>
  <c r="H120" i="6"/>
  <c r="G120" i="6"/>
  <c r="F120" i="6"/>
  <c r="E120" i="6"/>
  <c r="C120" i="6"/>
  <c r="D120" i="6" s="1"/>
  <c r="B120" i="6"/>
  <c r="A120" i="6"/>
  <c r="K119" i="6"/>
  <c r="J119" i="6"/>
  <c r="I119" i="6"/>
  <c r="H119" i="6"/>
  <c r="G119" i="6"/>
  <c r="F119" i="6"/>
  <c r="E119" i="6"/>
  <c r="C119" i="6"/>
  <c r="D119" i="6" s="1"/>
  <c r="B119" i="6"/>
  <c r="A119" i="6"/>
  <c r="K118" i="6"/>
  <c r="J118" i="6"/>
  <c r="I118" i="6"/>
  <c r="H118" i="6"/>
  <c r="G118" i="6"/>
  <c r="F118" i="6"/>
  <c r="E118" i="6"/>
  <c r="C118" i="6"/>
  <c r="D118" i="6" s="1"/>
  <c r="B118" i="6"/>
  <c r="A118" i="6"/>
  <c r="K117" i="6"/>
  <c r="J117" i="6"/>
  <c r="I117" i="6"/>
  <c r="H117" i="6"/>
  <c r="G117" i="6"/>
  <c r="F117" i="6"/>
  <c r="E117" i="6"/>
  <c r="C117" i="6"/>
  <c r="D117" i="6" s="1"/>
  <c r="B117" i="6"/>
  <c r="A117" i="6"/>
  <c r="K116" i="6"/>
  <c r="J116" i="6"/>
  <c r="I116" i="6"/>
  <c r="H116" i="6"/>
  <c r="G116" i="6"/>
  <c r="F116" i="6"/>
  <c r="E116" i="6"/>
  <c r="C116" i="6"/>
  <c r="D116" i="6" s="1"/>
  <c r="B116" i="6"/>
  <c r="A116" i="6"/>
  <c r="K115" i="6"/>
  <c r="J115" i="6"/>
  <c r="I115" i="6"/>
  <c r="H115" i="6"/>
  <c r="G115" i="6"/>
  <c r="F115" i="6"/>
  <c r="E115" i="6"/>
  <c r="C115" i="6"/>
  <c r="D115" i="6" s="1"/>
  <c r="B115" i="6"/>
  <c r="A115" i="6"/>
  <c r="K114" i="6"/>
  <c r="J114" i="6"/>
  <c r="I114" i="6"/>
  <c r="H114" i="6"/>
  <c r="G114" i="6"/>
  <c r="F114" i="6"/>
  <c r="E114" i="6"/>
  <c r="C114" i="6"/>
  <c r="D114" i="6" s="1"/>
  <c r="B114" i="6"/>
  <c r="A114" i="6"/>
  <c r="K113" i="6"/>
  <c r="J113" i="6"/>
  <c r="I113" i="6"/>
  <c r="H113" i="6"/>
  <c r="G113" i="6"/>
  <c r="F113" i="6"/>
  <c r="E113" i="6"/>
  <c r="C113" i="6"/>
  <c r="D113" i="6" s="1"/>
  <c r="B113" i="6"/>
  <c r="A113" i="6"/>
  <c r="K112" i="6"/>
  <c r="J112" i="6"/>
  <c r="I112" i="6"/>
  <c r="H112" i="6"/>
  <c r="G112" i="6"/>
  <c r="F112" i="6"/>
  <c r="E112" i="6"/>
  <c r="C112" i="6"/>
  <c r="D112" i="6" s="1"/>
  <c r="B112" i="6"/>
  <c r="A112" i="6"/>
  <c r="K111" i="6"/>
  <c r="J111" i="6"/>
  <c r="I111" i="6"/>
  <c r="H111" i="6"/>
  <c r="G111" i="6"/>
  <c r="F111" i="6"/>
  <c r="E111" i="6"/>
  <c r="C111" i="6"/>
  <c r="D111" i="6" s="1"/>
  <c r="B111" i="6"/>
  <c r="A111" i="6"/>
  <c r="K110" i="6"/>
  <c r="J110" i="6"/>
  <c r="I110" i="6"/>
  <c r="H110" i="6"/>
  <c r="G110" i="6"/>
  <c r="F110" i="6"/>
  <c r="E110" i="6"/>
  <c r="C110" i="6"/>
  <c r="D110" i="6" s="1"/>
  <c r="B110" i="6"/>
  <c r="A110" i="6"/>
  <c r="K109" i="6"/>
  <c r="J109" i="6"/>
  <c r="I109" i="6"/>
  <c r="H109" i="6"/>
  <c r="G109" i="6"/>
  <c r="F109" i="6"/>
  <c r="E109" i="6"/>
  <c r="C109" i="6"/>
  <c r="D109" i="6" s="1"/>
  <c r="B109" i="6"/>
  <c r="A109" i="6"/>
  <c r="K108" i="6"/>
  <c r="J108" i="6"/>
  <c r="I108" i="6"/>
  <c r="H108" i="6"/>
  <c r="G108" i="6"/>
  <c r="F108" i="6"/>
  <c r="E108" i="6"/>
  <c r="C108" i="6"/>
  <c r="D108" i="6" s="1"/>
  <c r="B108" i="6"/>
  <c r="A108" i="6"/>
  <c r="K107" i="6"/>
  <c r="J107" i="6"/>
  <c r="I107" i="6"/>
  <c r="H107" i="6"/>
  <c r="G107" i="6"/>
  <c r="F107" i="6"/>
  <c r="E107" i="6"/>
  <c r="C107" i="6"/>
  <c r="D107" i="6" s="1"/>
  <c r="B107" i="6"/>
  <c r="A107" i="6"/>
  <c r="K106" i="6"/>
  <c r="J106" i="6"/>
  <c r="I106" i="6"/>
  <c r="H106" i="6"/>
  <c r="G106" i="6"/>
  <c r="F106" i="6"/>
  <c r="E106" i="6"/>
  <c r="C106" i="6"/>
  <c r="D106" i="6" s="1"/>
  <c r="B106" i="6"/>
  <c r="A106" i="6"/>
  <c r="K105" i="6"/>
  <c r="J105" i="6"/>
  <c r="I105" i="6"/>
  <c r="H105" i="6"/>
  <c r="G105" i="6"/>
  <c r="F105" i="6"/>
  <c r="E105" i="6"/>
  <c r="C105" i="6"/>
  <c r="D105" i="6" s="1"/>
  <c r="B105" i="6"/>
  <c r="A105" i="6"/>
  <c r="K104" i="6"/>
  <c r="J104" i="6"/>
  <c r="I104" i="6"/>
  <c r="H104" i="6"/>
  <c r="G104" i="6"/>
  <c r="F104" i="6"/>
  <c r="E104" i="6"/>
  <c r="C104" i="6"/>
  <c r="D104" i="6" s="1"/>
  <c r="B104" i="6"/>
  <c r="A104" i="6"/>
  <c r="K103" i="6"/>
  <c r="J103" i="6"/>
  <c r="I103" i="6"/>
  <c r="H103" i="6"/>
  <c r="G103" i="6"/>
  <c r="F103" i="6"/>
  <c r="E103" i="6"/>
  <c r="C103" i="6"/>
  <c r="D103" i="6" s="1"/>
  <c r="B103" i="6"/>
  <c r="A103" i="6"/>
  <c r="K102" i="6"/>
  <c r="J102" i="6"/>
  <c r="I102" i="6"/>
  <c r="H102" i="6"/>
  <c r="G102" i="6"/>
  <c r="F102" i="6"/>
  <c r="E102" i="6"/>
  <c r="C102" i="6"/>
  <c r="D102" i="6" s="1"/>
  <c r="B102" i="6"/>
  <c r="A102" i="6"/>
  <c r="K101" i="6"/>
  <c r="J101" i="6"/>
  <c r="I101" i="6"/>
  <c r="H101" i="6"/>
  <c r="G101" i="6"/>
  <c r="F101" i="6"/>
  <c r="E101" i="6"/>
  <c r="C101" i="6"/>
  <c r="D101" i="6" s="1"/>
  <c r="B101" i="6"/>
  <c r="A101" i="6"/>
  <c r="K100" i="6"/>
  <c r="J100" i="6"/>
  <c r="I100" i="6"/>
  <c r="H100" i="6"/>
  <c r="G100" i="6"/>
  <c r="F100" i="6"/>
  <c r="E100" i="6"/>
  <c r="C100" i="6"/>
  <c r="D100" i="6" s="1"/>
  <c r="B100" i="6"/>
  <c r="A100" i="6"/>
  <c r="K99" i="6"/>
  <c r="J99" i="6"/>
  <c r="I99" i="6"/>
  <c r="H99" i="6"/>
  <c r="G99" i="6"/>
  <c r="F99" i="6"/>
  <c r="E99" i="6"/>
  <c r="C99" i="6"/>
  <c r="D99" i="6" s="1"/>
  <c r="B99" i="6"/>
  <c r="A99" i="6"/>
  <c r="K98" i="6"/>
  <c r="J98" i="6"/>
  <c r="I98" i="6"/>
  <c r="H98" i="6"/>
  <c r="G98" i="6"/>
  <c r="F98" i="6"/>
  <c r="E98" i="6"/>
  <c r="C98" i="6"/>
  <c r="D98" i="6" s="1"/>
  <c r="B98" i="6"/>
  <c r="A98" i="6"/>
  <c r="K97" i="6"/>
  <c r="J97" i="6"/>
  <c r="I97" i="6"/>
  <c r="H97" i="6"/>
  <c r="G97" i="6"/>
  <c r="F97" i="6"/>
  <c r="E97" i="6"/>
  <c r="C97" i="6"/>
  <c r="D97" i="6" s="1"/>
  <c r="B97" i="6"/>
  <c r="A97" i="6"/>
  <c r="K96" i="6"/>
  <c r="J96" i="6"/>
  <c r="I96" i="6"/>
  <c r="H96" i="6"/>
  <c r="G96" i="6"/>
  <c r="F96" i="6"/>
  <c r="E96" i="6"/>
  <c r="C96" i="6"/>
  <c r="D96" i="6" s="1"/>
  <c r="B96" i="6"/>
  <c r="A96" i="6"/>
  <c r="K95" i="6"/>
  <c r="J95" i="6"/>
  <c r="I95" i="6"/>
  <c r="H95" i="6"/>
  <c r="G95" i="6"/>
  <c r="F95" i="6"/>
  <c r="E95" i="6"/>
  <c r="C95" i="6"/>
  <c r="D95" i="6" s="1"/>
  <c r="B95" i="6"/>
  <c r="A95" i="6"/>
  <c r="K94" i="6"/>
  <c r="J94" i="6"/>
  <c r="I94" i="6"/>
  <c r="H94" i="6"/>
  <c r="G94" i="6"/>
  <c r="F94" i="6"/>
  <c r="E94" i="6"/>
  <c r="C94" i="6"/>
  <c r="D94" i="6" s="1"/>
  <c r="B94" i="6"/>
  <c r="A94" i="6"/>
  <c r="K93" i="6"/>
  <c r="J93" i="6"/>
  <c r="I93" i="6"/>
  <c r="H93" i="6"/>
  <c r="G93" i="6"/>
  <c r="F93" i="6"/>
  <c r="E93" i="6"/>
  <c r="C93" i="6"/>
  <c r="D93" i="6" s="1"/>
  <c r="B93" i="6"/>
  <c r="A93" i="6"/>
  <c r="K92" i="6"/>
  <c r="J92" i="6"/>
  <c r="I92" i="6"/>
  <c r="H92" i="6"/>
  <c r="G92" i="6"/>
  <c r="F92" i="6"/>
  <c r="E92" i="6"/>
  <c r="C92" i="6"/>
  <c r="D92" i="6" s="1"/>
  <c r="B92" i="6"/>
  <c r="A92" i="6"/>
  <c r="K91" i="6"/>
  <c r="J91" i="6"/>
  <c r="I91" i="6"/>
  <c r="H91" i="6"/>
  <c r="G91" i="6"/>
  <c r="F91" i="6"/>
  <c r="E91" i="6"/>
  <c r="C91" i="6"/>
  <c r="D91" i="6" s="1"/>
  <c r="B91" i="6"/>
  <c r="A91" i="6"/>
  <c r="K90" i="6"/>
  <c r="J90" i="6"/>
  <c r="I90" i="6"/>
  <c r="H90" i="6"/>
  <c r="G90" i="6"/>
  <c r="F90" i="6"/>
  <c r="E90" i="6"/>
  <c r="C90" i="6"/>
  <c r="D90" i="6" s="1"/>
  <c r="B90" i="6"/>
  <c r="A90" i="6"/>
  <c r="K89" i="6"/>
  <c r="J89" i="6"/>
  <c r="I89" i="6"/>
  <c r="H89" i="6"/>
  <c r="G89" i="6"/>
  <c r="F89" i="6"/>
  <c r="E89" i="6"/>
  <c r="C89" i="6"/>
  <c r="D89" i="6" s="1"/>
  <c r="B89" i="6"/>
  <c r="A89" i="6"/>
  <c r="K88" i="6"/>
  <c r="J88" i="6"/>
  <c r="I88" i="6"/>
  <c r="H88" i="6"/>
  <c r="G88" i="6"/>
  <c r="F88" i="6"/>
  <c r="E88" i="6"/>
  <c r="C88" i="6"/>
  <c r="D88" i="6" s="1"/>
  <c r="B88" i="6"/>
  <c r="A88" i="6"/>
  <c r="K87" i="6"/>
  <c r="J87" i="6"/>
  <c r="I87" i="6"/>
  <c r="H87" i="6"/>
  <c r="G87" i="6"/>
  <c r="F87" i="6"/>
  <c r="E87" i="6"/>
  <c r="C87" i="6"/>
  <c r="D87" i="6" s="1"/>
  <c r="B87" i="6"/>
  <c r="A87" i="6"/>
  <c r="K86" i="6"/>
  <c r="J86" i="6"/>
  <c r="I86" i="6"/>
  <c r="H86" i="6"/>
  <c r="G86" i="6"/>
  <c r="F86" i="6"/>
  <c r="E86" i="6"/>
  <c r="C86" i="6"/>
  <c r="D86" i="6" s="1"/>
  <c r="B86" i="6"/>
  <c r="A86" i="6"/>
  <c r="K85" i="6"/>
  <c r="J85" i="6"/>
  <c r="I85" i="6"/>
  <c r="H85" i="6"/>
  <c r="G85" i="6"/>
  <c r="F85" i="6"/>
  <c r="E85" i="6"/>
  <c r="C85" i="6"/>
  <c r="D85" i="6" s="1"/>
  <c r="B85" i="6"/>
  <c r="A85" i="6"/>
  <c r="K84" i="6"/>
  <c r="J84" i="6"/>
  <c r="I84" i="6"/>
  <c r="H84" i="6"/>
  <c r="G84" i="6"/>
  <c r="F84" i="6"/>
  <c r="E84" i="6"/>
  <c r="C84" i="6"/>
  <c r="D84" i="6" s="1"/>
  <c r="B84" i="6"/>
  <c r="A84" i="6"/>
  <c r="K83" i="6"/>
  <c r="J83" i="6"/>
  <c r="I83" i="6"/>
  <c r="H83" i="6"/>
  <c r="G83" i="6"/>
  <c r="F83" i="6"/>
  <c r="E83" i="6"/>
  <c r="C83" i="6"/>
  <c r="D83" i="6" s="1"/>
  <c r="B83" i="6"/>
  <c r="A83" i="6"/>
  <c r="K82" i="6"/>
  <c r="J82" i="6"/>
  <c r="I82" i="6"/>
  <c r="H82" i="6"/>
  <c r="G82" i="6"/>
  <c r="F82" i="6"/>
  <c r="E82" i="6"/>
  <c r="C82" i="6"/>
  <c r="D82" i="6" s="1"/>
  <c r="B82" i="6"/>
  <c r="A82" i="6"/>
  <c r="K81" i="6"/>
  <c r="J81" i="6"/>
  <c r="I81" i="6"/>
  <c r="H81" i="6"/>
  <c r="G81" i="6"/>
  <c r="F81" i="6"/>
  <c r="E81" i="6"/>
  <c r="C81" i="6"/>
  <c r="D81" i="6" s="1"/>
  <c r="B81" i="6"/>
  <c r="A81" i="6"/>
  <c r="K80" i="6"/>
  <c r="J80" i="6"/>
  <c r="I80" i="6"/>
  <c r="H80" i="6"/>
  <c r="G80" i="6"/>
  <c r="F80" i="6"/>
  <c r="E80" i="6"/>
  <c r="C80" i="6"/>
  <c r="D80" i="6" s="1"/>
  <c r="B80" i="6"/>
  <c r="A80" i="6"/>
  <c r="K79" i="6"/>
  <c r="J79" i="6"/>
  <c r="I79" i="6"/>
  <c r="H79" i="6"/>
  <c r="G79" i="6"/>
  <c r="F79" i="6"/>
  <c r="E79" i="6"/>
  <c r="C79" i="6"/>
  <c r="D79" i="6" s="1"/>
  <c r="B79" i="6"/>
  <c r="A79" i="6"/>
  <c r="K78" i="6"/>
  <c r="J78" i="6"/>
  <c r="I78" i="6"/>
  <c r="H78" i="6"/>
  <c r="G78" i="6"/>
  <c r="F78" i="6"/>
  <c r="E78" i="6"/>
  <c r="C78" i="6"/>
  <c r="D78" i="6" s="1"/>
  <c r="B78" i="6"/>
  <c r="A78" i="6"/>
  <c r="K77" i="6"/>
  <c r="J77" i="6"/>
  <c r="I77" i="6"/>
  <c r="H77" i="6"/>
  <c r="G77" i="6"/>
  <c r="F77" i="6"/>
  <c r="E77" i="6"/>
  <c r="C77" i="6"/>
  <c r="D77" i="6" s="1"/>
  <c r="B77" i="6"/>
  <c r="A77" i="6"/>
  <c r="K76" i="6"/>
  <c r="J76" i="6"/>
  <c r="I76" i="6"/>
  <c r="H76" i="6"/>
  <c r="G76" i="6"/>
  <c r="F76" i="6"/>
  <c r="E76" i="6"/>
  <c r="C76" i="6"/>
  <c r="D76" i="6" s="1"/>
  <c r="B76" i="6"/>
  <c r="A76" i="6"/>
  <c r="K75" i="6"/>
  <c r="J75" i="6"/>
  <c r="I75" i="6"/>
  <c r="H75" i="6"/>
  <c r="G75" i="6"/>
  <c r="F75" i="6"/>
  <c r="E75" i="6"/>
  <c r="C75" i="6"/>
  <c r="D75" i="6" s="1"/>
  <c r="B75" i="6"/>
  <c r="A75" i="6"/>
  <c r="K74" i="6"/>
  <c r="J74" i="6"/>
  <c r="I74" i="6"/>
  <c r="H74" i="6"/>
  <c r="G74" i="6"/>
  <c r="F74" i="6"/>
  <c r="E74" i="6"/>
  <c r="C74" i="6"/>
  <c r="D74" i="6" s="1"/>
  <c r="B74" i="6"/>
  <c r="A74" i="6"/>
  <c r="K73" i="6"/>
  <c r="J73" i="6"/>
  <c r="I73" i="6"/>
  <c r="H73" i="6"/>
  <c r="G73" i="6"/>
  <c r="F73" i="6"/>
  <c r="E73" i="6"/>
  <c r="C73" i="6"/>
  <c r="D73" i="6" s="1"/>
  <c r="B73" i="6"/>
  <c r="A73" i="6"/>
  <c r="K72" i="6"/>
  <c r="J72" i="6"/>
  <c r="I72" i="6"/>
  <c r="H72" i="6"/>
  <c r="G72" i="6"/>
  <c r="F72" i="6"/>
  <c r="E72" i="6"/>
  <c r="C72" i="6"/>
  <c r="D72" i="6" s="1"/>
  <c r="B72" i="6"/>
  <c r="A72" i="6"/>
  <c r="K71" i="6"/>
  <c r="J71" i="6"/>
  <c r="I71" i="6"/>
  <c r="H71" i="6"/>
  <c r="G71" i="6"/>
  <c r="F71" i="6"/>
  <c r="E71" i="6"/>
  <c r="C71" i="6"/>
  <c r="D71" i="6" s="1"/>
  <c r="B71" i="6"/>
  <c r="A71" i="6"/>
  <c r="K70" i="6"/>
  <c r="J70" i="6"/>
  <c r="I70" i="6"/>
  <c r="H70" i="6"/>
  <c r="G70" i="6"/>
  <c r="F70" i="6"/>
  <c r="E70" i="6"/>
  <c r="C70" i="6"/>
  <c r="D70" i="6" s="1"/>
  <c r="B70" i="6"/>
  <c r="A70" i="6"/>
  <c r="K69" i="6"/>
  <c r="J69" i="6"/>
  <c r="I69" i="6"/>
  <c r="H69" i="6"/>
  <c r="G69" i="6"/>
  <c r="F69" i="6"/>
  <c r="E69" i="6"/>
  <c r="C69" i="6"/>
  <c r="D69" i="6" s="1"/>
  <c r="B69" i="6"/>
  <c r="A69" i="6"/>
  <c r="K68" i="6"/>
  <c r="J68" i="6"/>
  <c r="I68" i="6"/>
  <c r="H68" i="6"/>
  <c r="G68" i="6"/>
  <c r="F68" i="6"/>
  <c r="E68" i="6"/>
  <c r="C68" i="6"/>
  <c r="D68" i="6" s="1"/>
  <c r="B68" i="6"/>
  <c r="A68" i="6"/>
  <c r="K67" i="6"/>
  <c r="J67" i="6"/>
  <c r="I67" i="6"/>
  <c r="H67" i="6"/>
  <c r="G67" i="6"/>
  <c r="F67" i="6"/>
  <c r="E67" i="6"/>
  <c r="C67" i="6"/>
  <c r="D67" i="6" s="1"/>
  <c r="B67" i="6"/>
  <c r="A67" i="6"/>
  <c r="K66" i="6"/>
  <c r="J66" i="6"/>
  <c r="I66" i="6"/>
  <c r="H66" i="6"/>
  <c r="G66" i="6"/>
  <c r="F66" i="6"/>
  <c r="E66" i="6"/>
  <c r="C66" i="6"/>
  <c r="D66" i="6" s="1"/>
  <c r="B66" i="6"/>
  <c r="A66" i="6"/>
  <c r="K65" i="6"/>
  <c r="J65" i="6"/>
  <c r="I65" i="6"/>
  <c r="H65" i="6"/>
  <c r="G65" i="6"/>
  <c r="F65" i="6"/>
  <c r="E65" i="6"/>
  <c r="C65" i="6"/>
  <c r="D65" i="6" s="1"/>
  <c r="B65" i="6"/>
  <c r="A65" i="6"/>
  <c r="K64" i="6"/>
  <c r="J64" i="6"/>
  <c r="I64" i="6"/>
  <c r="H64" i="6"/>
  <c r="G64" i="6"/>
  <c r="F64" i="6"/>
  <c r="E64" i="6"/>
  <c r="C64" i="6"/>
  <c r="D64" i="6" s="1"/>
  <c r="B64" i="6"/>
  <c r="A64" i="6"/>
  <c r="K63" i="6"/>
  <c r="J63" i="6"/>
  <c r="I63" i="6"/>
  <c r="H63" i="6"/>
  <c r="G63" i="6"/>
  <c r="F63" i="6"/>
  <c r="E63" i="6"/>
  <c r="C63" i="6"/>
  <c r="D63" i="6" s="1"/>
  <c r="B63" i="6"/>
  <c r="A63" i="6"/>
  <c r="K62" i="6"/>
  <c r="J62" i="6"/>
  <c r="I62" i="6"/>
  <c r="H62" i="6"/>
  <c r="G62" i="6"/>
  <c r="F62" i="6"/>
  <c r="E62" i="6"/>
  <c r="C62" i="6"/>
  <c r="D62" i="6" s="1"/>
  <c r="B62" i="6"/>
  <c r="A62" i="6"/>
  <c r="K61" i="6"/>
  <c r="J61" i="6"/>
  <c r="I61" i="6"/>
  <c r="H61" i="6"/>
  <c r="G61" i="6"/>
  <c r="F61" i="6"/>
  <c r="E61" i="6"/>
  <c r="C61" i="6"/>
  <c r="D61" i="6" s="1"/>
  <c r="B61" i="6"/>
  <c r="A61" i="6"/>
  <c r="K60" i="6"/>
  <c r="J60" i="6"/>
  <c r="I60" i="6"/>
  <c r="H60" i="6"/>
  <c r="G60" i="6"/>
  <c r="F60" i="6"/>
  <c r="E60" i="6"/>
  <c r="C60" i="6"/>
  <c r="D60" i="6" s="1"/>
  <c r="B60" i="6"/>
  <c r="A60" i="6"/>
  <c r="K59" i="6"/>
  <c r="J59" i="6"/>
  <c r="I59" i="6"/>
  <c r="H59" i="6"/>
  <c r="G59" i="6"/>
  <c r="F59" i="6"/>
  <c r="E59" i="6"/>
  <c r="C59" i="6"/>
  <c r="D59" i="6" s="1"/>
  <c r="B59" i="6"/>
  <c r="A59" i="6"/>
  <c r="K58" i="6"/>
  <c r="J58" i="6"/>
  <c r="I58" i="6"/>
  <c r="H58" i="6"/>
  <c r="G58" i="6"/>
  <c r="F58" i="6"/>
  <c r="E58" i="6"/>
  <c r="C58" i="6"/>
  <c r="D58" i="6" s="1"/>
  <c r="B58" i="6"/>
  <c r="A58" i="6"/>
  <c r="K57" i="6"/>
  <c r="J57" i="6"/>
  <c r="I57" i="6"/>
  <c r="H57" i="6"/>
  <c r="G57" i="6"/>
  <c r="F57" i="6"/>
  <c r="E57" i="6"/>
  <c r="C57" i="6"/>
  <c r="D57" i="6" s="1"/>
  <c r="B57" i="6"/>
  <c r="A57" i="6"/>
  <c r="K56" i="6"/>
  <c r="J56" i="6"/>
  <c r="I56" i="6"/>
  <c r="H56" i="6"/>
  <c r="G56" i="6"/>
  <c r="F56" i="6"/>
  <c r="E56" i="6"/>
  <c r="C56" i="6"/>
  <c r="D56" i="6" s="1"/>
  <c r="B56" i="6"/>
  <c r="A56" i="6"/>
  <c r="K55" i="6"/>
  <c r="J55" i="6"/>
  <c r="I55" i="6"/>
  <c r="H55" i="6"/>
  <c r="G55" i="6"/>
  <c r="F55" i="6"/>
  <c r="E55" i="6"/>
  <c r="C55" i="6"/>
  <c r="D55" i="6" s="1"/>
  <c r="B55" i="6"/>
  <c r="A55" i="6"/>
  <c r="K54" i="6"/>
  <c r="J54" i="6"/>
  <c r="I54" i="6"/>
  <c r="H54" i="6"/>
  <c r="G54" i="6"/>
  <c r="F54" i="6"/>
  <c r="E54" i="6"/>
  <c r="C54" i="6"/>
  <c r="D54" i="6" s="1"/>
  <c r="B54" i="6"/>
  <c r="A54" i="6"/>
  <c r="K53" i="6"/>
  <c r="J53" i="6"/>
  <c r="I53" i="6"/>
  <c r="H53" i="6"/>
  <c r="G53" i="6"/>
  <c r="F53" i="6"/>
  <c r="E53" i="6"/>
  <c r="C53" i="6"/>
  <c r="D53" i="6" s="1"/>
  <c r="B53" i="6"/>
  <c r="A53" i="6"/>
  <c r="K52" i="6"/>
  <c r="J52" i="6"/>
  <c r="I52" i="6"/>
  <c r="H52" i="6"/>
  <c r="G52" i="6"/>
  <c r="F52" i="6"/>
  <c r="E52" i="6"/>
  <c r="C52" i="6"/>
  <c r="D52" i="6" s="1"/>
  <c r="B52" i="6"/>
  <c r="A52" i="6"/>
  <c r="K51" i="6"/>
  <c r="J51" i="6"/>
  <c r="I51" i="6"/>
  <c r="H51" i="6"/>
  <c r="G51" i="6"/>
  <c r="F51" i="6"/>
  <c r="E51" i="6"/>
  <c r="C51" i="6"/>
  <c r="D51" i="6" s="1"/>
  <c r="B51" i="6"/>
  <c r="A51" i="6"/>
  <c r="K50" i="6"/>
  <c r="J50" i="6"/>
  <c r="I50" i="6"/>
  <c r="H50" i="6"/>
  <c r="G50" i="6"/>
  <c r="F50" i="6"/>
  <c r="E50" i="6"/>
  <c r="C50" i="6"/>
  <c r="D50" i="6" s="1"/>
  <c r="B50" i="6"/>
  <c r="A50" i="6"/>
  <c r="K49" i="6"/>
  <c r="J49" i="6"/>
  <c r="I49" i="6"/>
  <c r="H49" i="6"/>
  <c r="G49" i="6"/>
  <c r="F49" i="6"/>
  <c r="E49" i="6"/>
  <c r="C49" i="6"/>
  <c r="D49" i="6" s="1"/>
  <c r="B49" i="6"/>
  <c r="A49" i="6"/>
  <c r="K48" i="6"/>
  <c r="J48" i="6"/>
  <c r="I48" i="6"/>
  <c r="H48" i="6"/>
  <c r="G48" i="6"/>
  <c r="F48" i="6"/>
  <c r="E48" i="6"/>
  <c r="C48" i="6"/>
  <c r="D48" i="6" s="1"/>
  <c r="B48" i="6"/>
  <c r="A48" i="6"/>
  <c r="K47" i="6"/>
  <c r="J47" i="6"/>
  <c r="I47" i="6"/>
  <c r="H47" i="6"/>
  <c r="G47" i="6"/>
  <c r="F47" i="6"/>
  <c r="E47" i="6"/>
  <c r="C47" i="6"/>
  <c r="D47" i="6" s="1"/>
  <c r="B47" i="6"/>
  <c r="A47" i="6"/>
  <c r="K46" i="6"/>
  <c r="J46" i="6"/>
  <c r="I46" i="6"/>
  <c r="H46" i="6"/>
  <c r="G46" i="6"/>
  <c r="F46" i="6"/>
  <c r="E46" i="6"/>
  <c r="C46" i="6"/>
  <c r="D46" i="6" s="1"/>
  <c r="B46" i="6"/>
  <c r="A46" i="6"/>
  <c r="K45" i="6"/>
  <c r="J45" i="6"/>
  <c r="I45" i="6"/>
  <c r="H45" i="6"/>
  <c r="G45" i="6"/>
  <c r="F45" i="6"/>
  <c r="E45" i="6"/>
  <c r="C45" i="6"/>
  <c r="D45" i="6" s="1"/>
  <c r="B45" i="6"/>
  <c r="A45" i="6"/>
  <c r="K44" i="6"/>
  <c r="J44" i="6"/>
  <c r="I44" i="6"/>
  <c r="H44" i="6"/>
  <c r="G44" i="6"/>
  <c r="F44" i="6"/>
  <c r="E44" i="6"/>
  <c r="C44" i="6"/>
  <c r="D44" i="6" s="1"/>
  <c r="B44" i="6"/>
  <c r="A44" i="6"/>
  <c r="K43" i="6"/>
  <c r="J43" i="6"/>
  <c r="I43" i="6"/>
  <c r="H43" i="6"/>
  <c r="G43" i="6"/>
  <c r="F43" i="6"/>
  <c r="E43" i="6"/>
  <c r="C43" i="6"/>
  <c r="D43" i="6" s="1"/>
  <c r="B43" i="6"/>
  <c r="A43" i="6"/>
  <c r="K42" i="6"/>
  <c r="J42" i="6"/>
  <c r="I42" i="6"/>
  <c r="H42" i="6"/>
  <c r="G42" i="6"/>
  <c r="F42" i="6"/>
  <c r="E42" i="6"/>
  <c r="C42" i="6"/>
  <c r="D42" i="6" s="1"/>
  <c r="B42" i="6"/>
  <c r="A42" i="6"/>
  <c r="K41" i="6"/>
  <c r="J41" i="6"/>
  <c r="I41" i="6"/>
  <c r="H41" i="6"/>
  <c r="G41" i="6"/>
  <c r="F41" i="6"/>
  <c r="E41" i="6"/>
  <c r="C41" i="6"/>
  <c r="D41" i="6" s="1"/>
  <c r="B41" i="6"/>
  <c r="A41" i="6"/>
  <c r="K40" i="6"/>
  <c r="J40" i="6"/>
  <c r="I40" i="6"/>
  <c r="H40" i="6"/>
  <c r="G40" i="6"/>
  <c r="F40" i="6"/>
  <c r="E40" i="6"/>
  <c r="C40" i="6"/>
  <c r="D40" i="6" s="1"/>
  <c r="B40" i="6"/>
  <c r="A40" i="6"/>
  <c r="K39" i="6"/>
  <c r="J39" i="6"/>
  <c r="I39" i="6"/>
  <c r="H39" i="6"/>
  <c r="G39" i="6"/>
  <c r="F39" i="6"/>
  <c r="E39" i="6"/>
  <c r="C39" i="6"/>
  <c r="D39" i="6" s="1"/>
  <c r="B39" i="6"/>
  <c r="A39" i="6"/>
  <c r="K38" i="6"/>
  <c r="J38" i="6"/>
  <c r="I38" i="6"/>
  <c r="H38" i="6"/>
  <c r="G38" i="6"/>
  <c r="F38" i="6"/>
  <c r="E38" i="6"/>
  <c r="C38" i="6"/>
  <c r="D38" i="6" s="1"/>
  <c r="B38" i="6"/>
  <c r="A38" i="6"/>
  <c r="K37" i="6"/>
  <c r="J37" i="6"/>
  <c r="I37" i="6"/>
  <c r="H37" i="6"/>
  <c r="G37" i="6"/>
  <c r="F37" i="6"/>
  <c r="E37" i="6"/>
  <c r="C37" i="6"/>
  <c r="D37" i="6" s="1"/>
  <c r="B37" i="6"/>
  <c r="A37" i="6"/>
  <c r="K36" i="6"/>
  <c r="J36" i="6"/>
  <c r="I36" i="6"/>
  <c r="H36" i="6"/>
  <c r="G36" i="6"/>
  <c r="F36" i="6"/>
  <c r="E36" i="6"/>
  <c r="C36" i="6"/>
  <c r="D36" i="6" s="1"/>
  <c r="B36" i="6"/>
  <c r="A36" i="6"/>
  <c r="K35" i="6"/>
  <c r="J35" i="6"/>
  <c r="I35" i="6"/>
  <c r="H35" i="6"/>
  <c r="G35" i="6"/>
  <c r="F35" i="6"/>
  <c r="E35" i="6"/>
  <c r="C35" i="6"/>
  <c r="D35" i="6" s="1"/>
  <c r="B35" i="6"/>
  <c r="A35" i="6"/>
  <c r="K34" i="6"/>
  <c r="J34" i="6"/>
  <c r="I34" i="6"/>
  <c r="H34" i="6"/>
  <c r="G34" i="6"/>
  <c r="F34" i="6"/>
  <c r="E34" i="6"/>
  <c r="C34" i="6"/>
  <c r="D34" i="6" s="1"/>
  <c r="B34" i="6"/>
  <c r="A34" i="6"/>
  <c r="K33" i="6"/>
  <c r="J33" i="6"/>
  <c r="I33" i="6"/>
  <c r="H33" i="6"/>
  <c r="G33" i="6"/>
  <c r="F33" i="6"/>
  <c r="E33" i="6"/>
  <c r="C33" i="6"/>
  <c r="D33" i="6" s="1"/>
  <c r="B33" i="6"/>
  <c r="A33" i="6"/>
  <c r="K32" i="6"/>
  <c r="J32" i="6"/>
  <c r="I32" i="6"/>
  <c r="H32" i="6"/>
  <c r="G32" i="6"/>
  <c r="F32" i="6"/>
  <c r="E32" i="6"/>
  <c r="C32" i="6"/>
  <c r="D32" i="6" s="1"/>
  <c r="B32" i="6"/>
  <c r="A32" i="6"/>
  <c r="K31" i="6"/>
  <c r="J31" i="6"/>
  <c r="I31" i="6"/>
  <c r="H31" i="6"/>
  <c r="G31" i="6"/>
  <c r="F31" i="6"/>
  <c r="E31" i="6"/>
  <c r="C31" i="6"/>
  <c r="D31" i="6" s="1"/>
  <c r="B31" i="6"/>
  <c r="A31" i="6"/>
  <c r="K30" i="6"/>
  <c r="J30" i="6"/>
  <c r="I30" i="6"/>
  <c r="H30" i="6"/>
  <c r="G30" i="6"/>
  <c r="F30" i="6"/>
  <c r="E30" i="6"/>
  <c r="C30" i="6"/>
  <c r="D30" i="6" s="1"/>
  <c r="B30" i="6"/>
  <c r="A30" i="6"/>
  <c r="K29" i="6"/>
  <c r="J29" i="6"/>
  <c r="I29" i="6"/>
  <c r="H29" i="6"/>
  <c r="G29" i="6"/>
  <c r="F29" i="6"/>
  <c r="E29" i="6"/>
  <c r="C29" i="6"/>
  <c r="D29" i="6" s="1"/>
  <c r="B29" i="6"/>
  <c r="A29" i="6"/>
  <c r="K28" i="6"/>
  <c r="J28" i="6"/>
  <c r="I28" i="6"/>
  <c r="H28" i="6"/>
  <c r="G28" i="6"/>
  <c r="F28" i="6"/>
  <c r="E28" i="6"/>
  <c r="C28" i="6"/>
  <c r="D28" i="6" s="1"/>
  <c r="B28" i="6"/>
  <c r="A28" i="6"/>
  <c r="K27" i="6"/>
  <c r="J27" i="6"/>
  <c r="I27" i="6"/>
  <c r="H27" i="6"/>
  <c r="G27" i="6"/>
  <c r="F27" i="6"/>
  <c r="E27" i="6"/>
  <c r="C27" i="6"/>
  <c r="D27" i="6" s="1"/>
  <c r="B27" i="6"/>
  <c r="A27" i="6"/>
  <c r="K26" i="6"/>
  <c r="J26" i="6"/>
  <c r="I26" i="6"/>
  <c r="H26" i="6"/>
  <c r="G26" i="6"/>
  <c r="F26" i="6"/>
  <c r="E26" i="6"/>
  <c r="C26" i="6"/>
  <c r="D26" i="6" s="1"/>
  <c r="B26" i="6"/>
  <c r="A26" i="6"/>
  <c r="K25" i="6"/>
  <c r="J25" i="6"/>
  <c r="I25" i="6"/>
  <c r="H25" i="6"/>
  <c r="G25" i="6"/>
  <c r="F25" i="6"/>
  <c r="E25" i="6"/>
  <c r="D25" i="6"/>
  <c r="C25" i="6"/>
  <c r="B25" i="6"/>
  <c r="A25" i="6"/>
  <c r="K24" i="6"/>
  <c r="J24" i="6"/>
  <c r="I24" i="6"/>
  <c r="H24" i="6"/>
  <c r="G24" i="6"/>
  <c r="F24" i="6"/>
  <c r="E24" i="6"/>
  <c r="C24" i="6"/>
  <c r="D24" i="6" s="1"/>
  <c r="B24" i="6"/>
  <c r="A24" i="6"/>
  <c r="K23" i="6"/>
  <c r="J23" i="6"/>
  <c r="I23" i="6"/>
  <c r="H23" i="6"/>
  <c r="G23" i="6"/>
  <c r="F23" i="6"/>
  <c r="E23" i="6"/>
  <c r="C23" i="6"/>
  <c r="D23" i="6" s="1"/>
  <c r="B23" i="6"/>
  <c r="A23" i="6"/>
  <c r="K22" i="6"/>
  <c r="J22" i="6"/>
  <c r="I22" i="6"/>
  <c r="H22" i="6"/>
  <c r="G22" i="6"/>
  <c r="F22" i="6"/>
  <c r="E22" i="6"/>
  <c r="C22" i="6"/>
  <c r="D22" i="6" s="1"/>
  <c r="B22" i="6"/>
  <c r="A22" i="6"/>
  <c r="K21" i="6"/>
  <c r="J21" i="6"/>
  <c r="I21" i="6"/>
  <c r="H21" i="6"/>
  <c r="G21" i="6"/>
  <c r="F21" i="6"/>
  <c r="E21" i="6"/>
  <c r="C21" i="6"/>
  <c r="D21" i="6" s="1"/>
  <c r="B21" i="6"/>
  <c r="A21" i="6"/>
  <c r="K20" i="6"/>
  <c r="J20" i="6"/>
  <c r="I20" i="6"/>
  <c r="H20" i="6"/>
  <c r="G20" i="6"/>
  <c r="F20" i="6"/>
  <c r="E20" i="6"/>
  <c r="C20" i="6"/>
  <c r="D20" i="6" s="1"/>
  <c r="B20" i="6"/>
  <c r="A20" i="6"/>
  <c r="K19" i="6"/>
  <c r="J19" i="6"/>
  <c r="I19" i="6"/>
  <c r="H19" i="6"/>
  <c r="G19" i="6"/>
  <c r="F19" i="6"/>
  <c r="E19" i="6"/>
  <c r="C19" i="6"/>
  <c r="D19" i="6" s="1"/>
  <c r="B19" i="6"/>
  <c r="A19" i="6"/>
  <c r="K18" i="6"/>
  <c r="J18" i="6"/>
  <c r="I18" i="6"/>
  <c r="H18" i="6"/>
  <c r="G18" i="6"/>
  <c r="F18" i="6"/>
  <c r="E18" i="6"/>
  <c r="C18" i="6"/>
  <c r="D18" i="6" s="1"/>
  <c r="B18" i="6"/>
  <c r="A18" i="6"/>
  <c r="K17" i="6"/>
  <c r="J17" i="6"/>
  <c r="I17" i="6"/>
  <c r="H17" i="6"/>
  <c r="G17" i="6"/>
  <c r="F17" i="6"/>
  <c r="E17" i="6"/>
  <c r="C17" i="6"/>
  <c r="D17" i="6" s="1"/>
  <c r="B17" i="6"/>
  <c r="A17" i="6"/>
  <c r="K16" i="6"/>
  <c r="J16" i="6"/>
  <c r="I16" i="6"/>
  <c r="H16" i="6"/>
  <c r="G16" i="6"/>
  <c r="F16" i="6"/>
  <c r="E16" i="6"/>
  <c r="C16" i="6"/>
  <c r="D16" i="6" s="1"/>
  <c r="B16" i="6"/>
  <c r="A16" i="6"/>
  <c r="K15" i="6"/>
  <c r="J15" i="6"/>
  <c r="I15" i="6"/>
  <c r="H15" i="6"/>
  <c r="G15" i="6"/>
  <c r="F15" i="6"/>
  <c r="E15" i="6"/>
  <c r="C15" i="6"/>
  <c r="D15" i="6" s="1"/>
  <c r="B15" i="6"/>
  <c r="A15" i="6"/>
  <c r="K14" i="6"/>
  <c r="J14" i="6"/>
  <c r="I14" i="6"/>
  <c r="H14" i="6"/>
  <c r="G14" i="6"/>
  <c r="F14" i="6"/>
  <c r="E14" i="6"/>
  <c r="C14" i="6"/>
  <c r="D14" i="6" s="1"/>
  <c r="B14" i="6"/>
  <c r="A14" i="6"/>
  <c r="K13" i="6"/>
  <c r="J13" i="6"/>
  <c r="I13" i="6"/>
  <c r="H13" i="6"/>
  <c r="G13" i="6"/>
  <c r="F13" i="6"/>
  <c r="E13" i="6"/>
  <c r="C13" i="6"/>
  <c r="D13" i="6" s="1"/>
  <c r="B13" i="6"/>
  <c r="A13" i="6"/>
  <c r="K12" i="6"/>
  <c r="J12" i="6"/>
  <c r="I12" i="6"/>
  <c r="H12" i="6"/>
  <c r="G12" i="6"/>
  <c r="F12" i="6"/>
  <c r="E12" i="6"/>
  <c r="C12" i="6"/>
  <c r="D12" i="6" s="1"/>
  <c r="B12" i="6"/>
  <c r="A12" i="6"/>
  <c r="K11" i="6"/>
  <c r="J11" i="6"/>
  <c r="I11" i="6"/>
  <c r="H11" i="6"/>
  <c r="G11" i="6"/>
  <c r="F11" i="6"/>
  <c r="E11" i="6"/>
  <c r="C11" i="6"/>
  <c r="D11" i="6" s="1"/>
  <c r="B11" i="6"/>
  <c r="A11" i="6"/>
  <c r="K10" i="6"/>
  <c r="J10" i="6"/>
  <c r="I10" i="6"/>
  <c r="H10" i="6"/>
  <c r="G10" i="6"/>
  <c r="F10" i="6"/>
  <c r="E10" i="6"/>
  <c r="C10" i="6"/>
  <c r="D10" i="6" s="1"/>
  <c r="B10" i="6"/>
  <c r="A10" i="6"/>
  <c r="K9" i="6"/>
  <c r="J9" i="6"/>
  <c r="I9" i="6"/>
  <c r="H9" i="6"/>
  <c r="G9" i="6"/>
  <c r="F9" i="6"/>
  <c r="E9" i="6"/>
  <c r="C9" i="6"/>
  <c r="D9" i="6" s="1"/>
  <c r="B9" i="6"/>
  <c r="A9" i="6"/>
  <c r="K8" i="6"/>
  <c r="J8" i="6"/>
  <c r="I8" i="6"/>
  <c r="H8" i="6"/>
  <c r="G8" i="6"/>
  <c r="F8" i="6"/>
  <c r="E8" i="6"/>
  <c r="C8" i="6"/>
  <c r="D8" i="6" s="1"/>
  <c r="B8" i="6"/>
  <c r="A8" i="6"/>
  <c r="K7" i="6"/>
  <c r="J7" i="6"/>
  <c r="I7" i="6"/>
  <c r="H7" i="6"/>
  <c r="G7" i="6"/>
  <c r="F7" i="6"/>
  <c r="E7" i="6"/>
  <c r="C7" i="6"/>
  <c r="D7" i="6" s="1"/>
  <c r="B7" i="6"/>
  <c r="A7" i="6"/>
  <c r="K6" i="6"/>
  <c r="J6" i="6"/>
  <c r="I6" i="6"/>
  <c r="H6" i="6"/>
  <c r="G6" i="6"/>
  <c r="F6" i="6"/>
  <c r="E6" i="6"/>
  <c r="C6" i="6"/>
  <c r="D6" i="6" s="1"/>
  <c r="B6" i="6"/>
  <c r="A6" i="6"/>
  <c r="K5" i="6"/>
  <c r="J5" i="6"/>
  <c r="I5" i="6"/>
  <c r="H5" i="6"/>
  <c r="G5" i="6"/>
  <c r="F5" i="6"/>
  <c r="E5" i="6"/>
  <c r="C5" i="6"/>
  <c r="D5" i="6" s="1"/>
  <c r="B5" i="6"/>
  <c r="A5" i="6"/>
  <c r="K4" i="6"/>
  <c r="J4" i="6"/>
  <c r="I4" i="6"/>
  <c r="H4" i="6"/>
  <c r="G4" i="6"/>
  <c r="F4" i="6"/>
  <c r="E4" i="6"/>
  <c r="C4" i="6"/>
  <c r="D4" i="6" s="1"/>
  <c r="B4" i="6"/>
  <c r="A4" i="6"/>
  <c r="K3" i="6"/>
  <c r="J3" i="6"/>
  <c r="I3" i="6"/>
  <c r="H3" i="6"/>
  <c r="G3" i="6"/>
  <c r="F3" i="6"/>
  <c r="E3" i="6"/>
  <c r="C3" i="6"/>
  <c r="D3" i="6" s="1"/>
  <c r="B3" i="6"/>
  <c r="A3" i="6"/>
  <c r="K2" i="6"/>
  <c r="J2" i="6"/>
  <c r="I2" i="6"/>
  <c r="H2" i="6"/>
  <c r="G2" i="6"/>
  <c r="F2" i="6"/>
  <c r="E2" i="6"/>
  <c r="C2" i="6"/>
  <c r="D2" i="6" s="1"/>
  <c r="B2" i="6"/>
  <c r="A2" i="6"/>
  <c r="B1000" i="5"/>
  <c r="A1000" i="5"/>
  <c r="B999" i="5"/>
  <c r="A999" i="5"/>
  <c r="B998" i="5"/>
  <c r="A998" i="5"/>
  <c r="B997" i="5"/>
  <c r="A997" i="5"/>
  <c r="B996" i="5"/>
  <c r="A996" i="5"/>
  <c r="B995" i="5"/>
  <c r="A995" i="5"/>
  <c r="B994" i="5"/>
  <c r="A994" i="5"/>
  <c r="B993" i="5"/>
  <c r="A993" i="5"/>
  <c r="B992" i="5"/>
  <c r="A992" i="5"/>
  <c r="B991" i="5"/>
  <c r="A991" i="5"/>
  <c r="B990" i="5"/>
  <c r="A990" i="5"/>
  <c r="B989" i="5"/>
  <c r="A989" i="5"/>
  <c r="B988" i="5"/>
  <c r="A988" i="5"/>
  <c r="B987" i="5"/>
  <c r="A987" i="5"/>
  <c r="B986" i="5"/>
  <c r="A986" i="5"/>
  <c r="B985" i="5"/>
  <c r="A985" i="5"/>
  <c r="B984" i="5"/>
  <c r="A984" i="5"/>
  <c r="B983" i="5"/>
  <c r="A983" i="5"/>
  <c r="B982" i="5"/>
  <c r="A982" i="5"/>
  <c r="B981" i="5"/>
  <c r="A981" i="5"/>
  <c r="B980" i="5"/>
  <c r="A980" i="5"/>
  <c r="B979" i="5"/>
  <c r="A979" i="5"/>
  <c r="B978" i="5"/>
  <c r="A978" i="5"/>
  <c r="B977" i="5"/>
  <c r="A977" i="5"/>
  <c r="B976" i="5"/>
  <c r="A976" i="5"/>
  <c r="B975" i="5"/>
  <c r="A975" i="5"/>
  <c r="B974" i="5"/>
  <c r="A974" i="5"/>
  <c r="B973" i="5"/>
  <c r="A973" i="5"/>
  <c r="B972" i="5"/>
  <c r="A972" i="5"/>
  <c r="B971" i="5"/>
  <c r="A971" i="5"/>
  <c r="B970" i="5"/>
  <c r="A970" i="5"/>
  <c r="B969" i="5"/>
  <c r="A969" i="5"/>
  <c r="B968" i="5"/>
  <c r="A968" i="5"/>
  <c r="B967" i="5"/>
  <c r="A967" i="5"/>
  <c r="B966" i="5"/>
  <c r="A966" i="5"/>
  <c r="B965" i="5"/>
  <c r="A965" i="5"/>
  <c r="B964" i="5"/>
  <c r="A964" i="5"/>
  <c r="B963" i="5"/>
  <c r="A963" i="5"/>
  <c r="B962" i="5"/>
  <c r="A962" i="5"/>
  <c r="B961" i="5"/>
  <c r="A961" i="5"/>
  <c r="B960" i="5"/>
  <c r="A960" i="5"/>
  <c r="B959" i="5"/>
  <c r="A959" i="5"/>
  <c r="B958" i="5"/>
  <c r="A958" i="5"/>
  <c r="B957" i="5"/>
  <c r="A957" i="5"/>
  <c r="B956" i="5"/>
  <c r="A956" i="5"/>
  <c r="B955" i="5"/>
  <c r="A955" i="5"/>
  <c r="B954" i="5"/>
  <c r="A954" i="5"/>
  <c r="B953" i="5"/>
  <c r="A953" i="5"/>
  <c r="B952" i="5"/>
  <c r="A952" i="5"/>
  <c r="B951" i="5"/>
  <c r="A951" i="5"/>
  <c r="B950" i="5"/>
  <c r="A950" i="5"/>
  <c r="B949" i="5"/>
  <c r="A949" i="5"/>
  <c r="B948" i="5"/>
  <c r="A948" i="5"/>
  <c r="B947" i="5"/>
  <c r="A947" i="5"/>
  <c r="B946" i="5"/>
  <c r="A946" i="5"/>
  <c r="B945" i="5"/>
  <c r="A945" i="5"/>
  <c r="B944" i="5"/>
  <c r="A944" i="5"/>
  <c r="B943" i="5"/>
  <c r="A943" i="5"/>
  <c r="B942" i="5"/>
  <c r="A942" i="5"/>
  <c r="B941" i="5"/>
  <c r="A941" i="5"/>
  <c r="B940" i="5"/>
  <c r="A940" i="5"/>
  <c r="B939" i="5"/>
  <c r="A939" i="5"/>
  <c r="B938" i="5"/>
  <c r="A938" i="5"/>
  <c r="B937" i="5"/>
  <c r="A937" i="5"/>
  <c r="B936" i="5"/>
  <c r="A936" i="5"/>
  <c r="B935" i="5"/>
  <c r="A935" i="5"/>
  <c r="B934" i="5"/>
  <c r="A934" i="5"/>
  <c r="B933" i="5"/>
  <c r="A933" i="5"/>
  <c r="B932" i="5"/>
  <c r="A932" i="5"/>
  <c r="B931" i="5"/>
  <c r="A931" i="5"/>
  <c r="B930" i="5"/>
  <c r="A930" i="5"/>
  <c r="B929" i="5"/>
  <c r="A929" i="5"/>
  <c r="B928" i="5"/>
  <c r="A928" i="5"/>
  <c r="B927" i="5"/>
  <c r="A927" i="5"/>
  <c r="B926" i="5"/>
  <c r="A926" i="5"/>
  <c r="B925" i="5"/>
  <c r="A925" i="5"/>
  <c r="B924" i="5"/>
  <c r="A924" i="5"/>
  <c r="B923" i="5"/>
  <c r="A923" i="5"/>
  <c r="B922" i="5"/>
  <c r="A922" i="5"/>
  <c r="B921" i="5"/>
  <c r="A921" i="5"/>
  <c r="B920" i="5"/>
  <c r="A920" i="5"/>
  <c r="B919" i="5"/>
  <c r="A919" i="5"/>
  <c r="B918" i="5"/>
  <c r="A918" i="5"/>
  <c r="B917" i="5"/>
  <c r="A917" i="5"/>
  <c r="B916" i="5"/>
  <c r="A916" i="5"/>
  <c r="B915" i="5"/>
  <c r="A915" i="5"/>
  <c r="B914" i="5"/>
  <c r="A914" i="5"/>
  <c r="B913" i="5"/>
  <c r="A913" i="5"/>
  <c r="B912" i="5"/>
  <c r="A912" i="5"/>
  <c r="B911" i="5"/>
  <c r="A911" i="5"/>
  <c r="B910" i="5"/>
  <c r="A910" i="5"/>
  <c r="B909" i="5"/>
  <c r="A909" i="5"/>
  <c r="B908" i="5"/>
  <c r="A908" i="5"/>
  <c r="B907" i="5"/>
  <c r="A907" i="5"/>
  <c r="B906" i="5"/>
  <c r="A906" i="5"/>
  <c r="B905" i="5"/>
  <c r="A905" i="5"/>
  <c r="B904" i="5"/>
  <c r="A904" i="5"/>
  <c r="B903" i="5"/>
  <c r="A903" i="5"/>
  <c r="B902" i="5"/>
  <c r="A902" i="5"/>
  <c r="B901" i="5"/>
  <c r="A901" i="5"/>
  <c r="B900" i="5"/>
  <c r="A900" i="5"/>
  <c r="B899" i="5"/>
  <c r="A899" i="5"/>
  <c r="B898" i="5"/>
  <c r="A898" i="5"/>
  <c r="B897" i="5"/>
  <c r="A897" i="5"/>
  <c r="B896" i="5"/>
  <c r="A896" i="5"/>
  <c r="B895" i="5"/>
  <c r="A895" i="5"/>
  <c r="B894" i="5"/>
  <c r="A894" i="5"/>
  <c r="B893" i="5"/>
  <c r="A893" i="5"/>
  <c r="B892" i="5"/>
  <c r="A892" i="5"/>
  <c r="B891" i="5"/>
  <c r="A891" i="5"/>
  <c r="B890" i="5"/>
  <c r="A890" i="5"/>
  <c r="B889" i="5"/>
  <c r="A889" i="5"/>
  <c r="B888" i="5"/>
  <c r="A888" i="5"/>
  <c r="B887" i="5"/>
  <c r="A887" i="5"/>
  <c r="B886" i="5"/>
  <c r="A886" i="5"/>
  <c r="B885" i="5"/>
  <c r="A885" i="5"/>
  <c r="B884" i="5"/>
  <c r="A884" i="5"/>
  <c r="B883" i="5"/>
  <c r="A883" i="5"/>
  <c r="B882" i="5"/>
  <c r="A882" i="5"/>
  <c r="B881" i="5"/>
  <c r="A881" i="5"/>
  <c r="B880" i="5"/>
  <c r="A880" i="5"/>
  <c r="B879" i="5"/>
  <c r="A879" i="5"/>
  <c r="B878" i="5"/>
  <c r="A878" i="5"/>
  <c r="B877" i="5"/>
  <c r="A877" i="5"/>
  <c r="B876" i="5"/>
  <c r="A876" i="5"/>
  <c r="B875" i="5"/>
  <c r="A875" i="5"/>
  <c r="B874" i="5"/>
  <c r="A874" i="5"/>
  <c r="B873" i="5"/>
  <c r="A873" i="5"/>
  <c r="B872" i="5"/>
  <c r="A872" i="5"/>
  <c r="B871" i="5"/>
  <c r="A871" i="5"/>
  <c r="B870" i="5"/>
  <c r="A870" i="5"/>
  <c r="B869" i="5"/>
  <c r="A869" i="5"/>
  <c r="B868" i="5"/>
  <c r="A868" i="5"/>
  <c r="B867" i="5"/>
  <c r="A867" i="5"/>
  <c r="B866" i="5"/>
  <c r="A866" i="5"/>
  <c r="B865" i="5"/>
  <c r="A865" i="5"/>
  <c r="B864" i="5"/>
  <c r="A864" i="5"/>
  <c r="B863" i="5"/>
  <c r="A863" i="5"/>
  <c r="B862" i="5"/>
  <c r="A862" i="5"/>
  <c r="B861" i="5"/>
  <c r="A861" i="5"/>
  <c r="B860" i="5"/>
  <c r="A860" i="5"/>
  <c r="B859" i="5"/>
  <c r="A859" i="5"/>
  <c r="B858" i="5"/>
  <c r="A858" i="5"/>
  <c r="B857" i="5"/>
  <c r="A857" i="5"/>
  <c r="B856" i="5"/>
  <c r="A856" i="5"/>
  <c r="B855" i="5"/>
  <c r="A855" i="5"/>
  <c r="B854" i="5"/>
  <c r="A854" i="5"/>
  <c r="B853" i="5"/>
  <c r="A853" i="5"/>
  <c r="B852" i="5"/>
  <c r="A852" i="5"/>
  <c r="B851" i="5"/>
  <c r="A851" i="5"/>
  <c r="B850" i="5"/>
  <c r="A850" i="5"/>
  <c r="B849" i="5"/>
  <c r="A849" i="5"/>
  <c r="B848" i="5"/>
  <c r="A848" i="5"/>
  <c r="B847" i="5"/>
  <c r="A847" i="5"/>
  <c r="B846" i="5"/>
  <c r="A846" i="5"/>
  <c r="B845" i="5"/>
  <c r="A845" i="5"/>
  <c r="B844" i="5"/>
  <c r="A844" i="5"/>
  <c r="B843" i="5"/>
  <c r="A843" i="5"/>
  <c r="B842" i="5"/>
  <c r="A842" i="5"/>
  <c r="B841" i="5"/>
  <c r="A841" i="5"/>
  <c r="B840" i="5"/>
  <c r="A840" i="5"/>
  <c r="B839" i="5"/>
  <c r="A839" i="5"/>
  <c r="B838" i="5"/>
  <c r="A838" i="5"/>
  <c r="B837" i="5"/>
  <c r="A837" i="5"/>
  <c r="B836" i="5"/>
  <c r="A836" i="5"/>
  <c r="B835" i="5"/>
  <c r="A835" i="5"/>
  <c r="B834" i="5"/>
  <c r="A834" i="5"/>
  <c r="B833" i="5"/>
  <c r="A833" i="5"/>
  <c r="B832" i="5"/>
  <c r="A832" i="5"/>
  <c r="B831" i="5"/>
  <c r="A831" i="5"/>
  <c r="B830" i="5"/>
  <c r="A830" i="5"/>
  <c r="B829" i="5"/>
  <c r="A829" i="5"/>
  <c r="B828" i="5"/>
  <c r="A828" i="5"/>
  <c r="B827" i="5"/>
  <c r="A827" i="5"/>
  <c r="B826" i="5"/>
  <c r="A826" i="5"/>
  <c r="B825" i="5"/>
  <c r="A825" i="5"/>
  <c r="B824" i="5"/>
  <c r="A824" i="5"/>
  <c r="B823" i="5"/>
  <c r="A823" i="5"/>
  <c r="B822" i="5"/>
  <c r="A822" i="5"/>
  <c r="B821" i="5"/>
  <c r="A821" i="5"/>
  <c r="B820" i="5"/>
  <c r="A820" i="5"/>
  <c r="B819" i="5"/>
  <c r="A819" i="5"/>
  <c r="B818" i="5"/>
  <c r="A818" i="5"/>
  <c r="B817" i="5"/>
  <c r="A817" i="5"/>
  <c r="B816" i="5"/>
  <c r="A816" i="5"/>
  <c r="B815" i="5"/>
  <c r="A815" i="5"/>
  <c r="B814" i="5"/>
  <c r="A814" i="5"/>
  <c r="B813" i="5"/>
  <c r="A813" i="5"/>
  <c r="B812" i="5"/>
  <c r="A812" i="5"/>
  <c r="B811" i="5"/>
  <c r="A811" i="5"/>
  <c r="B810" i="5"/>
  <c r="A810" i="5"/>
  <c r="B809" i="5"/>
  <c r="A809" i="5"/>
  <c r="B808" i="5"/>
  <c r="A808" i="5"/>
  <c r="B807" i="5"/>
  <c r="A807" i="5"/>
  <c r="B806" i="5"/>
  <c r="A806" i="5"/>
  <c r="B805" i="5"/>
  <c r="A805" i="5"/>
  <c r="B804" i="5"/>
  <c r="A804" i="5"/>
  <c r="B803" i="5"/>
  <c r="A803" i="5"/>
  <c r="B802" i="5"/>
  <c r="A802" i="5"/>
  <c r="B801" i="5"/>
  <c r="A801" i="5"/>
  <c r="B800" i="5"/>
  <c r="A800" i="5"/>
  <c r="B799" i="5"/>
  <c r="A799" i="5"/>
  <c r="B798" i="5"/>
  <c r="A798" i="5"/>
  <c r="B797" i="5"/>
  <c r="A797" i="5"/>
  <c r="B796" i="5"/>
  <c r="A796" i="5"/>
  <c r="B795" i="5"/>
  <c r="A795" i="5"/>
  <c r="B794" i="5"/>
  <c r="A794" i="5"/>
  <c r="B793" i="5"/>
  <c r="A793" i="5"/>
  <c r="B792" i="5"/>
  <c r="A792" i="5"/>
  <c r="B791" i="5"/>
  <c r="A791" i="5"/>
  <c r="B790" i="5"/>
  <c r="A790" i="5"/>
  <c r="B789" i="5"/>
  <c r="A789" i="5"/>
  <c r="B788" i="5"/>
  <c r="A788" i="5"/>
  <c r="B787" i="5"/>
  <c r="A787" i="5"/>
  <c r="B786" i="5"/>
  <c r="A786" i="5"/>
  <c r="B785" i="5"/>
  <c r="A785" i="5"/>
  <c r="B784" i="5"/>
  <c r="A784" i="5"/>
  <c r="B783" i="5"/>
  <c r="A783" i="5"/>
  <c r="B782" i="5"/>
  <c r="A782" i="5"/>
  <c r="B781" i="5"/>
  <c r="A781" i="5"/>
  <c r="B780" i="5"/>
  <c r="A780" i="5"/>
  <c r="B779" i="5"/>
  <c r="A779" i="5"/>
  <c r="B778" i="5"/>
  <c r="A778" i="5"/>
  <c r="B777" i="5"/>
  <c r="A777" i="5"/>
  <c r="B776" i="5"/>
  <c r="A776" i="5"/>
  <c r="B775" i="5"/>
  <c r="A775" i="5"/>
  <c r="B774" i="5"/>
  <c r="A774" i="5"/>
  <c r="B773" i="5"/>
  <c r="A773" i="5"/>
  <c r="B772" i="5"/>
  <c r="A772" i="5"/>
  <c r="B771" i="5"/>
  <c r="A771" i="5"/>
  <c r="B770" i="5"/>
  <c r="A770" i="5"/>
  <c r="B769" i="5"/>
  <c r="A769" i="5"/>
  <c r="B768" i="5"/>
  <c r="A768" i="5"/>
  <c r="B767" i="5"/>
  <c r="A767" i="5"/>
  <c r="B766" i="5"/>
  <c r="A766" i="5"/>
  <c r="B765" i="5"/>
  <c r="A765" i="5"/>
  <c r="B764" i="5"/>
  <c r="A764" i="5"/>
  <c r="B763" i="5"/>
  <c r="A763" i="5"/>
  <c r="B762" i="5"/>
  <c r="A762" i="5"/>
  <c r="B761" i="5"/>
  <c r="A761" i="5"/>
  <c r="B760" i="5"/>
  <c r="A760" i="5"/>
  <c r="B759" i="5"/>
  <c r="A759" i="5"/>
  <c r="B758" i="5"/>
  <c r="A758" i="5"/>
  <c r="B757" i="5"/>
  <c r="A757" i="5"/>
  <c r="B756" i="5"/>
  <c r="A756" i="5"/>
  <c r="B755" i="5"/>
  <c r="A755" i="5"/>
  <c r="B754" i="5"/>
  <c r="A754" i="5"/>
  <c r="B753" i="5"/>
  <c r="A753" i="5"/>
  <c r="B752" i="5"/>
  <c r="A752" i="5"/>
  <c r="B751" i="5"/>
  <c r="A751" i="5"/>
  <c r="B750" i="5"/>
  <c r="A750" i="5"/>
  <c r="B749" i="5"/>
  <c r="A749" i="5"/>
  <c r="B748" i="5"/>
  <c r="A748" i="5"/>
  <c r="B747" i="5"/>
  <c r="A747" i="5"/>
  <c r="B746" i="5"/>
  <c r="A746" i="5"/>
  <c r="B745" i="5"/>
  <c r="A745" i="5"/>
  <c r="B744" i="5"/>
  <c r="A744" i="5"/>
  <c r="B743" i="5"/>
  <c r="A743" i="5"/>
  <c r="B742" i="5"/>
  <c r="A742" i="5"/>
  <c r="B741" i="5"/>
  <c r="A741" i="5"/>
  <c r="B740" i="5"/>
  <c r="A740" i="5"/>
  <c r="B739" i="5"/>
  <c r="A739" i="5"/>
  <c r="B738" i="5"/>
  <c r="A738" i="5"/>
  <c r="B737" i="5"/>
  <c r="A737" i="5"/>
  <c r="B736" i="5"/>
  <c r="A736" i="5"/>
  <c r="B735" i="5"/>
  <c r="A735" i="5"/>
  <c r="B734" i="5"/>
  <c r="A734" i="5"/>
  <c r="B733" i="5"/>
  <c r="A733" i="5"/>
  <c r="B732" i="5"/>
  <c r="A732" i="5"/>
  <c r="B731" i="5"/>
  <c r="A731" i="5"/>
  <c r="B730" i="5"/>
  <c r="A730" i="5"/>
  <c r="B729" i="5"/>
  <c r="A729" i="5"/>
  <c r="B728" i="5"/>
  <c r="A728" i="5"/>
  <c r="B727" i="5"/>
  <c r="A727" i="5"/>
  <c r="B726" i="5"/>
  <c r="A726" i="5"/>
  <c r="B725" i="5"/>
  <c r="A725" i="5"/>
  <c r="B724" i="5"/>
  <c r="A724" i="5"/>
  <c r="B723" i="5"/>
  <c r="A723" i="5"/>
  <c r="B722" i="5"/>
  <c r="A722" i="5"/>
  <c r="B721" i="5"/>
  <c r="A721" i="5"/>
  <c r="B720" i="5"/>
  <c r="A720" i="5"/>
  <c r="B719" i="5"/>
  <c r="A719" i="5"/>
  <c r="B718" i="5"/>
  <c r="A718" i="5"/>
  <c r="B717" i="5"/>
  <c r="A717" i="5"/>
  <c r="B716" i="5"/>
  <c r="A716" i="5"/>
  <c r="B715" i="5"/>
  <c r="A715" i="5"/>
  <c r="B714" i="5"/>
  <c r="A714" i="5"/>
  <c r="B713" i="5"/>
  <c r="A713" i="5"/>
  <c r="B712" i="5"/>
  <c r="A712" i="5"/>
  <c r="B711" i="5"/>
  <c r="A711" i="5"/>
  <c r="B710" i="5"/>
  <c r="A710" i="5"/>
  <c r="B709" i="5"/>
  <c r="A709" i="5"/>
  <c r="B708" i="5"/>
  <c r="A708" i="5"/>
  <c r="B707" i="5"/>
  <c r="A707" i="5"/>
  <c r="B706" i="5"/>
  <c r="A706" i="5"/>
  <c r="B705" i="5"/>
  <c r="A705" i="5"/>
  <c r="B704" i="5"/>
  <c r="A704" i="5"/>
  <c r="B703" i="5"/>
  <c r="A703" i="5"/>
  <c r="B702" i="5"/>
  <c r="A702" i="5"/>
  <c r="B701" i="5"/>
  <c r="A701" i="5"/>
  <c r="B700" i="5"/>
  <c r="A700" i="5"/>
  <c r="B699" i="5"/>
  <c r="A699" i="5"/>
  <c r="B698" i="5"/>
  <c r="A698" i="5"/>
  <c r="B697" i="5"/>
  <c r="A697" i="5"/>
  <c r="B696" i="5"/>
  <c r="A696" i="5"/>
  <c r="B695" i="5"/>
  <c r="A695" i="5"/>
  <c r="B694" i="5"/>
  <c r="A694" i="5"/>
  <c r="B693" i="5"/>
  <c r="A693" i="5"/>
  <c r="B692" i="5"/>
  <c r="A692" i="5"/>
  <c r="B691" i="5"/>
  <c r="A691" i="5"/>
  <c r="B690" i="5"/>
  <c r="A690" i="5"/>
  <c r="B689" i="5"/>
  <c r="A689" i="5"/>
  <c r="B688" i="5"/>
  <c r="A688" i="5"/>
  <c r="B687" i="5"/>
  <c r="A687" i="5"/>
  <c r="B686" i="5"/>
  <c r="A686" i="5"/>
  <c r="B685" i="5"/>
  <c r="A685" i="5"/>
  <c r="B684" i="5"/>
  <c r="A684" i="5"/>
  <c r="B683" i="5"/>
  <c r="A683" i="5"/>
  <c r="B682" i="5"/>
  <c r="A682" i="5"/>
  <c r="B681" i="5"/>
  <c r="A681" i="5"/>
  <c r="B680" i="5"/>
  <c r="A680" i="5"/>
  <c r="B679" i="5"/>
  <c r="A679" i="5"/>
  <c r="B678" i="5"/>
  <c r="A678" i="5"/>
  <c r="B677" i="5"/>
  <c r="A677" i="5"/>
  <c r="B676" i="5"/>
  <c r="A676" i="5"/>
  <c r="B675" i="5"/>
  <c r="A675" i="5"/>
  <c r="B674" i="5"/>
  <c r="A674" i="5"/>
  <c r="B673" i="5"/>
  <c r="A673" i="5"/>
  <c r="B672" i="5"/>
  <c r="A672" i="5"/>
  <c r="B671" i="5"/>
  <c r="A671" i="5"/>
  <c r="B670" i="5"/>
  <c r="A670" i="5"/>
  <c r="B669" i="5"/>
  <c r="A669" i="5"/>
  <c r="B668" i="5"/>
  <c r="A668" i="5"/>
  <c r="B667" i="5"/>
  <c r="A667" i="5"/>
  <c r="B666" i="5"/>
  <c r="A666" i="5"/>
  <c r="B665" i="5"/>
  <c r="A665" i="5"/>
  <c r="B664" i="5"/>
  <c r="A664" i="5"/>
  <c r="B663" i="5"/>
  <c r="A663" i="5"/>
  <c r="B662" i="5"/>
  <c r="A662" i="5"/>
  <c r="B661" i="5"/>
  <c r="A661" i="5"/>
  <c r="B660" i="5"/>
  <c r="A660" i="5"/>
  <c r="B659" i="5"/>
  <c r="A659" i="5"/>
  <c r="B658" i="5"/>
  <c r="A658" i="5"/>
  <c r="B657" i="5"/>
  <c r="A657" i="5"/>
  <c r="B656" i="5"/>
  <c r="A656" i="5"/>
  <c r="B655" i="5"/>
  <c r="A655" i="5"/>
  <c r="B654" i="5"/>
  <c r="A654" i="5"/>
  <c r="B653" i="5"/>
  <c r="A653" i="5"/>
  <c r="B652" i="5"/>
  <c r="A652" i="5"/>
  <c r="B651" i="5"/>
  <c r="A651" i="5"/>
  <c r="B650" i="5"/>
  <c r="A650" i="5"/>
  <c r="B649" i="5"/>
  <c r="A649" i="5"/>
  <c r="B648" i="5"/>
  <c r="A648" i="5"/>
  <c r="B647" i="5"/>
  <c r="A647" i="5"/>
  <c r="B646" i="5"/>
  <c r="A646" i="5"/>
  <c r="B645" i="5"/>
  <c r="A645" i="5"/>
  <c r="B644" i="5"/>
  <c r="A644" i="5"/>
  <c r="B643" i="5"/>
  <c r="A643" i="5"/>
  <c r="B642" i="5"/>
  <c r="A642" i="5"/>
  <c r="B641" i="5"/>
  <c r="A641" i="5"/>
  <c r="B640" i="5"/>
  <c r="A640" i="5"/>
  <c r="B639" i="5"/>
  <c r="A639" i="5"/>
  <c r="B638" i="5"/>
  <c r="A638" i="5"/>
  <c r="B637" i="5"/>
  <c r="A637" i="5"/>
  <c r="B636" i="5"/>
  <c r="A636" i="5"/>
  <c r="B635" i="5"/>
  <c r="A635" i="5"/>
  <c r="B634" i="5"/>
  <c r="A634" i="5"/>
  <c r="B633" i="5"/>
  <c r="A633" i="5"/>
  <c r="B632" i="5"/>
  <c r="A632" i="5"/>
  <c r="B631" i="5"/>
  <c r="A631" i="5"/>
  <c r="B630" i="5"/>
  <c r="A630" i="5"/>
  <c r="B629" i="5"/>
  <c r="A629" i="5"/>
  <c r="B628" i="5"/>
  <c r="A628" i="5"/>
  <c r="B627" i="5"/>
  <c r="A627" i="5"/>
  <c r="B626" i="5"/>
  <c r="A626" i="5"/>
  <c r="B625" i="5"/>
  <c r="A625" i="5"/>
  <c r="B624" i="5"/>
  <c r="A624" i="5"/>
  <c r="B623" i="5"/>
  <c r="A623" i="5"/>
  <c r="B622" i="5"/>
  <c r="A622" i="5"/>
  <c r="B621" i="5"/>
  <c r="A621" i="5"/>
  <c r="B620" i="5"/>
  <c r="A620" i="5"/>
  <c r="B619" i="5"/>
  <c r="A619" i="5"/>
  <c r="B618" i="5"/>
  <c r="A618" i="5"/>
  <c r="B617" i="5"/>
  <c r="A617" i="5"/>
  <c r="B616" i="5"/>
  <c r="A616" i="5"/>
  <c r="B615" i="5"/>
  <c r="A615" i="5"/>
  <c r="B614" i="5"/>
  <c r="A614" i="5"/>
  <c r="B613" i="5"/>
  <c r="A613" i="5"/>
  <c r="B612" i="5"/>
  <c r="A612" i="5"/>
  <c r="B611" i="5"/>
  <c r="A611" i="5"/>
  <c r="B610" i="5"/>
  <c r="A610" i="5"/>
  <c r="B609" i="5"/>
  <c r="A609" i="5"/>
  <c r="B608" i="5"/>
  <c r="A608" i="5"/>
  <c r="B607" i="5"/>
  <c r="A607" i="5"/>
  <c r="B606" i="5"/>
  <c r="A606" i="5"/>
  <c r="B605" i="5"/>
  <c r="A605" i="5"/>
  <c r="B604" i="5"/>
  <c r="A604" i="5"/>
  <c r="B603" i="5"/>
  <c r="A603" i="5"/>
  <c r="B602" i="5"/>
  <c r="A602" i="5"/>
  <c r="B601" i="5"/>
  <c r="A601" i="5"/>
  <c r="B600" i="5"/>
  <c r="A600" i="5"/>
  <c r="B599" i="5"/>
  <c r="A599" i="5"/>
  <c r="B598" i="5"/>
  <c r="A598" i="5"/>
  <c r="B597" i="5"/>
  <c r="A597" i="5"/>
  <c r="B596" i="5"/>
  <c r="A596" i="5"/>
  <c r="B595" i="5"/>
  <c r="A595" i="5"/>
  <c r="B594" i="5"/>
  <c r="A594" i="5"/>
  <c r="B593" i="5"/>
  <c r="A593" i="5"/>
  <c r="B592" i="5"/>
  <c r="A592" i="5"/>
  <c r="B591" i="5"/>
  <c r="A591" i="5"/>
  <c r="B590" i="5"/>
  <c r="A590" i="5"/>
  <c r="B589" i="5"/>
  <c r="A589" i="5"/>
  <c r="B588" i="5"/>
  <c r="A588" i="5"/>
  <c r="B587" i="5"/>
  <c r="A587" i="5"/>
  <c r="B586" i="5"/>
  <c r="A586" i="5"/>
  <c r="B585" i="5"/>
  <c r="A585" i="5"/>
  <c r="B584" i="5"/>
  <c r="A584" i="5"/>
  <c r="B583" i="5"/>
  <c r="A583" i="5"/>
  <c r="B582" i="5"/>
  <c r="A582" i="5"/>
  <c r="B581" i="5"/>
  <c r="A581" i="5"/>
  <c r="B580" i="5"/>
  <c r="A580" i="5"/>
  <c r="B579" i="5"/>
  <c r="A579" i="5"/>
  <c r="B578" i="5"/>
  <c r="A578" i="5"/>
  <c r="B577" i="5"/>
  <c r="A577" i="5"/>
  <c r="B576" i="5"/>
  <c r="A576" i="5"/>
  <c r="B575" i="5"/>
  <c r="A575" i="5"/>
  <c r="B574" i="5"/>
  <c r="A574" i="5"/>
  <c r="B573" i="5"/>
  <c r="A573" i="5"/>
  <c r="B572" i="5"/>
  <c r="A572" i="5"/>
  <c r="B571" i="5"/>
  <c r="A571" i="5"/>
  <c r="B570" i="5"/>
  <c r="A570" i="5"/>
  <c r="B569" i="5"/>
  <c r="A569" i="5"/>
  <c r="B568" i="5"/>
  <c r="A568" i="5"/>
  <c r="B567" i="5"/>
  <c r="A567" i="5"/>
  <c r="B566" i="5"/>
  <c r="A566" i="5"/>
  <c r="B565" i="5"/>
  <c r="A565" i="5"/>
  <c r="B564" i="5"/>
  <c r="A564" i="5"/>
  <c r="B563" i="5"/>
  <c r="A563" i="5"/>
  <c r="B562" i="5"/>
  <c r="A562" i="5"/>
  <c r="B561" i="5"/>
  <c r="A561" i="5"/>
  <c r="B560" i="5"/>
  <c r="A560" i="5"/>
  <c r="B559" i="5"/>
  <c r="A559" i="5"/>
  <c r="B558" i="5"/>
  <c r="A558" i="5"/>
  <c r="B557" i="5"/>
  <c r="A557" i="5"/>
  <c r="B556" i="5"/>
  <c r="A556" i="5"/>
  <c r="B555" i="5"/>
  <c r="A555" i="5"/>
  <c r="B554" i="5"/>
  <c r="A554" i="5"/>
  <c r="B553" i="5"/>
  <c r="A553" i="5"/>
  <c r="B552" i="5"/>
  <c r="A552" i="5"/>
  <c r="B551" i="5"/>
  <c r="A551" i="5"/>
  <c r="B550" i="5"/>
  <c r="A550" i="5"/>
  <c r="B549" i="5"/>
  <c r="A549" i="5"/>
  <c r="B548" i="5"/>
  <c r="A548" i="5"/>
  <c r="B547" i="5"/>
  <c r="A547" i="5"/>
  <c r="B546" i="5"/>
  <c r="A546" i="5"/>
  <c r="B545" i="5"/>
  <c r="A545" i="5"/>
  <c r="B544" i="5"/>
  <c r="A544" i="5"/>
  <c r="B543" i="5"/>
  <c r="A543" i="5"/>
  <c r="B542" i="5"/>
  <c r="A542" i="5"/>
  <c r="B541" i="5"/>
  <c r="A541" i="5"/>
  <c r="B540" i="5"/>
  <c r="A540" i="5"/>
  <c r="B539" i="5"/>
  <c r="A539" i="5"/>
  <c r="B538" i="5"/>
  <c r="A538" i="5"/>
  <c r="B537" i="5"/>
  <c r="A537" i="5"/>
  <c r="B536" i="5"/>
  <c r="A536" i="5"/>
  <c r="B535" i="5"/>
  <c r="A535" i="5"/>
  <c r="B534" i="5"/>
  <c r="A534" i="5"/>
  <c r="B533" i="5"/>
  <c r="A533" i="5"/>
  <c r="B532" i="5"/>
  <c r="A532" i="5"/>
  <c r="B531" i="5"/>
  <c r="A531" i="5"/>
  <c r="B530" i="5"/>
  <c r="A530" i="5"/>
  <c r="B529" i="5"/>
  <c r="A529" i="5"/>
  <c r="B528" i="5"/>
  <c r="A528" i="5"/>
  <c r="B527" i="5"/>
  <c r="A527" i="5"/>
  <c r="B526" i="5"/>
  <c r="A526" i="5"/>
  <c r="B525" i="5"/>
  <c r="A525" i="5"/>
  <c r="B524" i="5"/>
  <c r="A524" i="5"/>
  <c r="B523" i="5"/>
  <c r="A523" i="5"/>
  <c r="B522" i="5"/>
  <c r="A522" i="5"/>
  <c r="B521" i="5"/>
  <c r="A521" i="5"/>
  <c r="B520" i="5"/>
  <c r="A520" i="5"/>
  <c r="B519" i="5"/>
  <c r="A519" i="5"/>
  <c r="B518" i="5"/>
  <c r="A518" i="5"/>
  <c r="B517" i="5"/>
  <c r="A517" i="5"/>
  <c r="B516" i="5"/>
  <c r="A516" i="5"/>
  <c r="B515" i="5"/>
  <c r="A515" i="5"/>
  <c r="B514" i="5"/>
  <c r="A514" i="5"/>
  <c r="B513" i="5"/>
  <c r="A513" i="5"/>
  <c r="B512" i="5"/>
  <c r="A512" i="5"/>
  <c r="B511" i="5"/>
  <c r="A511" i="5"/>
  <c r="B510" i="5"/>
  <c r="A510" i="5"/>
  <c r="B509" i="5"/>
  <c r="A509" i="5"/>
  <c r="B508" i="5"/>
  <c r="A508" i="5"/>
  <c r="B507" i="5"/>
  <c r="A507" i="5"/>
  <c r="B506" i="5"/>
  <c r="A506" i="5"/>
  <c r="B505" i="5"/>
  <c r="A505" i="5"/>
  <c r="B504" i="5"/>
  <c r="A504" i="5"/>
  <c r="B503" i="5"/>
  <c r="A503" i="5"/>
  <c r="B502" i="5"/>
  <c r="A502" i="5"/>
  <c r="B501" i="5"/>
  <c r="A501" i="5"/>
  <c r="B500" i="5"/>
  <c r="A500" i="5"/>
  <c r="B499" i="5"/>
  <c r="A499" i="5"/>
  <c r="B498" i="5"/>
  <c r="A498" i="5"/>
  <c r="B497" i="5"/>
  <c r="A497" i="5"/>
  <c r="B496" i="5"/>
  <c r="A496" i="5"/>
  <c r="B495" i="5"/>
  <c r="A495" i="5"/>
  <c r="B494" i="5"/>
  <c r="A494" i="5"/>
  <c r="B493" i="5"/>
  <c r="A493" i="5"/>
  <c r="B492" i="5"/>
  <c r="A492" i="5"/>
  <c r="B491" i="5"/>
  <c r="A491" i="5"/>
  <c r="B490" i="5"/>
  <c r="A490" i="5"/>
  <c r="B489" i="5"/>
  <c r="A489" i="5"/>
  <c r="B488" i="5"/>
  <c r="A488" i="5"/>
  <c r="B487" i="5"/>
  <c r="A487" i="5"/>
  <c r="B486" i="5"/>
  <c r="A486" i="5"/>
  <c r="B485" i="5"/>
  <c r="A485" i="5"/>
  <c r="B484" i="5"/>
  <c r="A484" i="5"/>
  <c r="B483" i="5"/>
  <c r="A483" i="5"/>
  <c r="B482" i="5"/>
  <c r="A482" i="5"/>
  <c r="B481" i="5"/>
  <c r="A481" i="5"/>
  <c r="B480" i="5"/>
  <c r="A480" i="5"/>
  <c r="B479" i="5"/>
  <c r="A479" i="5"/>
  <c r="B478" i="5"/>
  <c r="A478" i="5"/>
  <c r="B477" i="5"/>
  <c r="A477" i="5"/>
  <c r="B476" i="5"/>
  <c r="A476" i="5"/>
  <c r="B475" i="5"/>
  <c r="A475" i="5"/>
  <c r="B474" i="5"/>
  <c r="A474" i="5"/>
  <c r="B473" i="5"/>
  <c r="A473" i="5"/>
  <c r="B472" i="5"/>
  <c r="A472" i="5"/>
  <c r="B471" i="5"/>
  <c r="A471" i="5"/>
  <c r="B470" i="5"/>
  <c r="A470" i="5"/>
  <c r="B469" i="5"/>
  <c r="A469" i="5"/>
  <c r="B468" i="5"/>
  <c r="A468" i="5"/>
  <c r="B467" i="5"/>
  <c r="A467" i="5"/>
  <c r="B466" i="5"/>
  <c r="A466" i="5"/>
  <c r="B465" i="5"/>
  <c r="A465" i="5"/>
  <c r="B464" i="5"/>
  <c r="A464" i="5"/>
  <c r="B463" i="5"/>
  <c r="A463" i="5"/>
  <c r="B462" i="5"/>
  <c r="A462" i="5"/>
  <c r="B461" i="5"/>
  <c r="A461" i="5"/>
  <c r="B460" i="5"/>
  <c r="A460" i="5"/>
  <c r="B459" i="5"/>
  <c r="A459" i="5"/>
  <c r="B458" i="5"/>
  <c r="A458" i="5"/>
  <c r="B457" i="5"/>
  <c r="A457" i="5"/>
  <c r="B456" i="5"/>
  <c r="A456" i="5"/>
  <c r="B455" i="5"/>
  <c r="A455" i="5"/>
  <c r="B454" i="5"/>
  <c r="A454" i="5"/>
  <c r="B453" i="5"/>
  <c r="A453" i="5"/>
  <c r="B452" i="5"/>
  <c r="A452" i="5"/>
  <c r="B451" i="5"/>
  <c r="A451" i="5"/>
  <c r="B450" i="5"/>
  <c r="A450" i="5"/>
  <c r="B449" i="5"/>
  <c r="A449" i="5"/>
  <c r="B448" i="5"/>
  <c r="A448" i="5"/>
  <c r="B447" i="5"/>
  <c r="A447" i="5"/>
  <c r="B446" i="5"/>
  <c r="A446" i="5"/>
  <c r="B445" i="5"/>
  <c r="A445" i="5"/>
  <c r="B444" i="5"/>
  <c r="A444" i="5"/>
  <c r="B443" i="5"/>
  <c r="A443" i="5"/>
  <c r="B442" i="5"/>
  <c r="A442" i="5"/>
  <c r="B441" i="5"/>
  <c r="A441" i="5"/>
  <c r="B440" i="5"/>
  <c r="A440" i="5"/>
  <c r="B439" i="5"/>
  <c r="A439" i="5"/>
  <c r="B438" i="5"/>
  <c r="A438" i="5"/>
  <c r="B437" i="5"/>
  <c r="A437" i="5"/>
  <c r="B436" i="5"/>
  <c r="A436" i="5"/>
  <c r="B435" i="5"/>
  <c r="A435" i="5"/>
  <c r="B434" i="5"/>
  <c r="A434" i="5"/>
  <c r="B433" i="5"/>
  <c r="A433" i="5"/>
  <c r="B432" i="5"/>
  <c r="A432" i="5"/>
  <c r="B431" i="5"/>
  <c r="A431" i="5"/>
  <c r="B430" i="5"/>
  <c r="A430" i="5"/>
  <c r="B429" i="5"/>
  <c r="A429" i="5"/>
  <c r="B428" i="5"/>
  <c r="A428" i="5"/>
  <c r="B427" i="5"/>
  <c r="A427" i="5"/>
  <c r="B426" i="5"/>
  <c r="A426" i="5"/>
  <c r="B425" i="5"/>
  <c r="A425" i="5"/>
  <c r="B424" i="5"/>
  <c r="A424" i="5"/>
  <c r="B423" i="5"/>
  <c r="A423" i="5"/>
  <c r="B422" i="5"/>
  <c r="A422" i="5"/>
  <c r="B421" i="5"/>
  <c r="A421" i="5"/>
  <c r="B420" i="5"/>
  <c r="A420" i="5"/>
  <c r="B419" i="5"/>
  <c r="A419" i="5"/>
  <c r="B418" i="5"/>
  <c r="A418" i="5"/>
  <c r="B417" i="5"/>
  <c r="A417" i="5"/>
  <c r="B416" i="5"/>
  <c r="A416" i="5"/>
  <c r="B415" i="5"/>
  <c r="A415" i="5"/>
  <c r="B414" i="5"/>
  <c r="A414" i="5"/>
  <c r="B413" i="5"/>
  <c r="A413" i="5"/>
  <c r="B412" i="5"/>
  <c r="A412" i="5"/>
  <c r="B411" i="5"/>
  <c r="A411" i="5"/>
  <c r="B410" i="5"/>
  <c r="A410" i="5"/>
  <c r="B409" i="5"/>
  <c r="A409" i="5"/>
  <c r="B408" i="5"/>
  <c r="A408" i="5"/>
  <c r="B407" i="5"/>
  <c r="A407" i="5"/>
  <c r="B406" i="5"/>
  <c r="A406" i="5"/>
  <c r="B405" i="5"/>
  <c r="A405" i="5"/>
  <c r="B404" i="5"/>
  <c r="A404" i="5"/>
  <c r="B403" i="5"/>
  <c r="A403" i="5"/>
  <c r="B402" i="5"/>
  <c r="A402" i="5"/>
  <c r="B401" i="5"/>
  <c r="A401" i="5"/>
  <c r="B400" i="5"/>
  <c r="A400" i="5"/>
  <c r="B399" i="5"/>
  <c r="A399" i="5"/>
  <c r="B398" i="5"/>
  <c r="A398" i="5"/>
  <c r="B397" i="5"/>
  <c r="A397" i="5"/>
  <c r="B396" i="5"/>
  <c r="A396" i="5"/>
  <c r="B395" i="5"/>
  <c r="A395" i="5"/>
  <c r="B394" i="5"/>
  <c r="A394" i="5"/>
  <c r="B393" i="5"/>
  <c r="A393" i="5"/>
  <c r="B392" i="5"/>
  <c r="A392" i="5"/>
  <c r="B391" i="5"/>
  <c r="A391" i="5"/>
  <c r="B390" i="5"/>
  <c r="A390" i="5"/>
  <c r="B389" i="5"/>
  <c r="A389" i="5"/>
  <c r="B388" i="5"/>
  <c r="A388" i="5"/>
  <c r="B387" i="5"/>
  <c r="A387" i="5"/>
  <c r="B386" i="5"/>
  <c r="A386" i="5"/>
  <c r="B385" i="5"/>
  <c r="A385" i="5"/>
  <c r="B384" i="5"/>
  <c r="A384" i="5"/>
  <c r="B383" i="5"/>
  <c r="A383" i="5"/>
  <c r="B382" i="5"/>
  <c r="A382" i="5"/>
  <c r="B381" i="5"/>
  <c r="A381" i="5"/>
  <c r="B380" i="5"/>
  <c r="A380" i="5"/>
  <c r="B379" i="5"/>
  <c r="A379" i="5"/>
  <c r="B378" i="5"/>
  <c r="A378" i="5"/>
  <c r="B377" i="5"/>
  <c r="A377" i="5"/>
  <c r="B376" i="5"/>
  <c r="A376" i="5"/>
  <c r="B375" i="5"/>
  <c r="A375" i="5"/>
  <c r="B374" i="5"/>
  <c r="A374" i="5"/>
  <c r="B373" i="5"/>
  <c r="A373" i="5"/>
  <c r="B372" i="5"/>
  <c r="A372" i="5"/>
  <c r="B371" i="5"/>
  <c r="A371" i="5"/>
  <c r="B370" i="5"/>
  <c r="A370" i="5"/>
  <c r="B369" i="5"/>
  <c r="A369" i="5"/>
  <c r="B368" i="5"/>
  <c r="A368" i="5"/>
  <c r="B367" i="5"/>
  <c r="A367" i="5"/>
  <c r="B366" i="5"/>
  <c r="A366" i="5"/>
  <c r="B365" i="5"/>
  <c r="A365" i="5"/>
  <c r="B364" i="5"/>
  <c r="A364" i="5"/>
  <c r="B363" i="5"/>
  <c r="A363" i="5"/>
  <c r="B362" i="5"/>
  <c r="A362" i="5"/>
  <c r="B361" i="5"/>
  <c r="A361" i="5"/>
  <c r="B360" i="5"/>
  <c r="A360" i="5"/>
  <c r="B359" i="5"/>
  <c r="A359" i="5"/>
  <c r="B358" i="5"/>
  <c r="A358" i="5"/>
  <c r="B357" i="5"/>
  <c r="A357" i="5"/>
  <c r="B356" i="5"/>
  <c r="A356" i="5"/>
  <c r="B355" i="5"/>
  <c r="A355" i="5"/>
  <c r="B354" i="5"/>
  <c r="A354" i="5"/>
  <c r="B353" i="5"/>
  <c r="A353" i="5"/>
  <c r="B352" i="5"/>
  <c r="A352" i="5"/>
  <c r="B351" i="5"/>
  <c r="A351" i="5"/>
  <c r="B350" i="5"/>
  <c r="A350" i="5"/>
  <c r="B349" i="5"/>
  <c r="A349" i="5"/>
  <c r="B348" i="5"/>
  <c r="A348" i="5"/>
  <c r="B347" i="5"/>
  <c r="A347" i="5"/>
  <c r="B346" i="5"/>
  <c r="A346" i="5"/>
  <c r="B345" i="5"/>
  <c r="A345" i="5"/>
  <c r="B344" i="5"/>
  <c r="A344" i="5"/>
  <c r="B343" i="5"/>
  <c r="A343" i="5"/>
  <c r="B342" i="5"/>
  <c r="A342" i="5"/>
  <c r="B341" i="5"/>
  <c r="A341" i="5"/>
  <c r="B340" i="5"/>
  <c r="A340" i="5"/>
  <c r="B339" i="5"/>
  <c r="A339" i="5"/>
  <c r="B338" i="5"/>
  <c r="A338" i="5"/>
  <c r="B337" i="5"/>
  <c r="A337" i="5"/>
  <c r="B336" i="5"/>
  <c r="A336" i="5"/>
  <c r="B335" i="5"/>
  <c r="A335" i="5"/>
  <c r="B334" i="5"/>
  <c r="A334" i="5"/>
  <c r="B333" i="5"/>
  <c r="A333" i="5"/>
  <c r="B332" i="5"/>
  <c r="A332" i="5"/>
  <c r="B331" i="5"/>
  <c r="A331" i="5"/>
  <c r="B330" i="5"/>
  <c r="A330" i="5"/>
  <c r="B329" i="5"/>
  <c r="A329" i="5"/>
  <c r="B328" i="5"/>
  <c r="A328" i="5"/>
  <c r="B327" i="5"/>
  <c r="A327" i="5"/>
  <c r="B326" i="5"/>
  <c r="A326" i="5"/>
  <c r="B325" i="5"/>
  <c r="A325" i="5"/>
  <c r="B324" i="5"/>
  <c r="A324" i="5"/>
  <c r="B323" i="5"/>
  <c r="A323" i="5"/>
  <c r="B322" i="5"/>
  <c r="A322" i="5"/>
  <c r="B321" i="5"/>
  <c r="A321" i="5"/>
  <c r="B320" i="5"/>
  <c r="A320" i="5"/>
  <c r="B319" i="5"/>
  <c r="A319" i="5"/>
  <c r="B318" i="5"/>
  <c r="A318" i="5"/>
  <c r="B317" i="5"/>
  <c r="A317" i="5"/>
  <c r="B316" i="5"/>
  <c r="A316" i="5"/>
  <c r="B315" i="5"/>
  <c r="A315" i="5"/>
  <c r="B314" i="5"/>
  <c r="A314" i="5"/>
  <c r="B313" i="5"/>
  <c r="A313" i="5"/>
  <c r="B312" i="5"/>
  <c r="A312" i="5"/>
  <c r="B311" i="5"/>
  <c r="A311" i="5"/>
  <c r="B310" i="5"/>
  <c r="A310" i="5"/>
  <c r="B309" i="5"/>
  <c r="A309" i="5"/>
  <c r="B308" i="5"/>
  <c r="A308" i="5"/>
  <c r="B307" i="5"/>
  <c r="A307" i="5"/>
  <c r="B306" i="5"/>
  <c r="A306" i="5"/>
  <c r="B305" i="5"/>
  <c r="A305" i="5"/>
  <c r="B304" i="5"/>
  <c r="A304" i="5"/>
  <c r="B303" i="5"/>
  <c r="A303" i="5"/>
  <c r="B302" i="5"/>
  <c r="A302" i="5"/>
  <c r="B301" i="5"/>
  <c r="A301" i="5"/>
  <c r="B300" i="5"/>
  <c r="A300" i="5"/>
  <c r="B299" i="5"/>
  <c r="A299" i="5"/>
  <c r="B298" i="5"/>
  <c r="A298" i="5"/>
  <c r="B297" i="5"/>
  <c r="A297" i="5"/>
  <c r="B296" i="5"/>
  <c r="A296" i="5"/>
  <c r="B295" i="5"/>
  <c r="A295" i="5"/>
  <c r="B294" i="5"/>
  <c r="A294" i="5"/>
  <c r="B293" i="5"/>
  <c r="A293" i="5"/>
  <c r="B292" i="5"/>
  <c r="A292" i="5"/>
  <c r="J291" i="5"/>
  <c r="H291" i="5"/>
  <c r="G291" i="5"/>
  <c r="F291" i="5"/>
  <c r="E291" i="5"/>
  <c r="D291" i="5"/>
  <c r="C291" i="5"/>
  <c r="B291" i="5"/>
  <c r="A291" i="5"/>
  <c r="J290" i="5"/>
  <c r="H290" i="5"/>
  <c r="G290" i="5"/>
  <c r="F290" i="5"/>
  <c r="E290" i="5"/>
  <c r="D290" i="5"/>
  <c r="C290" i="5"/>
  <c r="B290" i="5"/>
  <c r="A290" i="5"/>
  <c r="J289" i="5"/>
  <c r="H289" i="5"/>
  <c r="G289" i="5"/>
  <c r="F289" i="5"/>
  <c r="E289" i="5"/>
  <c r="D289" i="5"/>
  <c r="C289" i="5"/>
  <c r="B289" i="5"/>
  <c r="A289" i="5"/>
  <c r="J288" i="5"/>
  <c r="H288" i="5"/>
  <c r="G288" i="5"/>
  <c r="F288" i="5"/>
  <c r="E288" i="5"/>
  <c r="D288" i="5"/>
  <c r="C288" i="5"/>
  <c r="B288" i="5"/>
  <c r="A288" i="5"/>
  <c r="J287" i="5"/>
  <c r="H287" i="5"/>
  <c r="G287" i="5"/>
  <c r="F287" i="5"/>
  <c r="E287" i="5"/>
  <c r="D287" i="5"/>
  <c r="C287" i="5"/>
  <c r="B287" i="5"/>
  <c r="A287" i="5"/>
  <c r="J286" i="5"/>
  <c r="H286" i="5"/>
  <c r="G286" i="5"/>
  <c r="F286" i="5"/>
  <c r="E286" i="5"/>
  <c r="D286" i="5"/>
  <c r="C286" i="5"/>
  <c r="B286" i="5"/>
  <c r="A286" i="5"/>
  <c r="J285" i="5"/>
  <c r="H285" i="5"/>
  <c r="G285" i="5"/>
  <c r="F285" i="5"/>
  <c r="E285" i="5"/>
  <c r="D285" i="5"/>
  <c r="C285" i="5"/>
  <c r="B285" i="5"/>
  <c r="A285" i="5"/>
  <c r="J284" i="5"/>
  <c r="H284" i="5"/>
  <c r="G284" i="5"/>
  <c r="F284" i="5"/>
  <c r="E284" i="5"/>
  <c r="D284" i="5"/>
  <c r="C284" i="5"/>
  <c r="B284" i="5"/>
  <c r="A284" i="5"/>
  <c r="J283" i="5"/>
  <c r="H283" i="5"/>
  <c r="G283" i="5"/>
  <c r="F283" i="5"/>
  <c r="E283" i="5"/>
  <c r="D283" i="5"/>
  <c r="C283" i="5"/>
  <c r="B283" i="5"/>
  <c r="A283" i="5"/>
  <c r="J282" i="5"/>
  <c r="H282" i="5"/>
  <c r="G282" i="5"/>
  <c r="F282" i="5"/>
  <c r="E282" i="5"/>
  <c r="D282" i="5"/>
  <c r="C282" i="5"/>
  <c r="B282" i="5"/>
  <c r="A282" i="5"/>
  <c r="J281" i="5"/>
  <c r="H281" i="5"/>
  <c r="G281" i="5"/>
  <c r="F281" i="5"/>
  <c r="E281" i="5"/>
  <c r="D281" i="5"/>
  <c r="C281" i="5"/>
  <c r="B281" i="5"/>
  <c r="A281" i="5"/>
  <c r="J280" i="5"/>
  <c r="H280" i="5"/>
  <c r="G280" i="5"/>
  <c r="F280" i="5"/>
  <c r="E280" i="5"/>
  <c r="D280" i="5"/>
  <c r="C280" i="5"/>
  <c r="B280" i="5"/>
  <c r="A280" i="5"/>
  <c r="J279" i="5"/>
  <c r="H279" i="5"/>
  <c r="G279" i="5"/>
  <c r="F279" i="5"/>
  <c r="E279" i="5"/>
  <c r="D279" i="5"/>
  <c r="C279" i="5"/>
  <c r="B279" i="5"/>
  <c r="A279" i="5"/>
  <c r="J278" i="5"/>
  <c r="H278" i="5"/>
  <c r="G278" i="5"/>
  <c r="F278" i="5"/>
  <c r="E278" i="5"/>
  <c r="D278" i="5"/>
  <c r="C278" i="5"/>
  <c r="B278" i="5"/>
  <c r="A278" i="5"/>
  <c r="J277" i="5"/>
  <c r="H277" i="5"/>
  <c r="G277" i="5"/>
  <c r="F277" i="5"/>
  <c r="E277" i="5"/>
  <c r="D277" i="5"/>
  <c r="C277" i="5"/>
  <c r="B277" i="5"/>
  <c r="A277" i="5"/>
  <c r="J276" i="5"/>
  <c r="H276" i="5"/>
  <c r="G276" i="5"/>
  <c r="F276" i="5"/>
  <c r="E276" i="5"/>
  <c r="D276" i="5"/>
  <c r="C276" i="5"/>
  <c r="B276" i="5"/>
  <c r="A276" i="5"/>
  <c r="J275" i="5"/>
  <c r="H275" i="5"/>
  <c r="G275" i="5"/>
  <c r="F275" i="5"/>
  <c r="E275" i="5"/>
  <c r="D275" i="5"/>
  <c r="C275" i="5"/>
  <c r="B275" i="5"/>
  <c r="A275" i="5"/>
  <c r="J274" i="5"/>
  <c r="H274" i="5"/>
  <c r="G274" i="5"/>
  <c r="F274" i="5"/>
  <c r="E274" i="5"/>
  <c r="D274" i="5"/>
  <c r="C274" i="5"/>
  <c r="B274" i="5"/>
  <c r="A274" i="5"/>
  <c r="J273" i="5"/>
  <c r="H273" i="5"/>
  <c r="G273" i="5"/>
  <c r="F273" i="5"/>
  <c r="E273" i="5"/>
  <c r="D273" i="5"/>
  <c r="C273" i="5"/>
  <c r="B273" i="5"/>
  <c r="A273" i="5"/>
  <c r="J272" i="5"/>
  <c r="H272" i="5"/>
  <c r="G272" i="5"/>
  <c r="F272" i="5"/>
  <c r="E272" i="5"/>
  <c r="D272" i="5"/>
  <c r="C272" i="5"/>
  <c r="B272" i="5"/>
  <c r="A272" i="5"/>
  <c r="J271" i="5"/>
  <c r="H271" i="5"/>
  <c r="G271" i="5"/>
  <c r="F271" i="5"/>
  <c r="E271" i="5"/>
  <c r="D271" i="5"/>
  <c r="C271" i="5"/>
  <c r="B271" i="5"/>
  <c r="A271" i="5"/>
  <c r="J270" i="5"/>
  <c r="H270" i="5"/>
  <c r="G270" i="5"/>
  <c r="F270" i="5"/>
  <c r="E270" i="5"/>
  <c r="D270" i="5"/>
  <c r="C270" i="5"/>
  <c r="B270" i="5"/>
  <c r="A270" i="5"/>
  <c r="J269" i="5"/>
  <c r="H269" i="5"/>
  <c r="G269" i="5"/>
  <c r="F269" i="5"/>
  <c r="E269" i="5"/>
  <c r="D269" i="5"/>
  <c r="C269" i="5"/>
  <c r="B269" i="5"/>
  <c r="A269" i="5"/>
  <c r="J268" i="5"/>
  <c r="H268" i="5"/>
  <c r="G268" i="5"/>
  <c r="F268" i="5"/>
  <c r="E268" i="5"/>
  <c r="D268" i="5"/>
  <c r="C268" i="5"/>
  <c r="B268" i="5"/>
  <c r="A268" i="5"/>
  <c r="J267" i="5"/>
  <c r="H267" i="5"/>
  <c r="G267" i="5"/>
  <c r="F267" i="5"/>
  <c r="E267" i="5"/>
  <c r="D267" i="5"/>
  <c r="C267" i="5"/>
  <c r="B267" i="5"/>
  <c r="A267" i="5"/>
  <c r="J266" i="5"/>
  <c r="H266" i="5"/>
  <c r="G266" i="5"/>
  <c r="F266" i="5"/>
  <c r="E266" i="5"/>
  <c r="D266" i="5"/>
  <c r="C266" i="5"/>
  <c r="B266" i="5"/>
  <c r="A266" i="5"/>
  <c r="J265" i="5"/>
  <c r="H265" i="5"/>
  <c r="G265" i="5"/>
  <c r="F265" i="5"/>
  <c r="E265" i="5"/>
  <c r="D265" i="5"/>
  <c r="C265" i="5"/>
  <c r="B265" i="5"/>
  <c r="A265" i="5"/>
  <c r="J264" i="5"/>
  <c r="H264" i="5"/>
  <c r="G264" i="5"/>
  <c r="F264" i="5"/>
  <c r="E264" i="5"/>
  <c r="D264" i="5"/>
  <c r="C264" i="5"/>
  <c r="B264" i="5"/>
  <c r="A264" i="5"/>
  <c r="J263" i="5"/>
  <c r="H263" i="5"/>
  <c r="G263" i="5"/>
  <c r="F263" i="5"/>
  <c r="E263" i="5"/>
  <c r="D263" i="5"/>
  <c r="C263" i="5"/>
  <c r="B263" i="5"/>
  <c r="A263" i="5"/>
  <c r="J262" i="5"/>
  <c r="H262" i="5"/>
  <c r="G262" i="5"/>
  <c r="F262" i="5"/>
  <c r="E262" i="5"/>
  <c r="D262" i="5"/>
  <c r="C262" i="5"/>
  <c r="B262" i="5"/>
  <c r="A262" i="5"/>
  <c r="J261" i="5"/>
  <c r="H261" i="5"/>
  <c r="G261" i="5"/>
  <c r="F261" i="5"/>
  <c r="E261" i="5"/>
  <c r="D261" i="5"/>
  <c r="C261" i="5"/>
  <c r="B261" i="5"/>
  <c r="A261" i="5"/>
  <c r="J260" i="5"/>
  <c r="H260" i="5"/>
  <c r="G260" i="5"/>
  <c r="F260" i="5"/>
  <c r="E260" i="5"/>
  <c r="D260" i="5"/>
  <c r="C260" i="5"/>
  <c r="B260" i="5"/>
  <c r="A260" i="5"/>
  <c r="J259" i="5"/>
  <c r="H259" i="5"/>
  <c r="G259" i="5"/>
  <c r="F259" i="5"/>
  <c r="E259" i="5"/>
  <c r="D259" i="5"/>
  <c r="C259" i="5"/>
  <c r="B259" i="5"/>
  <c r="A259" i="5"/>
  <c r="J258" i="5"/>
  <c r="H258" i="5"/>
  <c r="G258" i="5"/>
  <c r="F258" i="5"/>
  <c r="E258" i="5"/>
  <c r="D258" i="5"/>
  <c r="C258" i="5"/>
  <c r="B258" i="5"/>
  <c r="A258" i="5"/>
  <c r="J257" i="5"/>
  <c r="H257" i="5"/>
  <c r="G257" i="5"/>
  <c r="F257" i="5"/>
  <c r="E257" i="5"/>
  <c r="D257" i="5"/>
  <c r="C257" i="5"/>
  <c r="B257" i="5"/>
  <c r="A257" i="5"/>
  <c r="J256" i="5"/>
  <c r="H256" i="5"/>
  <c r="G256" i="5"/>
  <c r="F256" i="5"/>
  <c r="E256" i="5"/>
  <c r="D256" i="5"/>
  <c r="C256" i="5"/>
  <c r="B256" i="5"/>
  <c r="A256" i="5"/>
  <c r="J255" i="5"/>
  <c r="H255" i="5"/>
  <c r="G255" i="5"/>
  <c r="F255" i="5"/>
  <c r="E255" i="5"/>
  <c r="D255" i="5"/>
  <c r="C255" i="5"/>
  <c r="B255" i="5"/>
  <c r="A255" i="5"/>
  <c r="J254" i="5"/>
  <c r="H254" i="5"/>
  <c r="G254" i="5"/>
  <c r="F254" i="5"/>
  <c r="E254" i="5"/>
  <c r="D254" i="5"/>
  <c r="C254" i="5"/>
  <c r="B254" i="5"/>
  <c r="A254" i="5"/>
  <c r="J253" i="5"/>
  <c r="H253" i="5"/>
  <c r="G253" i="5"/>
  <c r="F253" i="5"/>
  <c r="E253" i="5"/>
  <c r="D253" i="5"/>
  <c r="C253" i="5"/>
  <c r="B253" i="5"/>
  <c r="A253" i="5"/>
  <c r="J252" i="5"/>
  <c r="H252" i="5"/>
  <c r="G252" i="5"/>
  <c r="F252" i="5"/>
  <c r="E252" i="5"/>
  <c r="D252" i="5"/>
  <c r="C252" i="5"/>
  <c r="B252" i="5"/>
  <c r="A252" i="5"/>
  <c r="J251" i="5"/>
  <c r="H251" i="5"/>
  <c r="G251" i="5"/>
  <c r="F251" i="5"/>
  <c r="E251" i="5"/>
  <c r="D251" i="5"/>
  <c r="C251" i="5"/>
  <c r="B251" i="5"/>
  <c r="A251" i="5"/>
  <c r="J250" i="5"/>
  <c r="H250" i="5"/>
  <c r="G250" i="5"/>
  <c r="F250" i="5"/>
  <c r="E250" i="5"/>
  <c r="D250" i="5"/>
  <c r="C250" i="5"/>
  <c r="B250" i="5"/>
  <c r="A250" i="5"/>
  <c r="J249" i="5"/>
  <c r="H249" i="5"/>
  <c r="G249" i="5"/>
  <c r="F249" i="5"/>
  <c r="E249" i="5"/>
  <c r="D249" i="5"/>
  <c r="C249" i="5"/>
  <c r="B249" i="5"/>
  <c r="A249" i="5"/>
  <c r="J248" i="5"/>
  <c r="H248" i="5"/>
  <c r="G248" i="5"/>
  <c r="F248" i="5"/>
  <c r="E248" i="5"/>
  <c r="D248" i="5"/>
  <c r="C248" i="5"/>
  <c r="B248" i="5"/>
  <c r="A248" i="5"/>
  <c r="J247" i="5"/>
  <c r="H247" i="5"/>
  <c r="G247" i="5"/>
  <c r="F247" i="5"/>
  <c r="E247" i="5"/>
  <c r="D247" i="5"/>
  <c r="C247" i="5"/>
  <c r="B247" i="5"/>
  <c r="A247" i="5"/>
  <c r="J246" i="5"/>
  <c r="H246" i="5"/>
  <c r="G246" i="5"/>
  <c r="F246" i="5"/>
  <c r="E246" i="5"/>
  <c r="D246" i="5"/>
  <c r="C246" i="5"/>
  <c r="B246" i="5"/>
  <c r="A246" i="5"/>
  <c r="J245" i="5"/>
  <c r="H245" i="5"/>
  <c r="G245" i="5"/>
  <c r="F245" i="5"/>
  <c r="E245" i="5"/>
  <c r="D245" i="5"/>
  <c r="C245" i="5"/>
  <c r="B245" i="5"/>
  <c r="A245" i="5"/>
  <c r="J244" i="5"/>
  <c r="H244" i="5"/>
  <c r="G244" i="5"/>
  <c r="F244" i="5"/>
  <c r="E244" i="5"/>
  <c r="D244" i="5"/>
  <c r="C244" i="5"/>
  <c r="B244" i="5"/>
  <c r="A244" i="5"/>
  <c r="J243" i="5"/>
  <c r="H243" i="5"/>
  <c r="G243" i="5"/>
  <c r="F243" i="5"/>
  <c r="E243" i="5"/>
  <c r="D243" i="5"/>
  <c r="C243" i="5"/>
  <c r="B243" i="5"/>
  <c r="A243" i="5"/>
  <c r="J242" i="5"/>
  <c r="H242" i="5"/>
  <c r="G242" i="5"/>
  <c r="F242" i="5"/>
  <c r="E242" i="5"/>
  <c r="D242" i="5"/>
  <c r="C242" i="5"/>
  <c r="B242" i="5"/>
  <c r="A242" i="5"/>
  <c r="J241" i="5"/>
  <c r="H241" i="5"/>
  <c r="G241" i="5"/>
  <c r="F241" i="5"/>
  <c r="E241" i="5"/>
  <c r="D241" i="5"/>
  <c r="C241" i="5"/>
  <c r="B241" i="5"/>
  <c r="A241" i="5"/>
  <c r="J240" i="5"/>
  <c r="H240" i="5"/>
  <c r="G240" i="5"/>
  <c r="F240" i="5"/>
  <c r="E240" i="5"/>
  <c r="D240" i="5"/>
  <c r="C240" i="5"/>
  <c r="B240" i="5"/>
  <c r="A240" i="5"/>
  <c r="J239" i="5"/>
  <c r="H239" i="5"/>
  <c r="G239" i="5"/>
  <c r="F239" i="5"/>
  <c r="E239" i="5"/>
  <c r="D239" i="5"/>
  <c r="C239" i="5"/>
  <c r="B239" i="5"/>
  <c r="A239" i="5"/>
  <c r="J238" i="5"/>
  <c r="H238" i="5"/>
  <c r="G238" i="5"/>
  <c r="F238" i="5"/>
  <c r="E238" i="5"/>
  <c r="D238" i="5"/>
  <c r="C238" i="5"/>
  <c r="B238" i="5"/>
  <c r="A238" i="5"/>
  <c r="J237" i="5"/>
  <c r="H237" i="5"/>
  <c r="G237" i="5"/>
  <c r="F237" i="5"/>
  <c r="E237" i="5"/>
  <c r="D237" i="5"/>
  <c r="C237" i="5"/>
  <c r="B237" i="5"/>
  <c r="A237" i="5"/>
  <c r="J236" i="5"/>
  <c r="H236" i="5"/>
  <c r="G236" i="5"/>
  <c r="F236" i="5"/>
  <c r="E236" i="5"/>
  <c r="D236" i="5"/>
  <c r="C236" i="5"/>
  <c r="B236" i="5"/>
  <c r="A236" i="5"/>
  <c r="J235" i="5"/>
  <c r="H235" i="5"/>
  <c r="G235" i="5"/>
  <c r="F235" i="5"/>
  <c r="E235" i="5"/>
  <c r="D235" i="5"/>
  <c r="C235" i="5"/>
  <c r="B235" i="5"/>
  <c r="A235" i="5"/>
  <c r="J234" i="5"/>
  <c r="H234" i="5"/>
  <c r="G234" i="5"/>
  <c r="F234" i="5"/>
  <c r="E234" i="5"/>
  <c r="D234" i="5"/>
  <c r="C234" i="5"/>
  <c r="B234" i="5"/>
  <c r="A234" i="5"/>
  <c r="J233" i="5"/>
  <c r="H233" i="5"/>
  <c r="G233" i="5"/>
  <c r="F233" i="5"/>
  <c r="E233" i="5"/>
  <c r="D233" i="5"/>
  <c r="C233" i="5"/>
  <c r="B233" i="5"/>
  <c r="A233" i="5"/>
  <c r="J232" i="5"/>
  <c r="H232" i="5"/>
  <c r="G232" i="5"/>
  <c r="F232" i="5"/>
  <c r="E232" i="5"/>
  <c r="D232" i="5"/>
  <c r="C232" i="5"/>
  <c r="B232" i="5"/>
  <c r="A232" i="5"/>
  <c r="J231" i="5"/>
  <c r="H231" i="5"/>
  <c r="G231" i="5"/>
  <c r="F231" i="5"/>
  <c r="E231" i="5"/>
  <c r="D231" i="5"/>
  <c r="C231" i="5"/>
  <c r="B231" i="5"/>
  <c r="A231" i="5"/>
  <c r="J230" i="5"/>
  <c r="H230" i="5"/>
  <c r="G230" i="5"/>
  <c r="F230" i="5"/>
  <c r="E230" i="5"/>
  <c r="D230" i="5"/>
  <c r="C230" i="5"/>
  <c r="B230" i="5"/>
  <c r="A230" i="5"/>
  <c r="J229" i="5"/>
  <c r="H229" i="5"/>
  <c r="G229" i="5"/>
  <c r="F229" i="5"/>
  <c r="E229" i="5"/>
  <c r="D229" i="5"/>
  <c r="C229" i="5"/>
  <c r="B229" i="5"/>
  <c r="A229" i="5"/>
  <c r="J228" i="5"/>
  <c r="H228" i="5"/>
  <c r="G228" i="5"/>
  <c r="F228" i="5"/>
  <c r="E228" i="5"/>
  <c r="D228" i="5"/>
  <c r="C228" i="5"/>
  <c r="B228" i="5"/>
  <c r="A228" i="5"/>
  <c r="J227" i="5"/>
  <c r="H227" i="5"/>
  <c r="G227" i="5"/>
  <c r="F227" i="5"/>
  <c r="E227" i="5"/>
  <c r="D227" i="5"/>
  <c r="C227" i="5"/>
  <c r="B227" i="5"/>
  <c r="A227" i="5"/>
  <c r="J226" i="5"/>
  <c r="H226" i="5"/>
  <c r="G226" i="5"/>
  <c r="F226" i="5"/>
  <c r="E226" i="5"/>
  <c r="D226" i="5"/>
  <c r="C226" i="5"/>
  <c r="B226" i="5"/>
  <c r="A226" i="5"/>
  <c r="J225" i="5"/>
  <c r="H225" i="5"/>
  <c r="G225" i="5"/>
  <c r="F225" i="5"/>
  <c r="E225" i="5"/>
  <c r="D225" i="5"/>
  <c r="C225" i="5"/>
  <c r="B225" i="5"/>
  <c r="A225" i="5"/>
  <c r="J224" i="5"/>
  <c r="H224" i="5"/>
  <c r="G224" i="5"/>
  <c r="F224" i="5"/>
  <c r="E224" i="5"/>
  <c r="D224" i="5"/>
  <c r="C224" i="5"/>
  <c r="B224" i="5"/>
  <c r="A224" i="5"/>
  <c r="J223" i="5"/>
  <c r="H223" i="5"/>
  <c r="G223" i="5"/>
  <c r="F223" i="5"/>
  <c r="E223" i="5"/>
  <c r="D223" i="5"/>
  <c r="C223" i="5"/>
  <c r="B223" i="5"/>
  <c r="A223" i="5"/>
  <c r="J222" i="5"/>
  <c r="H222" i="5"/>
  <c r="G222" i="5"/>
  <c r="F222" i="5"/>
  <c r="E222" i="5"/>
  <c r="D222" i="5"/>
  <c r="C222" i="5"/>
  <c r="B222" i="5"/>
  <c r="A222" i="5"/>
  <c r="J221" i="5"/>
  <c r="H221" i="5"/>
  <c r="G221" i="5"/>
  <c r="F221" i="5"/>
  <c r="E221" i="5"/>
  <c r="D221" i="5"/>
  <c r="C221" i="5"/>
  <c r="B221" i="5"/>
  <c r="A221" i="5"/>
  <c r="J220" i="5"/>
  <c r="H220" i="5"/>
  <c r="G220" i="5"/>
  <c r="F220" i="5"/>
  <c r="E220" i="5"/>
  <c r="D220" i="5"/>
  <c r="C220" i="5"/>
  <c r="B220" i="5"/>
  <c r="A220" i="5"/>
  <c r="J219" i="5"/>
  <c r="H219" i="5"/>
  <c r="G219" i="5"/>
  <c r="F219" i="5"/>
  <c r="E219" i="5"/>
  <c r="D219" i="5"/>
  <c r="C219" i="5"/>
  <c r="B219" i="5"/>
  <c r="A219" i="5"/>
  <c r="J218" i="5"/>
  <c r="H218" i="5"/>
  <c r="G218" i="5"/>
  <c r="F218" i="5"/>
  <c r="E218" i="5"/>
  <c r="D218" i="5"/>
  <c r="C218" i="5"/>
  <c r="B218" i="5"/>
  <c r="A218" i="5"/>
  <c r="J217" i="5"/>
  <c r="H217" i="5"/>
  <c r="G217" i="5"/>
  <c r="F217" i="5"/>
  <c r="E217" i="5"/>
  <c r="D217" i="5"/>
  <c r="C217" i="5"/>
  <c r="B217" i="5"/>
  <c r="A217" i="5"/>
  <c r="J216" i="5"/>
  <c r="H216" i="5"/>
  <c r="G216" i="5"/>
  <c r="F216" i="5"/>
  <c r="E216" i="5"/>
  <c r="D216" i="5"/>
  <c r="C216" i="5"/>
  <c r="B216" i="5"/>
  <c r="A216" i="5"/>
  <c r="J215" i="5"/>
  <c r="H215" i="5"/>
  <c r="G215" i="5"/>
  <c r="F215" i="5"/>
  <c r="E215" i="5"/>
  <c r="D215" i="5"/>
  <c r="C215" i="5"/>
  <c r="B215" i="5"/>
  <c r="A215" i="5"/>
  <c r="J214" i="5"/>
  <c r="H214" i="5"/>
  <c r="G214" i="5"/>
  <c r="F214" i="5"/>
  <c r="E214" i="5"/>
  <c r="D214" i="5"/>
  <c r="C214" i="5"/>
  <c r="B214" i="5"/>
  <c r="A214" i="5"/>
  <c r="J213" i="5"/>
  <c r="H213" i="5"/>
  <c r="G213" i="5"/>
  <c r="F213" i="5"/>
  <c r="E213" i="5"/>
  <c r="D213" i="5"/>
  <c r="C213" i="5"/>
  <c r="B213" i="5"/>
  <c r="A213" i="5"/>
  <c r="J212" i="5"/>
  <c r="H212" i="5"/>
  <c r="G212" i="5"/>
  <c r="F212" i="5"/>
  <c r="E212" i="5"/>
  <c r="D212" i="5"/>
  <c r="C212" i="5"/>
  <c r="B212" i="5"/>
  <c r="A212" i="5"/>
  <c r="J211" i="5"/>
  <c r="H211" i="5"/>
  <c r="G211" i="5"/>
  <c r="F211" i="5"/>
  <c r="E211" i="5"/>
  <c r="D211" i="5"/>
  <c r="C211" i="5"/>
  <c r="B211" i="5"/>
  <c r="A211" i="5"/>
  <c r="J210" i="5"/>
  <c r="H210" i="5"/>
  <c r="G210" i="5"/>
  <c r="F210" i="5"/>
  <c r="E210" i="5"/>
  <c r="D210" i="5"/>
  <c r="C210" i="5"/>
  <c r="B210" i="5"/>
  <c r="A210" i="5"/>
  <c r="J209" i="5"/>
  <c r="H209" i="5"/>
  <c r="G209" i="5"/>
  <c r="F209" i="5"/>
  <c r="E209" i="5"/>
  <c r="D209" i="5"/>
  <c r="C209" i="5"/>
  <c r="B209" i="5"/>
  <c r="A209" i="5"/>
  <c r="J208" i="5"/>
  <c r="H208" i="5"/>
  <c r="G208" i="5"/>
  <c r="F208" i="5"/>
  <c r="E208" i="5"/>
  <c r="D208" i="5"/>
  <c r="C208" i="5"/>
  <c r="B208" i="5"/>
  <c r="A208" i="5"/>
  <c r="J207" i="5"/>
  <c r="H207" i="5"/>
  <c r="G207" i="5"/>
  <c r="F207" i="5"/>
  <c r="E207" i="5"/>
  <c r="D207" i="5"/>
  <c r="C207" i="5"/>
  <c r="B207" i="5"/>
  <c r="A207" i="5"/>
  <c r="J206" i="5"/>
  <c r="H206" i="5"/>
  <c r="G206" i="5"/>
  <c r="F206" i="5"/>
  <c r="E206" i="5"/>
  <c r="D206" i="5"/>
  <c r="C206" i="5"/>
  <c r="B206" i="5"/>
  <c r="A206" i="5"/>
  <c r="J205" i="5"/>
  <c r="H205" i="5"/>
  <c r="G205" i="5"/>
  <c r="F205" i="5"/>
  <c r="E205" i="5"/>
  <c r="D205" i="5"/>
  <c r="C205" i="5"/>
  <c r="B205" i="5"/>
  <c r="A205" i="5"/>
  <c r="J204" i="5"/>
  <c r="H204" i="5"/>
  <c r="G204" i="5"/>
  <c r="F204" i="5"/>
  <c r="E204" i="5"/>
  <c r="D204" i="5"/>
  <c r="C204" i="5"/>
  <c r="B204" i="5"/>
  <c r="A204" i="5"/>
  <c r="J203" i="5"/>
  <c r="H203" i="5"/>
  <c r="G203" i="5"/>
  <c r="F203" i="5"/>
  <c r="E203" i="5"/>
  <c r="D203" i="5"/>
  <c r="C203" i="5"/>
  <c r="B203" i="5"/>
  <c r="A203" i="5"/>
  <c r="J202" i="5"/>
  <c r="H202" i="5"/>
  <c r="G202" i="5"/>
  <c r="F202" i="5"/>
  <c r="E202" i="5"/>
  <c r="D202" i="5"/>
  <c r="C202" i="5"/>
  <c r="B202" i="5"/>
  <c r="A202" i="5"/>
  <c r="J201" i="5"/>
  <c r="H201" i="5"/>
  <c r="G201" i="5"/>
  <c r="F201" i="5"/>
  <c r="E201" i="5"/>
  <c r="D201" i="5"/>
  <c r="C201" i="5"/>
  <c r="B201" i="5"/>
  <c r="A201" i="5"/>
  <c r="J200" i="5"/>
  <c r="H200" i="5"/>
  <c r="G200" i="5"/>
  <c r="F200" i="5"/>
  <c r="E200" i="5"/>
  <c r="D200" i="5"/>
  <c r="C200" i="5"/>
  <c r="B200" i="5"/>
  <c r="A200" i="5"/>
  <c r="J199" i="5"/>
  <c r="H199" i="5"/>
  <c r="G199" i="5"/>
  <c r="F199" i="5"/>
  <c r="E199" i="5"/>
  <c r="D199" i="5"/>
  <c r="C199" i="5"/>
  <c r="B199" i="5"/>
  <c r="A199" i="5"/>
  <c r="J198" i="5"/>
  <c r="H198" i="5"/>
  <c r="G198" i="5"/>
  <c r="F198" i="5"/>
  <c r="E198" i="5"/>
  <c r="D198" i="5"/>
  <c r="C198" i="5"/>
  <c r="B198" i="5"/>
  <c r="A198" i="5"/>
  <c r="J197" i="5"/>
  <c r="H197" i="5"/>
  <c r="G197" i="5"/>
  <c r="F197" i="5"/>
  <c r="E197" i="5"/>
  <c r="D197" i="5"/>
  <c r="C197" i="5"/>
  <c r="B197" i="5"/>
  <c r="A197" i="5"/>
  <c r="J196" i="5"/>
  <c r="H196" i="5"/>
  <c r="G196" i="5"/>
  <c r="F196" i="5"/>
  <c r="E196" i="5"/>
  <c r="D196" i="5"/>
  <c r="C196" i="5"/>
  <c r="B196" i="5"/>
  <c r="A196" i="5"/>
  <c r="J195" i="5"/>
  <c r="H195" i="5"/>
  <c r="G195" i="5"/>
  <c r="F195" i="5"/>
  <c r="E195" i="5"/>
  <c r="D195" i="5"/>
  <c r="C195" i="5"/>
  <c r="B195" i="5"/>
  <c r="A195" i="5"/>
  <c r="J194" i="5"/>
  <c r="H194" i="5"/>
  <c r="G194" i="5"/>
  <c r="F194" i="5"/>
  <c r="E194" i="5"/>
  <c r="D194" i="5"/>
  <c r="C194" i="5"/>
  <c r="B194" i="5"/>
  <c r="A194" i="5"/>
  <c r="J193" i="5"/>
  <c r="H193" i="5"/>
  <c r="G193" i="5"/>
  <c r="F193" i="5"/>
  <c r="E193" i="5"/>
  <c r="D193" i="5"/>
  <c r="C193" i="5"/>
  <c r="B193" i="5"/>
  <c r="A193" i="5"/>
  <c r="J192" i="5"/>
  <c r="H192" i="5"/>
  <c r="G192" i="5"/>
  <c r="F192" i="5"/>
  <c r="E192" i="5"/>
  <c r="D192" i="5"/>
  <c r="C192" i="5"/>
  <c r="B192" i="5"/>
  <c r="A192" i="5"/>
  <c r="J191" i="5"/>
  <c r="H191" i="5"/>
  <c r="G191" i="5"/>
  <c r="F191" i="5"/>
  <c r="E191" i="5"/>
  <c r="D191" i="5"/>
  <c r="C191" i="5"/>
  <c r="B191" i="5"/>
  <c r="A191" i="5"/>
  <c r="J190" i="5"/>
  <c r="H190" i="5"/>
  <c r="G190" i="5"/>
  <c r="F190" i="5"/>
  <c r="E190" i="5"/>
  <c r="D190" i="5"/>
  <c r="C190" i="5"/>
  <c r="B190" i="5"/>
  <c r="A190" i="5"/>
  <c r="J189" i="5"/>
  <c r="H189" i="5"/>
  <c r="G189" i="5"/>
  <c r="F189" i="5"/>
  <c r="E189" i="5"/>
  <c r="D189" i="5"/>
  <c r="C189" i="5"/>
  <c r="B189" i="5"/>
  <c r="A189" i="5"/>
  <c r="J188" i="5"/>
  <c r="H188" i="5"/>
  <c r="G188" i="5"/>
  <c r="F188" i="5"/>
  <c r="E188" i="5"/>
  <c r="D188" i="5"/>
  <c r="C188" i="5"/>
  <c r="B188" i="5"/>
  <c r="A188" i="5"/>
  <c r="J187" i="5"/>
  <c r="H187" i="5"/>
  <c r="G187" i="5"/>
  <c r="F187" i="5"/>
  <c r="E187" i="5"/>
  <c r="D187" i="5"/>
  <c r="C187" i="5"/>
  <c r="B187" i="5"/>
  <c r="A187" i="5"/>
  <c r="J186" i="5"/>
  <c r="H186" i="5"/>
  <c r="G186" i="5"/>
  <c r="F186" i="5"/>
  <c r="E186" i="5"/>
  <c r="D186" i="5"/>
  <c r="C186" i="5"/>
  <c r="B186" i="5"/>
  <c r="A186" i="5"/>
  <c r="J185" i="5"/>
  <c r="H185" i="5"/>
  <c r="G185" i="5"/>
  <c r="F185" i="5"/>
  <c r="E185" i="5"/>
  <c r="D185" i="5"/>
  <c r="C185" i="5"/>
  <c r="B185" i="5"/>
  <c r="A185" i="5"/>
  <c r="J184" i="5"/>
  <c r="H184" i="5"/>
  <c r="G184" i="5"/>
  <c r="F184" i="5"/>
  <c r="E184" i="5"/>
  <c r="D184" i="5"/>
  <c r="C184" i="5"/>
  <c r="B184" i="5"/>
  <c r="A184" i="5"/>
  <c r="J183" i="5"/>
  <c r="H183" i="5"/>
  <c r="G183" i="5"/>
  <c r="F183" i="5"/>
  <c r="E183" i="5"/>
  <c r="D183" i="5"/>
  <c r="C183" i="5"/>
  <c r="B183" i="5"/>
  <c r="A183" i="5"/>
  <c r="J182" i="5"/>
  <c r="H182" i="5"/>
  <c r="G182" i="5"/>
  <c r="F182" i="5"/>
  <c r="E182" i="5"/>
  <c r="D182" i="5"/>
  <c r="C182" i="5"/>
  <c r="B182" i="5"/>
  <c r="A182" i="5"/>
  <c r="J181" i="5"/>
  <c r="H181" i="5"/>
  <c r="G181" i="5"/>
  <c r="F181" i="5"/>
  <c r="E181" i="5"/>
  <c r="D181" i="5"/>
  <c r="C181" i="5"/>
  <c r="B181" i="5"/>
  <c r="A181" i="5"/>
  <c r="J180" i="5"/>
  <c r="H180" i="5"/>
  <c r="G180" i="5"/>
  <c r="F180" i="5"/>
  <c r="E180" i="5"/>
  <c r="D180" i="5"/>
  <c r="C180" i="5"/>
  <c r="B180" i="5"/>
  <c r="A180" i="5"/>
  <c r="J179" i="5"/>
  <c r="H179" i="5"/>
  <c r="G179" i="5"/>
  <c r="F179" i="5"/>
  <c r="E179" i="5"/>
  <c r="D179" i="5"/>
  <c r="C179" i="5"/>
  <c r="B179" i="5"/>
  <c r="A179" i="5"/>
  <c r="J178" i="5"/>
  <c r="H178" i="5"/>
  <c r="G178" i="5"/>
  <c r="F178" i="5"/>
  <c r="E178" i="5"/>
  <c r="D178" i="5"/>
  <c r="C178" i="5"/>
  <c r="B178" i="5"/>
  <c r="A178" i="5"/>
  <c r="J177" i="5"/>
  <c r="H177" i="5"/>
  <c r="G177" i="5"/>
  <c r="F177" i="5"/>
  <c r="E177" i="5"/>
  <c r="D177" i="5"/>
  <c r="C177" i="5"/>
  <c r="B177" i="5"/>
  <c r="A177" i="5"/>
  <c r="J176" i="5"/>
  <c r="H176" i="5"/>
  <c r="G176" i="5"/>
  <c r="F176" i="5"/>
  <c r="E176" i="5"/>
  <c r="D176" i="5"/>
  <c r="C176" i="5"/>
  <c r="B176" i="5"/>
  <c r="A176" i="5"/>
  <c r="J175" i="5"/>
  <c r="H175" i="5"/>
  <c r="G175" i="5"/>
  <c r="F175" i="5"/>
  <c r="E175" i="5"/>
  <c r="D175" i="5"/>
  <c r="C175" i="5"/>
  <c r="B175" i="5"/>
  <c r="A175" i="5"/>
  <c r="J174" i="5"/>
  <c r="H174" i="5"/>
  <c r="G174" i="5"/>
  <c r="F174" i="5"/>
  <c r="E174" i="5"/>
  <c r="D174" i="5"/>
  <c r="C174" i="5"/>
  <c r="B174" i="5"/>
  <c r="A174" i="5"/>
  <c r="J173" i="5"/>
  <c r="H173" i="5"/>
  <c r="G173" i="5"/>
  <c r="F173" i="5"/>
  <c r="E173" i="5"/>
  <c r="D173" i="5"/>
  <c r="C173" i="5"/>
  <c r="B173" i="5"/>
  <c r="A173" i="5"/>
  <c r="J172" i="5"/>
  <c r="H172" i="5"/>
  <c r="G172" i="5"/>
  <c r="F172" i="5"/>
  <c r="E172" i="5"/>
  <c r="D172" i="5"/>
  <c r="C172" i="5"/>
  <c r="B172" i="5"/>
  <c r="A172" i="5"/>
  <c r="J171" i="5"/>
  <c r="H171" i="5"/>
  <c r="G171" i="5"/>
  <c r="F171" i="5"/>
  <c r="E171" i="5"/>
  <c r="D171" i="5"/>
  <c r="C171" i="5"/>
  <c r="B171" i="5"/>
  <c r="A171" i="5"/>
  <c r="J170" i="5"/>
  <c r="H170" i="5"/>
  <c r="G170" i="5"/>
  <c r="F170" i="5"/>
  <c r="E170" i="5"/>
  <c r="D170" i="5"/>
  <c r="C170" i="5"/>
  <c r="B170" i="5"/>
  <c r="A170" i="5"/>
  <c r="J169" i="5"/>
  <c r="H169" i="5"/>
  <c r="G169" i="5"/>
  <c r="F169" i="5"/>
  <c r="E169" i="5"/>
  <c r="D169" i="5"/>
  <c r="C169" i="5"/>
  <c r="B169" i="5"/>
  <c r="A169" i="5"/>
  <c r="J168" i="5"/>
  <c r="H168" i="5"/>
  <c r="G168" i="5"/>
  <c r="F168" i="5"/>
  <c r="E168" i="5"/>
  <c r="D168" i="5"/>
  <c r="C168" i="5"/>
  <c r="B168" i="5"/>
  <c r="A168" i="5"/>
  <c r="J167" i="5"/>
  <c r="H167" i="5"/>
  <c r="G167" i="5"/>
  <c r="F167" i="5"/>
  <c r="E167" i="5"/>
  <c r="D167" i="5"/>
  <c r="C167" i="5"/>
  <c r="B167" i="5"/>
  <c r="A167" i="5"/>
  <c r="J166" i="5"/>
  <c r="H166" i="5"/>
  <c r="G166" i="5"/>
  <c r="F166" i="5"/>
  <c r="E166" i="5"/>
  <c r="D166" i="5"/>
  <c r="C166" i="5"/>
  <c r="B166" i="5"/>
  <c r="A166" i="5"/>
  <c r="J165" i="5"/>
  <c r="H165" i="5"/>
  <c r="G165" i="5"/>
  <c r="F165" i="5"/>
  <c r="E165" i="5"/>
  <c r="D165" i="5"/>
  <c r="C165" i="5"/>
  <c r="B165" i="5"/>
  <c r="A165" i="5"/>
  <c r="J164" i="5"/>
  <c r="H164" i="5"/>
  <c r="G164" i="5"/>
  <c r="F164" i="5"/>
  <c r="E164" i="5"/>
  <c r="D164" i="5"/>
  <c r="C164" i="5"/>
  <c r="B164" i="5"/>
  <c r="A164" i="5"/>
  <c r="J163" i="5"/>
  <c r="H163" i="5"/>
  <c r="G163" i="5"/>
  <c r="F163" i="5"/>
  <c r="E163" i="5"/>
  <c r="D163" i="5"/>
  <c r="C163" i="5"/>
  <c r="B163" i="5"/>
  <c r="A163" i="5"/>
  <c r="J162" i="5"/>
  <c r="H162" i="5"/>
  <c r="G162" i="5"/>
  <c r="F162" i="5"/>
  <c r="E162" i="5"/>
  <c r="D162" i="5"/>
  <c r="C162" i="5"/>
  <c r="B162" i="5"/>
  <c r="A162" i="5"/>
  <c r="J161" i="5"/>
  <c r="H161" i="5"/>
  <c r="G161" i="5"/>
  <c r="F161" i="5"/>
  <c r="E161" i="5"/>
  <c r="D161" i="5"/>
  <c r="C161" i="5"/>
  <c r="B161" i="5"/>
  <c r="A161" i="5"/>
  <c r="J160" i="5"/>
  <c r="H160" i="5"/>
  <c r="G160" i="5"/>
  <c r="F160" i="5"/>
  <c r="E160" i="5"/>
  <c r="D160" i="5"/>
  <c r="C160" i="5"/>
  <c r="B160" i="5"/>
  <c r="A160" i="5"/>
  <c r="J159" i="5"/>
  <c r="H159" i="5"/>
  <c r="G159" i="5"/>
  <c r="F159" i="5"/>
  <c r="E159" i="5"/>
  <c r="D159" i="5"/>
  <c r="C159" i="5"/>
  <c r="B159" i="5"/>
  <c r="A159" i="5"/>
  <c r="J158" i="5"/>
  <c r="H158" i="5"/>
  <c r="G158" i="5"/>
  <c r="F158" i="5"/>
  <c r="E158" i="5"/>
  <c r="D158" i="5"/>
  <c r="C158" i="5"/>
  <c r="B158" i="5"/>
  <c r="A158" i="5"/>
  <c r="J157" i="5"/>
  <c r="H157" i="5"/>
  <c r="G157" i="5"/>
  <c r="F157" i="5"/>
  <c r="E157" i="5"/>
  <c r="D157" i="5"/>
  <c r="C157" i="5"/>
  <c r="B157" i="5"/>
  <c r="A157" i="5"/>
  <c r="J156" i="5"/>
  <c r="H156" i="5"/>
  <c r="G156" i="5"/>
  <c r="F156" i="5"/>
  <c r="E156" i="5"/>
  <c r="D156" i="5"/>
  <c r="C156" i="5"/>
  <c r="B156" i="5"/>
  <c r="A156" i="5"/>
  <c r="J155" i="5"/>
  <c r="H155" i="5"/>
  <c r="G155" i="5"/>
  <c r="F155" i="5"/>
  <c r="E155" i="5"/>
  <c r="D155" i="5"/>
  <c r="C155" i="5"/>
  <c r="B155" i="5"/>
  <c r="A155" i="5"/>
  <c r="J154" i="5"/>
  <c r="H154" i="5"/>
  <c r="G154" i="5"/>
  <c r="F154" i="5"/>
  <c r="E154" i="5"/>
  <c r="D154" i="5"/>
  <c r="C154" i="5"/>
  <c r="B154" i="5"/>
  <c r="A154" i="5"/>
  <c r="J153" i="5"/>
  <c r="H153" i="5"/>
  <c r="G153" i="5"/>
  <c r="F153" i="5"/>
  <c r="E153" i="5"/>
  <c r="D153" i="5"/>
  <c r="C153" i="5"/>
  <c r="B153" i="5"/>
  <c r="A153" i="5"/>
  <c r="J152" i="5"/>
  <c r="H152" i="5"/>
  <c r="G152" i="5"/>
  <c r="F152" i="5"/>
  <c r="E152" i="5"/>
  <c r="D152" i="5"/>
  <c r="C152" i="5"/>
  <c r="B152" i="5"/>
  <c r="A152" i="5"/>
  <c r="J151" i="5"/>
  <c r="H151" i="5"/>
  <c r="G151" i="5"/>
  <c r="F151" i="5"/>
  <c r="E151" i="5"/>
  <c r="D151" i="5"/>
  <c r="C151" i="5"/>
  <c r="B151" i="5"/>
  <c r="A151" i="5"/>
  <c r="J150" i="5"/>
  <c r="H150" i="5"/>
  <c r="G150" i="5"/>
  <c r="F150" i="5"/>
  <c r="E150" i="5"/>
  <c r="D150" i="5"/>
  <c r="C150" i="5"/>
  <c r="B150" i="5"/>
  <c r="A150" i="5"/>
  <c r="J149" i="5"/>
  <c r="H149" i="5"/>
  <c r="G149" i="5"/>
  <c r="F149" i="5"/>
  <c r="E149" i="5"/>
  <c r="D149" i="5"/>
  <c r="C149" i="5"/>
  <c r="B149" i="5"/>
  <c r="A149" i="5"/>
  <c r="J148" i="5"/>
  <c r="H148" i="5"/>
  <c r="G148" i="5"/>
  <c r="F148" i="5"/>
  <c r="E148" i="5"/>
  <c r="D148" i="5"/>
  <c r="C148" i="5"/>
  <c r="B148" i="5"/>
  <c r="A148" i="5"/>
  <c r="J147" i="5"/>
  <c r="H147" i="5"/>
  <c r="G147" i="5"/>
  <c r="F147" i="5"/>
  <c r="E147" i="5"/>
  <c r="D147" i="5"/>
  <c r="C147" i="5"/>
  <c r="B147" i="5"/>
  <c r="A147" i="5"/>
  <c r="J146" i="5"/>
  <c r="H146" i="5"/>
  <c r="G146" i="5"/>
  <c r="F146" i="5"/>
  <c r="E146" i="5"/>
  <c r="D146" i="5"/>
  <c r="C146" i="5"/>
  <c r="B146" i="5"/>
  <c r="A146" i="5"/>
  <c r="J145" i="5"/>
  <c r="H145" i="5"/>
  <c r="G145" i="5"/>
  <c r="F145" i="5"/>
  <c r="E145" i="5"/>
  <c r="D145" i="5"/>
  <c r="C145" i="5"/>
  <c r="B145" i="5"/>
  <c r="A145" i="5"/>
  <c r="J144" i="5"/>
  <c r="H144" i="5"/>
  <c r="G144" i="5"/>
  <c r="F144" i="5"/>
  <c r="E144" i="5"/>
  <c r="D144" i="5"/>
  <c r="C144" i="5"/>
  <c r="B144" i="5"/>
  <c r="A144" i="5"/>
  <c r="J143" i="5"/>
  <c r="H143" i="5"/>
  <c r="G143" i="5"/>
  <c r="F143" i="5"/>
  <c r="E143" i="5"/>
  <c r="D143" i="5"/>
  <c r="C143" i="5"/>
  <c r="B143" i="5"/>
  <c r="A143" i="5"/>
  <c r="J142" i="5"/>
  <c r="H142" i="5"/>
  <c r="G142" i="5"/>
  <c r="F142" i="5"/>
  <c r="E142" i="5"/>
  <c r="D142" i="5"/>
  <c r="C142" i="5"/>
  <c r="B142" i="5"/>
  <c r="A142" i="5"/>
  <c r="J141" i="5"/>
  <c r="H141" i="5"/>
  <c r="G141" i="5"/>
  <c r="F141" i="5"/>
  <c r="E141" i="5"/>
  <c r="D141" i="5"/>
  <c r="C141" i="5"/>
  <c r="B141" i="5"/>
  <c r="A141" i="5"/>
  <c r="J140" i="5"/>
  <c r="H140" i="5"/>
  <c r="G140" i="5"/>
  <c r="F140" i="5"/>
  <c r="E140" i="5"/>
  <c r="D140" i="5"/>
  <c r="C140" i="5"/>
  <c r="B140" i="5"/>
  <c r="A140" i="5"/>
  <c r="J139" i="5"/>
  <c r="H139" i="5"/>
  <c r="G139" i="5"/>
  <c r="F139" i="5"/>
  <c r="E139" i="5"/>
  <c r="D139" i="5"/>
  <c r="C139" i="5"/>
  <c r="B139" i="5"/>
  <c r="A139" i="5"/>
  <c r="J138" i="5"/>
  <c r="H138" i="5"/>
  <c r="G138" i="5"/>
  <c r="F138" i="5"/>
  <c r="E138" i="5"/>
  <c r="D138" i="5"/>
  <c r="C138" i="5"/>
  <c r="B138" i="5"/>
  <c r="A138" i="5"/>
  <c r="J137" i="5"/>
  <c r="H137" i="5"/>
  <c r="G137" i="5"/>
  <c r="F137" i="5"/>
  <c r="E137" i="5"/>
  <c r="D137" i="5"/>
  <c r="C137" i="5"/>
  <c r="B137" i="5"/>
  <c r="A137" i="5"/>
  <c r="J136" i="5"/>
  <c r="H136" i="5"/>
  <c r="G136" i="5"/>
  <c r="F136" i="5"/>
  <c r="E136" i="5"/>
  <c r="D136" i="5"/>
  <c r="C136" i="5"/>
  <c r="B136" i="5"/>
  <c r="A136" i="5"/>
  <c r="J135" i="5"/>
  <c r="H135" i="5"/>
  <c r="G135" i="5"/>
  <c r="F135" i="5"/>
  <c r="E135" i="5"/>
  <c r="D135" i="5"/>
  <c r="C135" i="5"/>
  <c r="B135" i="5"/>
  <c r="A135" i="5"/>
  <c r="J134" i="5"/>
  <c r="H134" i="5"/>
  <c r="G134" i="5"/>
  <c r="F134" i="5"/>
  <c r="E134" i="5"/>
  <c r="D134" i="5"/>
  <c r="C134" i="5"/>
  <c r="B134" i="5"/>
  <c r="A134" i="5"/>
  <c r="J133" i="5"/>
  <c r="H133" i="5"/>
  <c r="G133" i="5"/>
  <c r="F133" i="5"/>
  <c r="E133" i="5"/>
  <c r="D133" i="5"/>
  <c r="C133" i="5"/>
  <c r="B133" i="5"/>
  <c r="A133" i="5"/>
  <c r="J132" i="5"/>
  <c r="H132" i="5"/>
  <c r="G132" i="5"/>
  <c r="F132" i="5"/>
  <c r="E132" i="5"/>
  <c r="D132" i="5"/>
  <c r="C132" i="5"/>
  <c r="B132" i="5"/>
  <c r="A132" i="5"/>
  <c r="J131" i="5"/>
  <c r="H131" i="5"/>
  <c r="G131" i="5"/>
  <c r="F131" i="5"/>
  <c r="E131" i="5"/>
  <c r="D131" i="5"/>
  <c r="C131" i="5"/>
  <c r="B131" i="5"/>
  <c r="A131" i="5"/>
  <c r="J130" i="5"/>
  <c r="H130" i="5"/>
  <c r="G130" i="5"/>
  <c r="F130" i="5"/>
  <c r="E130" i="5"/>
  <c r="D130" i="5"/>
  <c r="C130" i="5"/>
  <c r="B130" i="5"/>
  <c r="A130" i="5"/>
  <c r="J129" i="5"/>
  <c r="H129" i="5"/>
  <c r="G129" i="5"/>
  <c r="F129" i="5"/>
  <c r="E129" i="5"/>
  <c r="D129" i="5"/>
  <c r="C129" i="5"/>
  <c r="B129" i="5"/>
  <c r="A129" i="5"/>
  <c r="J128" i="5"/>
  <c r="H128" i="5"/>
  <c r="G128" i="5"/>
  <c r="F128" i="5"/>
  <c r="E128" i="5"/>
  <c r="D128" i="5"/>
  <c r="C128" i="5"/>
  <c r="B128" i="5"/>
  <c r="A128" i="5"/>
  <c r="J127" i="5"/>
  <c r="H127" i="5"/>
  <c r="G127" i="5"/>
  <c r="F127" i="5"/>
  <c r="E127" i="5"/>
  <c r="D127" i="5"/>
  <c r="C127" i="5"/>
  <c r="B127" i="5"/>
  <c r="A127" i="5"/>
  <c r="J126" i="5"/>
  <c r="H126" i="5"/>
  <c r="G126" i="5"/>
  <c r="F126" i="5"/>
  <c r="E126" i="5"/>
  <c r="D126" i="5"/>
  <c r="C126" i="5"/>
  <c r="B126" i="5"/>
  <c r="A126" i="5"/>
  <c r="J125" i="5"/>
  <c r="H125" i="5"/>
  <c r="G125" i="5"/>
  <c r="F125" i="5"/>
  <c r="E125" i="5"/>
  <c r="D125" i="5"/>
  <c r="C125" i="5"/>
  <c r="B125" i="5"/>
  <c r="A125" i="5"/>
  <c r="J124" i="5"/>
  <c r="H124" i="5"/>
  <c r="G124" i="5"/>
  <c r="F124" i="5"/>
  <c r="E124" i="5"/>
  <c r="D124" i="5"/>
  <c r="C124" i="5"/>
  <c r="B124" i="5"/>
  <c r="A124" i="5"/>
  <c r="J123" i="5"/>
  <c r="H123" i="5"/>
  <c r="G123" i="5"/>
  <c r="F123" i="5"/>
  <c r="E123" i="5"/>
  <c r="D123" i="5"/>
  <c r="C123" i="5"/>
  <c r="B123" i="5"/>
  <c r="A123" i="5"/>
  <c r="J122" i="5"/>
  <c r="H122" i="5"/>
  <c r="G122" i="5"/>
  <c r="F122" i="5"/>
  <c r="E122" i="5"/>
  <c r="D122" i="5"/>
  <c r="C122" i="5"/>
  <c r="B122" i="5"/>
  <c r="A122" i="5"/>
  <c r="J121" i="5"/>
  <c r="H121" i="5"/>
  <c r="G121" i="5"/>
  <c r="F121" i="5"/>
  <c r="E121" i="5"/>
  <c r="D121" i="5"/>
  <c r="C121" i="5"/>
  <c r="B121" i="5"/>
  <c r="A121" i="5"/>
  <c r="J120" i="5"/>
  <c r="H120" i="5"/>
  <c r="G120" i="5"/>
  <c r="F120" i="5"/>
  <c r="E120" i="5"/>
  <c r="D120" i="5"/>
  <c r="C120" i="5"/>
  <c r="B120" i="5"/>
  <c r="A120" i="5"/>
  <c r="J119" i="5"/>
  <c r="H119" i="5"/>
  <c r="G119" i="5"/>
  <c r="F119" i="5"/>
  <c r="E119" i="5"/>
  <c r="D119" i="5"/>
  <c r="C119" i="5"/>
  <c r="B119" i="5"/>
  <c r="A119" i="5"/>
  <c r="J118" i="5"/>
  <c r="H118" i="5"/>
  <c r="G118" i="5"/>
  <c r="F118" i="5"/>
  <c r="E118" i="5"/>
  <c r="D118" i="5"/>
  <c r="C118" i="5"/>
  <c r="B118" i="5"/>
  <c r="A118" i="5"/>
  <c r="J117" i="5"/>
  <c r="H117" i="5"/>
  <c r="G117" i="5"/>
  <c r="F117" i="5"/>
  <c r="E117" i="5"/>
  <c r="D117" i="5"/>
  <c r="C117" i="5"/>
  <c r="B117" i="5"/>
  <c r="A117" i="5"/>
  <c r="J116" i="5"/>
  <c r="H116" i="5"/>
  <c r="G116" i="5"/>
  <c r="F116" i="5"/>
  <c r="E116" i="5"/>
  <c r="D116" i="5"/>
  <c r="C116" i="5"/>
  <c r="B116" i="5"/>
  <c r="A116" i="5"/>
  <c r="J115" i="5"/>
  <c r="H115" i="5"/>
  <c r="G115" i="5"/>
  <c r="F115" i="5"/>
  <c r="E115" i="5"/>
  <c r="D115" i="5"/>
  <c r="C115" i="5"/>
  <c r="B115" i="5"/>
  <c r="A115" i="5"/>
  <c r="J114" i="5"/>
  <c r="H114" i="5"/>
  <c r="G114" i="5"/>
  <c r="F114" i="5"/>
  <c r="E114" i="5"/>
  <c r="D114" i="5"/>
  <c r="C114" i="5"/>
  <c r="B114" i="5"/>
  <c r="A114" i="5"/>
  <c r="J113" i="5"/>
  <c r="H113" i="5"/>
  <c r="G113" i="5"/>
  <c r="F113" i="5"/>
  <c r="E113" i="5"/>
  <c r="D113" i="5"/>
  <c r="C113" i="5"/>
  <c r="B113" i="5"/>
  <c r="A113" i="5"/>
  <c r="J112" i="5"/>
  <c r="H112" i="5"/>
  <c r="G112" i="5"/>
  <c r="F112" i="5"/>
  <c r="E112" i="5"/>
  <c r="D112" i="5"/>
  <c r="C112" i="5"/>
  <c r="B112" i="5"/>
  <c r="A112" i="5"/>
  <c r="J111" i="5"/>
  <c r="H111" i="5"/>
  <c r="G111" i="5"/>
  <c r="F111" i="5"/>
  <c r="E111" i="5"/>
  <c r="D111" i="5"/>
  <c r="C111" i="5"/>
  <c r="B111" i="5"/>
  <c r="A111" i="5"/>
  <c r="J110" i="5"/>
  <c r="H110" i="5"/>
  <c r="G110" i="5"/>
  <c r="F110" i="5"/>
  <c r="E110" i="5"/>
  <c r="D110" i="5"/>
  <c r="C110" i="5"/>
  <c r="B110" i="5"/>
  <c r="A110" i="5"/>
  <c r="J109" i="5"/>
  <c r="H109" i="5"/>
  <c r="G109" i="5"/>
  <c r="F109" i="5"/>
  <c r="E109" i="5"/>
  <c r="D109" i="5"/>
  <c r="C109" i="5"/>
  <c r="B109" i="5"/>
  <c r="A109" i="5"/>
  <c r="J108" i="5"/>
  <c r="H108" i="5"/>
  <c r="G108" i="5"/>
  <c r="F108" i="5"/>
  <c r="E108" i="5"/>
  <c r="D108" i="5"/>
  <c r="C108" i="5"/>
  <c r="B108" i="5"/>
  <c r="A108" i="5"/>
  <c r="J107" i="5"/>
  <c r="H107" i="5"/>
  <c r="G107" i="5"/>
  <c r="F107" i="5"/>
  <c r="E107" i="5"/>
  <c r="D107" i="5"/>
  <c r="C107" i="5"/>
  <c r="B107" i="5"/>
  <c r="A107" i="5"/>
  <c r="J106" i="5"/>
  <c r="H106" i="5"/>
  <c r="G106" i="5"/>
  <c r="F106" i="5"/>
  <c r="E106" i="5"/>
  <c r="D106" i="5"/>
  <c r="C106" i="5"/>
  <c r="B106" i="5"/>
  <c r="A106" i="5"/>
  <c r="J105" i="5"/>
  <c r="H105" i="5"/>
  <c r="G105" i="5"/>
  <c r="F105" i="5"/>
  <c r="E105" i="5"/>
  <c r="D105" i="5"/>
  <c r="C105" i="5"/>
  <c r="B105" i="5"/>
  <c r="A105" i="5"/>
  <c r="J104" i="5"/>
  <c r="H104" i="5"/>
  <c r="G104" i="5"/>
  <c r="F104" i="5"/>
  <c r="E104" i="5"/>
  <c r="D104" i="5"/>
  <c r="C104" i="5"/>
  <c r="B104" i="5"/>
  <c r="A104" i="5"/>
  <c r="J103" i="5"/>
  <c r="H103" i="5"/>
  <c r="G103" i="5"/>
  <c r="F103" i="5"/>
  <c r="E103" i="5"/>
  <c r="D103" i="5"/>
  <c r="C103" i="5"/>
  <c r="B103" i="5"/>
  <c r="A103" i="5"/>
  <c r="J102" i="5"/>
  <c r="H102" i="5"/>
  <c r="G102" i="5"/>
  <c r="F102" i="5"/>
  <c r="E102" i="5"/>
  <c r="D102" i="5"/>
  <c r="C102" i="5"/>
  <c r="B102" i="5"/>
  <c r="A102" i="5"/>
  <c r="J101" i="5"/>
  <c r="H101" i="5"/>
  <c r="G101" i="5"/>
  <c r="F101" i="5"/>
  <c r="E101" i="5"/>
  <c r="D101" i="5"/>
  <c r="C101" i="5"/>
  <c r="B101" i="5"/>
  <c r="A101" i="5"/>
  <c r="J100" i="5"/>
  <c r="H100" i="5"/>
  <c r="G100" i="5"/>
  <c r="F100" i="5"/>
  <c r="E100" i="5"/>
  <c r="D100" i="5"/>
  <c r="C100" i="5"/>
  <c r="B100" i="5"/>
  <c r="A100" i="5"/>
  <c r="J99" i="5"/>
  <c r="H99" i="5"/>
  <c r="G99" i="5"/>
  <c r="F99" i="5"/>
  <c r="E99" i="5"/>
  <c r="D99" i="5"/>
  <c r="C99" i="5"/>
  <c r="B99" i="5"/>
  <c r="A99" i="5"/>
  <c r="J98" i="5"/>
  <c r="H98" i="5"/>
  <c r="G98" i="5"/>
  <c r="F98" i="5"/>
  <c r="E98" i="5"/>
  <c r="D98" i="5"/>
  <c r="C98" i="5"/>
  <c r="B98" i="5"/>
  <c r="A98" i="5"/>
  <c r="J97" i="5"/>
  <c r="H97" i="5"/>
  <c r="G97" i="5"/>
  <c r="F97" i="5"/>
  <c r="E97" i="5"/>
  <c r="D97" i="5"/>
  <c r="C97" i="5"/>
  <c r="B97" i="5"/>
  <c r="A97" i="5"/>
  <c r="J96" i="5"/>
  <c r="H96" i="5"/>
  <c r="G96" i="5"/>
  <c r="F96" i="5"/>
  <c r="E96" i="5"/>
  <c r="D96" i="5"/>
  <c r="C96" i="5"/>
  <c r="B96" i="5"/>
  <c r="A96" i="5"/>
  <c r="J95" i="5"/>
  <c r="H95" i="5"/>
  <c r="G95" i="5"/>
  <c r="F95" i="5"/>
  <c r="E95" i="5"/>
  <c r="D95" i="5"/>
  <c r="C95" i="5"/>
  <c r="B95" i="5"/>
  <c r="A95" i="5"/>
  <c r="J94" i="5"/>
  <c r="H94" i="5"/>
  <c r="G94" i="5"/>
  <c r="F94" i="5"/>
  <c r="E94" i="5"/>
  <c r="D94" i="5"/>
  <c r="C94" i="5"/>
  <c r="B94" i="5"/>
  <c r="A94" i="5"/>
  <c r="J93" i="5"/>
  <c r="H93" i="5"/>
  <c r="G93" i="5"/>
  <c r="F93" i="5"/>
  <c r="E93" i="5"/>
  <c r="D93" i="5"/>
  <c r="C93" i="5"/>
  <c r="B93" i="5"/>
  <c r="A93" i="5"/>
  <c r="J92" i="5"/>
  <c r="H92" i="5"/>
  <c r="G92" i="5"/>
  <c r="F92" i="5"/>
  <c r="E92" i="5"/>
  <c r="D92" i="5"/>
  <c r="C92" i="5"/>
  <c r="B92" i="5"/>
  <c r="A92" i="5"/>
  <c r="J91" i="5"/>
  <c r="H91" i="5"/>
  <c r="G91" i="5"/>
  <c r="F91" i="5"/>
  <c r="E91" i="5"/>
  <c r="D91" i="5"/>
  <c r="C91" i="5"/>
  <c r="B91" i="5"/>
  <c r="A91" i="5"/>
  <c r="J90" i="5"/>
  <c r="H90" i="5"/>
  <c r="G90" i="5"/>
  <c r="F90" i="5"/>
  <c r="E90" i="5"/>
  <c r="D90" i="5"/>
  <c r="C90" i="5"/>
  <c r="B90" i="5"/>
  <c r="A90" i="5"/>
  <c r="J89" i="5"/>
  <c r="H89" i="5"/>
  <c r="G89" i="5"/>
  <c r="F89" i="5"/>
  <c r="E89" i="5"/>
  <c r="D89" i="5"/>
  <c r="C89" i="5"/>
  <c r="B89" i="5"/>
  <c r="A89" i="5"/>
  <c r="J88" i="5"/>
  <c r="H88" i="5"/>
  <c r="G88" i="5"/>
  <c r="F88" i="5"/>
  <c r="E88" i="5"/>
  <c r="D88" i="5"/>
  <c r="C88" i="5"/>
  <c r="B88" i="5"/>
  <c r="A88" i="5"/>
  <c r="J87" i="5"/>
  <c r="H87" i="5"/>
  <c r="G87" i="5"/>
  <c r="F87" i="5"/>
  <c r="E87" i="5"/>
  <c r="D87" i="5"/>
  <c r="C87" i="5"/>
  <c r="B87" i="5"/>
  <c r="A87" i="5"/>
  <c r="J86" i="5"/>
  <c r="H86" i="5"/>
  <c r="G86" i="5"/>
  <c r="F86" i="5"/>
  <c r="E86" i="5"/>
  <c r="D86" i="5"/>
  <c r="C86" i="5"/>
  <c r="B86" i="5"/>
  <c r="A86" i="5"/>
  <c r="J85" i="5"/>
  <c r="H85" i="5"/>
  <c r="G85" i="5"/>
  <c r="F85" i="5"/>
  <c r="E85" i="5"/>
  <c r="D85" i="5"/>
  <c r="C85" i="5"/>
  <c r="B85" i="5"/>
  <c r="A85" i="5"/>
  <c r="J84" i="5"/>
  <c r="H84" i="5"/>
  <c r="G84" i="5"/>
  <c r="F84" i="5"/>
  <c r="E84" i="5"/>
  <c r="D84" i="5"/>
  <c r="C84" i="5"/>
  <c r="B84" i="5"/>
  <c r="A84" i="5"/>
  <c r="J83" i="5"/>
  <c r="H83" i="5"/>
  <c r="G83" i="5"/>
  <c r="F83" i="5"/>
  <c r="E83" i="5"/>
  <c r="D83" i="5"/>
  <c r="C83" i="5"/>
  <c r="B83" i="5"/>
  <c r="A83" i="5"/>
  <c r="J82" i="5"/>
  <c r="H82" i="5"/>
  <c r="G82" i="5"/>
  <c r="F82" i="5"/>
  <c r="E82" i="5"/>
  <c r="D82" i="5"/>
  <c r="C82" i="5"/>
  <c r="B82" i="5"/>
  <c r="A82" i="5"/>
  <c r="J81" i="5"/>
  <c r="H81" i="5"/>
  <c r="G81" i="5"/>
  <c r="F81" i="5"/>
  <c r="E81" i="5"/>
  <c r="D81" i="5"/>
  <c r="C81" i="5"/>
  <c r="B81" i="5"/>
  <c r="A81" i="5"/>
  <c r="J80" i="5"/>
  <c r="H80" i="5"/>
  <c r="G80" i="5"/>
  <c r="F80" i="5"/>
  <c r="E80" i="5"/>
  <c r="D80" i="5"/>
  <c r="C80" i="5"/>
  <c r="B80" i="5"/>
  <c r="A80" i="5"/>
  <c r="J79" i="5"/>
  <c r="H79" i="5"/>
  <c r="G79" i="5"/>
  <c r="F79" i="5"/>
  <c r="E79" i="5"/>
  <c r="D79" i="5"/>
  <c r="C79" i="5"/>
  <c r="B79" i="5"/>
  <c r="A79" i="5"/>
  <c r="J78" i="5"/>
  <c r="H78" i="5"/>
  <c r="G78" i="5"/>
  <c r="F78" i="5"/>
  <c r="E78" i="5"/>
  <c r="D78" i="5"/>
  <c r="C78" i="5"/>
  <c r="B78" i="5"/>
  <c r="A78" i="5"/>
  <c r="J77" i="5"/>
  <c r="H77" i="5"/>
  <c r="G77" i="5"/>
  <c r="F77" i="5"/>
  <c r="E77" i="5"/>
  <c r="D77" i="5"/>
  <c r="C77" i="5"/>
  <c r="B77" i="5"/>
  <c r="A77" i="5"/>
  <c r="J76" i="5"/>
  <c r="H76" i="5"/>
  <c r="G76" i="5"/>
  <c r="F76" i="5"/>
  <c r="E76" i="5"/>
  <c r="D76" i="5"/>
  <c r="C76" i="5"/>
  <c r="B76" i="5"/>
  <c r="A76" i="5"/>
  <c r="J75" i="5"/>
  <c r="H75" i="5"/>
  <c r="G75" i="5"/>
  <c r="F75" i="5"/>
  <c r="E75" i="5"/>
  <c r="D75" i="5"/>
  <c r="C75" i="5"/>
  <c r="B75" i="5"/>
  <c r="A75" i="5"/>
  <c r="J74" i="5"/>
  <c r="H74" i="5"/>
  <c r="G74" i="5"/>
  <c r="F74" i="5"/>
  <c r="E74" i="5"/>
  <c r="D74" i="5"/>
  <c r="C74" i="5"/>
  <c r="B74" i="5"/>
  <c r="A74" i="5"/>
  <c r="J73" i="5"/>
  <c r="H73" i="5"/>
  <c r="G73" i="5"/>
  <c r="F73" i="5"/>
  <c r="E73" i="5"/>
  <c r="D73" i="5"/>
  <c r="C73" i="5"/>
  <c r="B73" i="5"/>
  <c r="A73" i="5"/>
  <c r="J72" i="5"/>
  <c r="H72" i="5"/>
  <c r="G72" i="5"/>
  <c r="F72" i="5"/>
  <c r="E72" i="5"/>
  <c r="D72" i="5"/>
  <c r="C72" i="5"/>
  <c r="B72" i="5"/>
  <c r="A72" i="5"/>
  <c r="J71" i="5"/>
  <c r="H71" i="5"/>
  <c r="G71" i="5"/>
  <c r="F71" i="5"/>
  <c r="E71" i="5"/>
  <c r="D71" i="5"/>
  <c r="C71" i="5"/>
  <c r="B71" i="5"/>
  <c r="A71" i="5"/>
  <c r="J70" i="5"/>
  <c r="H70" i="5"/>
  <c r="G70" i="5"/>
  <c r="F70" i="5"/>
  <c r="E70" i="5"/>
  <c r="D70" i="5"/>
  <c r="C70" i="5"/>
  <c r="B70" i="5"/>
  <c r="A70" i="5"/>
  <c r="J69" i="5"/>
  <c r="H69" i="5"/>
  <c r="G69" i="5"/>
  <c r="F69" i="5"/>
  <c r="E69" i="5"/>
  <c r="D69" i="5"/>
  <c r="C69" i="5"/>
  <c r="B69" i="5"/>
  <c r="A69" i="5"/>
  <c r="J68" i="5"/>
  <c r="H68" i="5"/>
  <c r="G68" i="5"/>
  <c r="F68" i="5"/>
  <c r="E68" i="5"/>
  <c r="D68" i="5"/>
  <c r="C68" i="5"/>
  <c r="B68" i="5"/>
  <c r="A68" i="5"/>
  <c r="J67" i="5"/>
  <c r="H67" i="5"/>
  <c r="G67" i="5"/>
  <c r="F67" i="5"/>
  <c r="E67" i="5"/>
  <c r="D67" i="5"/>
  <c r="C67" i="5"/>
  <c r="B67" i="5"/>
  <c r="A67" i="5"/>
  <c r="J66" i="5"/>
  <c r="H66" i="5"/>
  <c r="G66" i="5"/>
  <c r="F66" i="5"/>
  <c r="E66" i="5"/>
  <c r="D66" i="5"/>
  <c r="C66" i="5"/>
  <c r="B66" i="5"/>
  <c r="A66" i="5"/>
  <c r="J65" i="5"/>
  <c r="H65" i="5"/>
  <c r="G65" i="5"/>
  <c r="F65" i="5"/>
  <c r="E65" i="5"/>
  <c r="D65" i="5"/>
  <c r="C65" i="5"/>
  <c r="B65" i="5"/>
  <c r="A65" i="5"/>
  <c r="J64" i="5"/>
  <c r="H64" i="5"/>
  <c r="G64" i="5"/>
  <c r="F64" i="5"/>
  <c r="E64" i="5"/>
  <c r="D64" i="5"/>
  <c r="C64" i="5"/>
  <c r="B64" i="5"/>
  <c r="A64" i="5"/>
  <c r="J63" i="5"/>
  <c r="H63" i="5"/>
  <c r="G63" i="5"/>
  <c r="F63" i="5"/>
  <c r="E63" i="5"/>
  <c r="D63" i="5"/>
  <c r="C63" i="5"/>
  <c r="B63" i="5"/>
  <c r="A63" i="5"/>
  <c r="J62" i="5"/>
  <c r="H62" i="5"/>
  <c r="G62" i="5"/>
  <c r="F62" i="5"/>
  <c r="E62" i="5"/>
  <c r="D62" i="5"/>
  <c r="C62" i="5"/>
  <c r="B62" i="5"/>
  <c r="A62" i="5"/>
  <c r="J61" i="5"/>
  <c r="H61" i="5"/>
  <c r="G61" i="5"/>
  <c r="F61" i="5"/>
  <c r="E61" i="5"/>
  <c r="D61" i="5"/>
  <c r="C61" i="5"/>
  <c r="B61" i="5"/>
  <c r="A61" i="5"/>
  <c r="J60" i="5"/>
  <c r="H60" i="5"/>
  <c r="G60" i="5"/>
  <c r="F60" i="5"/>
  <c r="E60" i="5"/>
  <c r="D60" i="5"/>
  <c r="C60" i="5"/>
  <c r="B60" i="5"/>
  <c r="A60" i="5"/>
  <c r="J59" i="5"/>
  <c r="H59" i="5"/>
  <c r="G59" i="5"/>
  <c r="F59" i="5"/>
  <c r="E59" i="5"/>
  <c r="D59" i="5"/>
  <c r="C59" i="5"/>
  <c r="B59" i="5"/>
  <c r="A59" i="5"/>
  <c r="J58" i="5"/>
  <c r="H58" i="5"/>
  <c r="G58" i="5"/>
  <c r="F58" i="5"/>
  <c r="E58" i="5"/>
  <c r="D58" i="5"/>
  <c r="C58" i="5"/>
  <c r="B58" i="5"/>
  <c r="A58" i="5"/>
  <c r="J57" i="5"/>
  <c r="H57" i="5"/>
  <c r="G57" i="5"/>
  <c r="F57" i="5"/>
  <c r="E57" i="5"/>
  <c r="D57" i="5"/>
  <c r="C57" i="5"/>
  <c r="B57" i="5"/>
  <c r="A57" i="5"/>
  <c r="J56" i="5"/>
  <c r="H56" i="5"/>
  <c r="G56" i="5"/>
  <c r="F56" i="5"/>
  <c r="E56" i="5"/>
  <c r="D56" i="5"/>
  <c r="C56" i="5"/>
  <c r="B56" i="5"/>
  <c r="A56" i="5"/>
  <c r="J55" i="5"/>
  <c r="H55" i="5"/>
  <c r="G55" i="5"/>
  <c r="F55" i="5"/>
  <c r="E55" i="5"/>
  <c r="D55" i="5"/>
  <c r="C55" i="5"/>
  <c r="B55" i="5"/>
  <c r="A55" i="5"/>
  <c r="J54" i="5"/>
  <c r="H54" i="5"/>
  <c r="G54" i="5"/>
  <c r="F54" i="5"/>
  <c r="E54" i="5"/>
  <c r="D54" i="5"/>
  <c r="C54" i="5"/>
  <c r="B54" i="5"/>
  <c r="A54" i="5"/>
  <c r="J53" i="5"/>
  <c r="H53" i="5"/>
  <c r="G53" i="5"/>
  <c r="F53" i="5"/>
  <c r="E53" i="5"/>
  <c r="D53" i="5"/>
  <c r="C53" i="5"/>
  <c r="B53" i="5"/>
  <c r="A53" i="5"/>
  <c r="J52" i="5"/>
  <c r="H52" i="5"/>
  <c r="G52" i="5"/>
  <c r="F52" i="5"/>
  <c r="E52" i="5"/>
  <c r="D52" i="5"/>
  <c r="C52" i="5"/>
  <c r="B52" i="5"/>
  <c r="A52" i="5"/>
  <c r="J51" i="5"/>
  <c r="H51" i="5"/>
  <c r="G51" i="5"/>
  <c r="F51" i="5"/>
  <c r="E51" i="5"/>
  <c r="D51" i="5"/>
  <c r="C51" i="5"/>
  <c r="B51" i="5"/>
  <c r="A51" i="5"/>
  <c r="J50" i="5"/>
  <c r="H50" i="5"/>
  <c r="G50" i="5"/>
  <c r="F50" i="5"/>
  <c r="E50" i="5"/>
  <c r="D50" i="5"/>
  <c r="C50" i="5"/>
  <c r="B50" i="5"/>
  <c r="A50" i="5"/>
  <c r="J49" i="5"/>
  <c r="H49" i="5"/>
  <c r="G49" i="5"/>
  <c r="F49" i="5"/>
  <c r="E49" i="5"/>
  <c r="D49" i="5"/>
  <c r="C49" i="5"/>
  <c r="B49" i="5"/>
  <c r="A49" i="5"/>
  <c r="J48" i="5"/>
  <c r="H48" i="5"/>
  <c r="G48" i="5"/>
  <c r="F48" i="5"/>
  <c r="E48" i="5"/>
  <c r="D48" i="5"/>
  <c r="C48" i="5"/>
  <c r="B48" i="5"/>
  <c r="A48" i="5"/>
  <c r="J47" i="5"/>
  <c r="H47" i="5"/>
  <c r="G47" i="5"/>
  <c r="F47" i="5"/>
  <c r="E47" i="5"/>
  <c r="D47" i="5"/>
  <c r="C47" i="5"/>
  <c r="B47" i="5"/>
  <c r="A47" i="5"/>
  <c r="J46" i="5"/>
  <c r="H46" i="5"/>
  <c r="G46" i="5"/>
  <c r="F46" i="5"/>
  <c r="E46" i="5"/>
  <c r="D46" i="5"/>
  <c r="C46" i="5"/>
  <c r="B46" i="5"/>
  <c r="A46" i="5"/>
  <c r="J45" i="5"/>
  <c r="H45" i="5"/>
  <c r="G45" i="5"/>
  <c r="F45" i="5"/>
  <c r="E45" i="5"/>
  <c r="D45" i="5"/>
  <c r="C45" i="5"/>
  <c r="B45" i="5"/>
  <c r="A45" i="5"/>
  <c r="J44" i="5"/>
  <c r="H44" i="5"/>
  <c r="G44" i="5"/>
  <c r="F44" i="5"/>
  <c r="E44" i="5"/>
  <c r="D44" i="5"/>
  <c r="C44" i="5"/>
  <c r="B44" i="5"/>
  <c r="A44" i="5"/>
  <c r="J43" i="5"/>
  <c r="H43" i="5"/>
  <c r="G43" i="5"/>
  <c r="F43" i="5"/>
  <c r="E43" i="5"/>
  <c r="D43" i="5"/>
  <c r="C43" i="5"/>
  <c r="B43" i="5"/>
  <c r="A43" i="5"/>
  <c r="J42" i="5"/>
  <c r="H42" i="5"/>
  <c r="G42" i="5"/>
  <c r="F42" i="5"/>
  <c r="E42" i="5"/>
  <c r="D42" i="5"/>
  <c r="C42" i="5"/>
  <c r="B42" i="5"/>
  <c r="A42" i="5"/>
  <c r="J41" i="5"/>
  <c r="H41" i="5"/>
  <c r="G41" i="5"/>
  <c r="F41" i="5"/>
  <c r="E41" i="5"/>
  <c r="D41" i="5"/>
  <c r="C41" i="5"/>
  <c r="B41" i="5"/>
  <c r="A41" i="5"/>
  <c r="J40" i="5"/>
  <c r="H40" i="5"/>
  <c r="G40" i="5"/>
  <c r="F40" i="5"/>
  <c r="E40" i="5"/>
  <c r="D40" i="5"/>
  <c r="C40" i="5"/>
  <c r="B40" i="5"/>
  <c r="A40" i="5"/>
  <c r="J39" i="5"/>
  <c r="H39" i="5"/>
  <c r="G39" i="5"/>
  <c r="F39" i="5"/>
  <c r="E39" i="5"/>
  <c r="D39" i="5"/>
  <c r="C39" i="5"/>
  <c r="B39" i="5"/>
  <c r="A39" i="5"/>
  <c r="J38" i="5"/>
  <c r="H38" i="5"/>
  <c r="G38" i="5"/>
  <c r="F38" i="5"/>
  <c r="E38" i="5"/>
  <c r="D38" i="5"/>
  <c r="C38" i="5"/>
  <c r="B38" i="5"/>
  <c r="A38" i="5"/>
  <c r="J37" i="5"/>
  <c r="H37" i="5"/>
  <c r="G37" i="5"/>
  <c r="F37" i="5"/>
  <c r="E37" i="5"/>
  <c r="D37" i="5"/>
  <c r="C37" i="5"/>
  <c r="B37" i="5"/>
  <c r="A37" i="5"/>
  <c r="J36" i="5"/>
  <c r="H36" i="5"/>
  <c r="G36" i="5"/>
  <c r="F36" i="5"/>
  <c r="E36" i="5"/>
  <c r="D36" i="5"/>
  <c r="C36" i="5"/>
  <c r="B36" i="5"/>
  <c r="A36" i="5"/>
  <c r="J35" i="5"/>
  <c r="H35" i="5"/>
  <c r="G35" i="5"/>
  <c r="F35" i="5"/>
  <c r="E35" i="5"/>
  <c r="D35" i="5"/>
  <c r="C35" i="5"/>
  <c r="B35" i="5"/>
  <c r="A35" i="5"/>
  <c r="J34" i="5"/>
  <c r="H34" i="5"/>
  <c r="G34" i="5"/>
  <c r="F34" i="5"/>
  <c r="E34" i="5"/>
  <c r="D34" i="5"/>
  <c r="C34" i="5"/>
  <c r="B34" i="5"/>
  <c r="A34" i="5"/>
  <c r="J33" i="5"/>
  <c r="H33" i="5"/>
  <c r="G33" i="5"/>
  <c r="F33" i="5"/>
  <c r="E33" i="5"/>
  <c r="D33" i="5"/>
  <c r="C33" i="5"/>
  <c r="B33" i="5"/>
  <c r="A33" i="5"/>
  <c r="J32" i="5"/>
  <c r="H32" i="5"/>
  <c r="G32" i="5"/>
  <c r="F32" i="5"/>
  <c r="E32" i="5"/>
  <c r="D32" i="5"/>
  <c r="C32" i="5"/>
  <c r="B32" i="5"/>
  <c r="A32" i="5"/>
  <c r="J31" i="5"/>
  <c r="H31" i="5"/>
  <c r="G31" i="5"/>
  <c r="F31" i="5"/>
  <c r="E31" i="5"/>
  <c r="D31" i="5"/>
  <c r="C31" i="5"/>
  <c r="B31" i="5"/>
  <c r="A31" i="5"/>
  <c r="J30" i="5"/>
  <c r="H30" i="5"/>
  <c r="G30" i="5"/>
  <c r="F30" i="5"/>
  <c r="E30" i="5"/>
  <c r="D30" i="5"/>
  <c r="C30" i="5"/>
  <c r="B30" i="5"/>
  <c r="A30" i="5"/>
  <c r="J29" i="5"/>
  <c r="H29" i="5"/>
  <c r="G29" i="5"/>
  <c r="F29" i="5"/>
  <c r="E29" i="5"/>
  <c r="D29" i="5"/>
  <c r="C29" i="5"/>
  <c r="B29" i="5"/>
  <c r="A29" i="5"/>
  <c r="J28" i="5"/>
  <c r="H28" i="5"/>
  <c r="G28" i="5"/>
  <c r="F28" i="5"/>
  <c r="E28" i="5"/>
  <c r="D28" i="5"/>
  <c r="C28" i="5"/>
  <c r="B28" i="5"/>
  <c r="A28" i="5"/>
  <c r="J27" i="5"/>
  <c r="H27" i="5"/>
  <c r="G27" i="5"/>
  <c r="F27" i="5"/>
  <c r="E27" i="5"/>
  <c r="D27" i="5"/>
  <c r="C27" i="5"/>
  <c r="B27" i="5"/>
  <c r="A27" i="5"/>
  <c r="J26" i="5"/>
  <c r="H26" i="5"/>
  <c r="G26" i="5"/>
  <c r="F26" i="5"/>
  <c r="E26" i="5"/>
  <c r="D26" i="5"/>
  <c r="C26" i="5"/>
  <c r="B26" i="5"/>
  <c r="A26" i="5"/>
  <c r="J25" i="5"/>
  <c r="H25" i="5"/>
  <c r="G25" i="5"/>
  <c r="F25" i="5"/>
  <c r="E25" i="5"/>
  <c r="D25" i="5"/>
  <c r="C25" i="5"/>
  <c r="B25" i="5"/>
  <c r="A25" i="5"/>
  <c r="J24" i="5"/>
  <c r="H24" i="5"/>
  <c r="G24" i="5"/>
  <c r="F24" i="5"/>
  <c r="E24" i="5"/>
  <c r="D24" i="5"/>
  <c r="C24" i="5"/>
  <c r="B24" i="5"/>
  <c r="A24" i="5"/>
  <c r="J23" i="5"/>
  <c r="H23" i="5"/>
  <c r="G23" i="5"/>
  <c r="F23" i="5"/>
  <c r="E23" i="5"/>
  <c r="D23" i="5"/>
  <c r="C23" i="5"/>
  <c r="B23" i="5"/>
  <c r="A23" i="5"/>
  <c r="J22" i="5"/>
  <c r="H22" i="5"/>
  <c r="G22" i="5"/>
  <c r="F22" i="5"/>
  <c r="E22" i="5"/>
  <c r="D22" i="5"/>
  <c r="C22" i="5"/>
  <c r="B22" i="5"/>
  <c r="A22" i="5"/>
  <c r="J21" i="5"/>
  <c r="H21" i="5"/>
  <c r="G21" i="5"/>
  <c r="F21" i="5"/>
  <c r="E21" i="5"/>
  <c r="D21" i="5"/>
  <c r="C21" i="5"/>
  <c r="B21" i="5"/>
  <c r="A21" i="5"/>
  <c r="J20" i="5"/>
  <c r="H20" i="5"/>
  <c r="G20" i="5"/>
  <c r="F20" i="5"/>
  <c r="E20" i="5"/>
  <c r="D20" i="5"/>
  <c r="C20" i="5"/>
  <c r="B20" i="5"/>
  <c r="A20" i="5"/>
  <c r="J19" i="5"/>
  <c r="H19" i="5"/>
  <c r="G19" i="5"/>
  <c r="F19" i="5"/>
  <c r="E19" i="5"/>
  <c r="D19" i="5"/>
  <c r="C19" i="5"/>
  <c r="B19" i="5"/>
  <c r="A19" i="5"/>
  <c r="J18" i="5"/>
  <c r="H18" i="5"/>
  <c r="G18" i="5"/>
  <c r="F18" i="5"/>
  <c r="E18" i="5"/>
  <c r="D18" i="5"/>
  <c r="C18" i="5"/>
  <c r="B18" i="5"/>
  <c r="A18" i="5"/>
  <c r="J17" i="5"/>
  <c r="H17" i="5"/>
  <c r="G17" i="5"/>
  <c r="F17" i="5"/>
  <c r="E17" i="5"/>
  <c r="D17" i="5"/>
  <c r="C17" i="5"/>
  <c r="B17" i="5"/>
  <c r="A17" i="5"/>
  <c r="J16" i="5"/>
  <c r="H16" i="5"/>
  <c r="G16" i="5"/>
  <c r="F16" i="5"/>
  <c r="E16" i="5"/>
  <c r="D16" i="5"/>
  <c r="C16" i="5"/>
  <c r="B16" i="5"/>
  <c r="A16" i="5"/>
  <c r="J15" i="5"/>
  <c r="H15" i="5"/>
  <c r="G15" i="5"/>
  <c r="F15" i="5"/>
  <c r="E15" i="5"/>
  <c r="D15" i="5"/>
  <c r="C15" i="5"/>
  <c r="B15" i="5"/>
  <c r="A15" i="5"/>
  <c r="J14" i="5"/>
  <c r="H14" i="5"/>
  <c r="G14" i="5"/>
  <c r="F14" i="5"/>
  <c r="E14" i="5"/>
  <c r="D14" i="5"/>
  <c r="C14" i="5"/>
  <c r="B14" i="5"/>
  <c r="A14" i="5"/>
  <c r="J13" i="5"/>
  <c r="H13" i="5"/>
  <c r="G13" i="5"/>
  <c r="F13" i="5"/>
  <c r="E13" i="5"/>
  <c r="D13" i="5"/>
  <c r="C13" i="5"/>
  <c r="B13" i="5"/>
  <c r="A13" i="5"/>
  <c r="J12" i="5"/>
  <c r="H12" i="5"/>
  <c r="G12" i="5"/>
  <c r="F12" i="5"/>
  <c r="E12" i="5"/>
  <c r="D12" i="5"/>
  <c r="C12" i="5"/>
  <c r="B12" i="5"/>
  <c r="A12" i="5"/>
  <c r="J11" i="5"/>
  <c r="H11" i="5"/>
  <c r="G11" i="5"/>
  <c r="F11" i="5"/>
  <c r="E11" i="5"/>
  <c r="D11" i="5"/>
  <c r="C11" i="5"/>
  <c r="B11" i="5"/>
  <c r="A11" i="5"/>
  <c r="J10" i="5"/>
  <c r="H10" i="5"/>
  <c r="G10" i="5"/>
  <c r="F10" i="5"/>
  <c r="E10" i="5"/>
  <c r="D10" i="5"/>
  <c r="C10" i="5"/>
  <c r="B10" i="5"/>
  <c r="A10" i="5"/>
  <c r="J9" i="5"/>
  <c r="H9" i="5"/>
  <c r="G9" i="5"/>
  <c r="F9" i="5"/>
  <c r="E9" i="5"/>
  <c r="D9" i="5"/>
  <c r="C9" i="5"/>
  <c r="B9" i="5"/>
  <c r="A9" i="5"/>
  <c r="J8" i="5"/>
  <c r="H8" i="5"/>
  <c r="G8" i="5"/>
  <c r="F8" i="5"/>
  <c r="E8" i="5"/>
  <c r="D8" i="5"/>
  <c r="C8" i="5"/>
  <c r="B8" i="5"/>
  <c r="A8" i="5"/>
  <c r="J7" i="5"/>
  <c r="H7" i="5"/>
  <c r="G7" i="5"/>
  <c r="F7" i="5"/>
  <c r="E7" i="5"/>
  <c r="D7" i="5"/>
  <c r="C7" i="5"/>
  <c r="B7" i="5"/>
  <c r="A7" i="5"/>
  <c r="J6" i="5"/>
  <c r="H6" i="5"/>
  <c r="G6" i="5"/>
  <c r="F6" i="5"/>
  <c r="E6" i="5"/>
  <c r="D6" i="5"/>
  <c r="C6" i="5"/>
  <c r="B6" i="5"/>
  <c r="A6" i="5"/>
  <c r="J5" i="5"/>
  <c r="H5" i="5"/>
  <c r="G5" i="5"/>
  <c r="F5" i="5"/>
  <c r="E5" i="5"/>
  <c r="D5" i="5"/>
  <c r="C5" i="5"/>
  <c r="B5" i="5"/>
  <c r="A5" i="5"/>
  <c r="J4" i="5"/>
  <c r="H4" i="5"/>
  <c r="G4" i="5"/>
  <c r="F4" i="5"/>
  <c r="E4" i="5"/>
  <c r="D4" i="5"/>
  <c r="C4" i="5"/>
  <c r="B4" i="5"/>
  <c r="A4" i="5"/>
  <c r="J3" i="5"/>
  <c r="H3" i="5"/>
  <c r="G3" i="5"/>
  <c r="F3" i="5"/>
  <c r="E3" i="5"/>
  <c r="D3" i="5"/>
  <c r="C3" i="5"/>
  <c r="B3" i="5"/>
  <c r="A3" i="5"/>
  <c r="J2" i="5"/>
  <c r="H2" i="5"/>
  <c r="G2" i="5"/>
  <c r="F2" i="5"/>
  <c r="E2" i="5"/>
  <c r="D2" i="5"/>
  <c r="C2" i="5"/>
  <c r="B2" i="5"/>
  <c r="A2" i="5"/>
  <c r="J1" i="5"/>
  <c r="H1" i="5"/>
  <c r="G1" i="5"/>
  <c r="F1" i="5"/>
  <c r="E1" i="5"/>
  <c r="D1" i="5"/>
  <c r="C1" i="5"/>
  <c r="B1" i="5"/>
  <c r="A1" i="5"/>
  <c r="J39" i="3"/>
  <c r="J31" i="3"/>
  <c r="I31" i="3"/>
  <c r="J28" i="3"/>
  <c r="I28" i="3"/>
  <c r="E8" i="3"/>
  <c r="I7" i="3"/>
  <c r="F7" i="3"/>
  <c r="E7" i="3"/>
  <c r="I6" i="3"/>
  <c r="F6" i="3"/>
  <c r="E6" i="3"/>
  <c r="I5" i="3"/>
  <c r="F5" i="3"/>
  <c r="G5" i="3" s="1"/>
  <c r="E5" i="3"/>
  <c r="I4" i="3"/>
  <c r="F4" i="3"/>
  <c r="E4" i="3"/>
  <c r="I3" i="3"/>
  <c r="F3" i="3"/>
  <c r="E3" i="3"/>
  <c r="L9" i="2"/>
  <c r="M9" i="2" s="1"/>
  <c r="K9" i="2"/>
  <c r="J9" i="2"/>
  <c r="I9" i="2"/>
  <c r="H9" i="2"/>
  <c r="L8" i="2"/>
  <c r="K8" i="2"/>
  <c r="I8" i="2"/>
  <c r="H8" i="2"/>
  <c r="L7" i="2"/>
  <c r="K7" i="2"/>
  <c r="I7" i="2"/>
  <c r="J7" i="2" s="1"/>
  <c r="H7" i="2"/>
  <c r="L6" i="2"/>
  <c r="K6" i="2"/>
  <c r="I6" i="2"/>
  <c r="H6" i="2"/>
  <c r="L5" i="2"/>
  <c r="K5" i="2"/>
  <c r="I5" i="2"/>
  <c r="H5" i="2"/>
  <c r="L4" i="2"/>
  <c r="K4" i="2"/>
  <c r="I4" i="2"/>
  <c r="H4" i="2"/>
  <c r="J4" i="2" l="1"/>
  <c r="J5" i="2"/>
  <c r="G7" i="3"/>
  <c r="J7" i="3" s="1"/>
  <c r="M4" i="2"/>
  <c r="M6" i="2"/>
  <c r="G6" i="3"/>
  <c r="M5" i="2"/>
  <c r="M8" i="2"/>
  <c r="G4" i="3"/>
  <c r="J4" i="3" s="1"/>
  <c r="J6" i="2"/>
  <c r="M7" i="2"/>
  <c r="J6" i="3"/>
  <c r="G3" i="3"/>
  <c r="J3" i="3" s="1"/>
  <c r="J5" i="3"/>
  <c r="J8" i="2"/>
</calcChain>
</file>

<file path=xl/sharedStrings.xml><?xml version="1.0" encoding="utf-8"?>
<sst xmlns="http://schemas.openxmlformats.org/spreadsheetml/2006/main" count="260" uniqueCount="151">
  <si>
    <t>Option 1</t>
  </si>
  <si>
    <t>SEQ.</t>
  </si>
  <si>
    <t>MAT. TYPE</t>
  </si>
  <si>
    <t>DATE</t>
  </si>
  <si>
    <t>HR</t>
  </si>
  <si>
    <t>SR</t>
  </si>
  <si>
    <t>ST</t>
  </si>
  <si>
    <t>Caged</t>
  </si>
  <si>
    <t>Non Caged</t>
  </si>
  <si>
    <t xml:space="preserve">CUT BY </t>
  </si>
  <si>
    <t xml:space="preserve">FIT BY </t>
  </si>
  <si>
    <t>Billed Status</t>
  </si>
  <si>
    <t>NOTES</t>
  </si>
  <si>
    <t>DRAWINGS</t>
  </si>
  <si>
    <t>KSS FILE</t>
  </si>
  <si>
    <t>1 - ANGLE, 2 - PIPE, 3 - OTHER</t>
  </si>
  <si>
    <t>MISC.</t>
  </si>
  <si>
    <t>MATERIAL STATUS</t>
  </si>
  <si>
    <t>Shipped Status</t>
  </si>
  <si>
    <t>BILLED</t>
  </si>
  <si>
    <t>PAX</t>
  </si>
  <si>
    <t>LAPEYRE</t>
  </si>
  <si>
    <t>SOUTHLAND</t>
  </si>
  <si>
    <t xml:space="preserve"> </t>
  </si>
  <si>
    <t>HAVE DRAWINGS</t>
  </si>
  <si>
    <t>Turner</t>
  </si>
  <si>
    <t>ANGLE</t>
  </si>
  <si>
    <t>FB CUT</t>
  </si>
  <si>
    <t>INDUSTRIAL</t>
  </si>
  <si>
    <t>PIPE</t>
  </si>
  <si>
    <t>PEABODY EST</t>
  </si>
  <si>
    <t>STRUCTURAL STEEL</t>
  </si>
  <si>
    <t>MATERIALS?</t>
  </si>
  <si>
    <t>TP CUT</t>
  </si>
  <si>
    <t>ONLY NEEDS CH CUT</t>
  </si>
  <si>
    <t>FB DONE</t>
  </si>
  <si>
    <t>ordered materials</t>
  </si>
  <si>
    <t xml:space="preserve">SOUTHLAND </t>
  </si>
  <si>
    <t>PUT JOB PREFIX ON ALL TAGS 116A1</t>
  </si>
  <si>
    <t>PO 19390 JOB 1120083 RAILS ONLY</t>
  </si>
  <si>
    <t>10 HANDRAIL SLEEVES</t>
  </si>
  <si>
    <t>RESERVE PAX</t>
  </si>
  <si>
    <t>FEBRUARY</t>
  </si>
  <si>
    <t>246-102</t>
  </si>
  <si>
    <t>246-209</t>
  </si>
  <si>
    <t>SPECK TH</t>
  </si>
  <si>
    <t>NEEDS PIPE GR</t>
  </si>
  <si>
    <t>246-210</t>
  </si>
  <si>
    <t>246-103</t>
  </si>
  <si>
    <t>246-82</t>
  </si>
  <si>
    <t>246-94</t>
  </si>
  <si>
    <t>246-224M</t>
  </si>
  <si>
    <t>JJ TU/W (ANG)</t>
  </si>
  <si>
    <t>246-113</t>
  </si>
  <si>
    <t>SPECK WED (ANG)</t>
  </si>
  <si>
    <t>246-226</t>
  </si>
  <si>
    <t>JJ TH (ANG)</t>
  </si>
  <si>
    <t>246-27</t>
  </si>
  <si>
    <t>JJ FRI (ANG)</t>
  </si>
  <si>
    <t>246-88</t>
  </si>
  <si>
    <t>PO 19384, JOB 61214920</t>
  </si>
  <si>
    <t>10 HR SLEEVES</t>
  </si>
  <si>
    <t>246-186</t>
  </si>
  <si>
    <t xml:space="preserve">waiting on corrected files </t>
  </si>
  <si>
    <t>246-218</t>
  </si>
  <si>
    <t>MISC STUFF</t>
  </si>
  <si>
    <t>246-79M</t>
  </si>
  <si>
    <t>L216</t>
  </si>
  <si>
    <t>SPECK FRI</t>
  </si>
  <si>
    <t>JJ MON</t>
  </si>
  <si>
    <t>ORDERED Materials</t>
  </si>
  <si>
    <t>L217</t>
  </si>
  <si>
    <t>orDERED Materials</t>
  </si>
  <si>
    <t>246-179</t>
  </si>
  <si>
    <t>350 LBS MISC/ NEEDS PIPE GR</t>
  </si>
  <si>
    <t>246-95</t>
  </si>
  <si>
    <t>NEEDS PIPE GR; HOLD</t>
  </si>
  <si>
    <t>246-96</t>
  </si>
  <si>
    <t>246-81</t>
  </si>
  <si>
    <t>246-118</t>
  </si>
  <si>
    <t>274M</t>
  </si>
  <si>
    <t>GULCH</t>
  </si>
  <si>
    <t>5 WALL RAILS</t>
  </si>
  <si>
    <t>L205</t>
  </si>
  <si>
    <t>L219</t>
  </si>
  <si>
    <t>3233G LADDERS PO F21742</t>
  </si>
  <si>
    <t>mebac ladder rungs</t>
  </si>
  <si>
    <t>BECTHEL LIQUIFICATION  1023195 R101-02</t>
  </si>
  <si>
    <t>waiting on correct files</t>
  </si>
  <si>
    <t>L220</t>
  </si>
  <si>
    <t>L221</t>
  </si>
  <si>
    <t>PICOU FRADELLA</t>
  </si>
  <si>
    <t>266-4CM</t>
  </si>
  <si>
    <t>246-199M</t>
  </si>
  <si>
    <t>EST</t>
  </si>
  <si>
    <t>PEABODY 6</t>
  </si>
  <si>
    <t>TUBING</t>
  </si>
  <si>
    <t>246-4CM</t>
  </si>
  <si>
    <t>NO DRAWINGS AT 8/22</t>
  </si>
  <si>
    <t>246-4DM</t>
  </si>
  <si>
    <t>246-6CM</t>
  </si>
  <si>
    <t>246-6DM</t>
  </si>
  <si>
    <t>246-6EM</t>
  </si>
  <si>
    <t>NO DRAWINGS AT 7/26</t>
  </si>
  <si>
    <t>246-17M</t>
  </si>
  <si>
    <t>REVISION</t>
  </si>
  <si>
    <t>JOB PROGRAMED PARTIALLY PRIOR TO DECEMBER</t>
  </si>
  <si>
    <t>246-14CM</t>
  </si>
  <si>
    <t>NO DRAWINGS 8/23</t>
  </si>
  <si>
    <t>246-14DM</t>
  </si>
  <si>
    <t>246-14EM</t>
  </si>
  <si>
    <t>AVONDALE STAIR 4 PAINT</t>
  </si>
  <si>
    <t>AVONDALE STAIR A REBUILT STAIRS</t>
  </si>
  <si>
    <t>W3G4 REFABRICATED</t>
  </si>
  <si>
    <t>3233G LADDERS (2ND SET) PO F21742</t>
  </si>
  <si>
    <t>318-3M</t>
  </si>
  <si>
    <t>REVISIONS?  3002F1, 3002FP2, 3039P5, 3042S1, 3043S1</t>
  </si>
  <si>
    <t>PEABODY 4</t>
  </si>
  <si>
    <t>246-15M</t>
  </si>
  <si>
    <t>tbd</t>
  </si>
  <si>
    <t>HOLD</t>
  </si>
  <si>
    <t>NO DRAWINGS 7/26</t>
  </si>
  <si>
    <t>P208 REVISION HR 5664</t>
  </si>
  <si>
    <t>TBD</t>
  </si>
  <si>
    <t>NEED DRAWINGS</t>
  </si>
  <si>
    <t>277-1M.1</t>
  </si>
  <si>
    <t>W/ FRI</t>
  </si>
  <si>
    <t>RAILS DAYS</t>
  </si>
  <si>
    <t>DAYS IN MONTH</t>
  </si>
  <si>
    <t>SUM of HR</t>
  </si>
  <si>
    <t>SUM of SR</t>
  </si>
  <si>
    <t>SUM of ST</t>
  </si>
  <si>
    <t>SUM of Caged</t>
  </si>
  <si>
    <t>SUM of Non Caged</t>
  </si>
  <si>
    <t xml:space="preserve">HR DAYS </t>
  </si>
  <si>
    <t>SR DAYS</t>
  </si>
  <si>
    <t>STRINGER DAYS</t>
  </si>
  <si>
    <t xml:space="preserve">LADDER DAYS </t>
  </si>
  <si>
    <t>STR/CL DAYS</t>
  </si>
  <si>
    <t>Jan</t>
  </si>
  <si>
    <t>Feb</t>
  </si>
  <si>
    <t>DAYS LEFT IN MONTH</t>
  </si>
  <si>
    <t>DAYS TOTAL</t>
  </si>
  <si>
    <t>WEEKS IN MONTH</t>
  </si>
  <si>
    <t>WRK DYS PER WK</t>
  </si>
  <si>
    <t>RESERVE PAX Total</t>
  </si>
  <si>
    <t>Grand Total</t>
  </si>
  <si>
    <t>v9iajm6jgrvgo3u1s7h6v3n0co@group.calendar.google.com</t>
  </si>
  <si>
    <t/>
  </si>
  <si>
    <t>(blank)</t>
  </si>
  <si>
    <t>TURNER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</si>
</sst>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:mm:ss"/>
    <numFmt numFmtId="165" formatCode="m/d"/>
    <numFmt numFmtId="166" formatCode="m/d/yy"/>
    <numFmt numFmtId="167" formatCode="mm/dd/yyyy"/>
    <numFmt numFmtId="168" formatCode="yyyy\-m"/>
    <numFmt numFmtId="169" formatCode="&quot;$&quot;#,##0.00"/>
  </numFmts>
  <fonts count="28" x14ac:knownFonts="1">
    <font>
      <sz val="10"/>
      <color rgb="FF000000"/>
      <name val="Arial"/>
      <scheme val="minor"/>
    </font>
    <font>
      <b/>
      <sz val="14"/>
      <color rgb="FFFFFFFF"/>
      <name val="Calibri"/>
    </font>
    <font>
      <b/>
      <sz val="14"/>
      <color theme="0"/>
      <name val="Calibri"/>
    </font>
    <font>
      <b/>
      <sz val="14"/>
      <color theme="1"/>
      <name val="Calibri"/>
    </font>
    <font>
      <b/>
      <sz val="14"/>
      <color rgb="FF000000"/>
      <name val="Calibri"/>
    </font>
    <font>
      <b/>
      <sz val="14"/>
      <color rgb="FF92D050"/>
      <name val="Calibri"/>
    </font>
    <font>
      <b/>
      <sz val="14"/>
      <color rgb="FF0000FF"/>
      <name val="Calibri"/>
    </font>
    <font>
      <b/>
      <sz val="14"/>
      <color rgb="FFFF0000"/>
      <name val="Calibri"/>
    </font>
    <font>
      <sz val="10"/>
      <color theme="1"/>
      <name val="Arial"/>
      <scheme val="minor"/>
    </font>
    <font>
      <b/>
      <sz val="14"/>
      <color rgb="FF980000"/>
      <name val="Calibri"/>
    </font>
    <font>
      <b/>
      <sz val="14"/>
      <color rgb="FF00FF00"/>
      <name val="Calibri"/>
    </font>
    <font>
      <sz val="14"/>
      <color rgb="FF0000FF"/>
      <name val="Calibri"/>
    </font>
    <font>
      <b/>
      <sz val="14"/>
      <color rgb="FF6AA84F"/>
      <name val="Calibri"/>
    </font>
    <font>
      <b/>
      <sz val="14"/>
      <color rgb="FFCC0000"/>
      <name val="Calibri"/>
    </font>
    <font>
      <b/>
      <sz val="14"/>
      <color rgb="FFFF9900"/>
      <name val="Calibri"/>
    </font>
    <font>
      <b/>
      <sz val="14"/>
      <color rgb="FFFF0000"/>
      <name val="Arial"/>
    </font>
    <font>
      <sz val="14"/>
      <color rgb="FF00FF00"/>
      <name val="Calibri"/>
    </font>
    <font>
      <sz val="10"/>
      <color rgb="FF00FF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Calibri"/>
    </font>
    <font>
      <sz val="17"/>
      <color rgb="FF000000"/>
      <name val="Calibri"/>
    </font>
    <font>
      <b/>
      <sz val="10"/>
      <color rgb="FF38761D"/>
      <name val="Merriweather"/>
    </font>
    <font>
      <b/>
      <sz val="17"/>
      <color rgb="FF38761D"/>
      <name val="Merriweather"/>
    </font>
    <font>
      <b/>
      <sz val="11"/>
      <color rgb="FF38761D"/>
      <name val="Merriweather"/>
    </font>
    <font>
      <b/>
      <i/>
      <sz val="10"/>
      <color rgb="FFFFE599"/>
      <name val="Arial"/>
      <scheme val="minor"/>
    </font>
    <font>
      <b/>
      <i/>
      <sz val="11"/>
      <color rgb="FFFFE599"/>
      <name val="Calibri"/>
    </font>
    <font>
      <b/>
      <sz val="10"/>
      <color theme="0"/>
      <name val="Arial"/>
      <scheme val="minor"/>
    </font>
    <font>
      <sz val="11"/>
      <color rgb="FF3C4043"/>
      <name val="Roboto"/>
    </font>
  </fonts>
  <fills count="1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5B9BD5"/>
        <bgColor rgb="FF5B9BD5"/>
      </patternFill>
    </fill>
    <fill>
      <patternFill patternType="solid">
        <fgColor theme="9"/>
        <bgColor theme="9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  <fill>
      <patternFill patternType="solid">
        <fgColor theme="4"/>
        <bgColor theme="4"/>
      </patternFill>
    </fill>
    <fill>
      <patternFill patternType="solid">
        <fgColor rgb="FFFF00FF"/>
        <bgColor rgb="FFFF00FF"/>
      </patternFill>
    </fill>
    <fill>
      <patternFill patternType="solid">
        <fgColor rgb="FFB7E1CD"/>
        <bgColor rgb="FFB7E1CD"/>
      </patternFill>
    </fill>
    <fill>
      <patternFill patternType="solid">
        <fgColor rgb="FFC27BA0"/>
        <bgColor rgb="FFC27BA0"/>
      </patternFill>
    </fill>
    <fill>
      <patternFill patternType="solid">
        <fgColor rgb="FF00B0F0"/>
        <bgColor rgb="FF00B0F0"/>
      </patternFill>
    </fill>
    <fill>
      <patternFill patternType="solid">
        <fgColor rgb="FF0000FF"/>
        <bgColor rgb="FF0000FF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164" fontId="3" fillId="0" borderId="0" xfId="0" applyNumberFormat="1" applyFont="1"/>
    <xf numFmtId="0" fontId="3" fillId="0" borderId="0" xfId="0" applyFont="1"/>
    <xf numFmtId="0" fontId="3" fillId="0" borderId="1" xfId="0" applyFont="1" applyBorder="1" applyAlignment="1">
      <alignment horizontal="left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14" fontId="5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left"/>
    </xf>
    <xf numFmtId="0" fontId="6" fillId="7" borderId="1" xfId="0" applyFont="1" applyFill="1" applyBorder="1" applyAlignment="1">
      <alignment horizontal="center"/>
    </xf>
    <xf numFmtId="0" fontId="3" fillId="7" borderId="1" xfId="0" applyFont="1" applyFill="1" applyBorder="1"/>
    <xf numFmtId="0" fontId="3" fillId="8" borderId="1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3" fillId="7" borderId="0" xfId="0" applyFont="1" applyFill="1"/>
    <xf numFmtId="0" fontId="8" fillId="0" borderId="1" xfId="0" applyFont="1" applyBorder="1"/>
    <xf numFmtId="0" fontId="6" fillId="0" borderId="2" xfId="0" applyFont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3" fillId="2" borderId="0" xfId="0" applyFont="1" applyFill="1" applyAlignment="1">
      <alignment horizontal="left"/>
    </xf>
    <xf numFmtId="0" fontId="3" fillId="0" borderId="0" xfId="0" applyFont="1" applyAlignment="1">
      <alignment horizontal="center"/>
    </xf>
    <xf numFmtId="0" fontId="3" fillId="11" borderId="1" xfId="0" applyFont="1" applyFill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3" fillId="8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6" fillId="2" borderId="1" xfId="0" applyFont="1" applyFill="1" applyBorder="1" applyAlignment="1">
      <alignment horizontal="center"/>
    </xf>
    <xf numFmtId="14" fontId="13" fillId="9" borderId="1" xfId="0" applyNumberFormat="1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0" fontId="3" fillId="7" borderId="0" xfId="0" applyFont="1" applyFill="1" applyAlignment="1">
      <alignment horizontal="left"/>
    </xf>
    <xf numFmtId="0" fontId="12" fillId="7" borderId="0" xfId="0" applyFont="1" applyFill="1" applyAlignment="1">
      <alignment horizontal="left"/>
    </xf>
    <xf numFmtId="166" fontId="13" fillId="9" borderId="1" xfId="0" applyNumberFormat="1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3" fillId="10" borderId="0" xfId="0" applyFont="1" applyFill="1" applyAlignment="1">
      <alignment horizontal="left"/>
    </xf>
    <xf numFmtId="0" fontId="6" fillId="6" borderId="3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12" borderId="2" xfId="0" applyFont="1" applyFill="1" applyBorder="1" applyAlignment="1">
      <alignment horizontal="center"/>
    </xf>
    <xf numFmtId="14" fontId="13" fillId="9" borderId="4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16" borderId="7" xfId="0" applyFont="1" applyFill="1" applyBorder="1" applyAlignment="1">
      <alignment horizontal="center"/>
    </xf>
    <xf numFmtId="14" fontId="13" fillId="7" borderId="1" xfId="0" applyNumberFormat="1" applyFont="1" applyFill="1" applyBorder="1" applyAlignment="1">
      <alignment horizontal="center"/>
    </xf>
    <xf numFmtId="0" fontId="3" fillId="9" borderId="0" xfId="0" applyFont="1" applyFill="1" applyAlignment="1">
      <alignment horizontal="left"/>
    </xf>
    <xf numFmtId="0" fontId="3" fillId="9" borderId="1" xfId="0" applyFont="1" applyFill="1" applyBorder="1" applyAlignment="1">
      <alignment horizontal="center"/>
    </xf>
    <xf numFmtId="165" fontId="3" fillId="9" borderId="1" xfId="0" applyNumberFormat="1" applyFont="1" applyFill="1" applyBorder="1" applyAlignment="1">
      <alignment horizontal="center"/>
    </xf>
    <xf numFmtId="0" fontId="8" fillId="0" borderId="0" xfId="0" applyFont="1"/>
    <xf numFmtId="0" fontId="6" fillId="1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10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12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0" fontId="9" fillId="1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7" borderId="0" xfId="0" applyFont="1" applyFill="1" applyAlignment="1">
      <alignment horizontal="center"/>
    </xf>
    <xf numFmtId="166" fontId="3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0" fontId="11" fillId="0" borderId="0" xfId="0" applyFont="1" applyAlignment="1">
      <alignment horizontal="center"/>
    </xf>
    <xf numFmtId="0" fontId="4" fillId="8" borderId="0" xfId="0" applyFont="1" applyFill="1" applyAlignment="1">
      <alignment horizontal="center"/>
    </xf>
    <xf numFmtId="0" fontId="16" fillId="7" borderId="0" xfId="0" applyFont="1" applyFill="1" applyAlignment="1">
      <alignment horizontal="center"/>
    </xf>
    <xf numFmtId="0" fontId="15" fillId="0" borderId="0" xfId="0" applyFont="1"/>
    <xf numFmtId="0" fontId="3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9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165" fontId="3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14" borderId="0" xfId="0" applyFont="1" applyFill="1" applyAlignment="1">
      <alignment horizontal="left"/>
    </xf>
    <xf numFmtId="14" fontId="5" fillId="0" borderId="0" xfId="0" applyNumberFormat="1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13" borderId="0" xfId="0" applyFont="1" applyFill="1" applyAlignment="1">
      <alignment horizontal="left"/>
    </xf>
    <xf numFmtId="14" fontId="8" fillId="0" borderId="0" xfId="0" applyNumberFormat="1" applyFont="1"/>
    <xf numFmtId="0" fontId="17" fillId="7" borderId="0" xfId="0" applyFont="1" applyFill="1"/>
    <xf numFmtId="0" fontId="18" fillId="0" borderId="0" xfId="0" applyFont="1"/>
    <xf numFmtId="164" fontId="8" fillId="0" borderId="0" xfId="0" applyNumberFormat="1" applyFont="1"/>
    <xf numFmtId="0" fontId="19" fillId="0" borderId="0" xfId="0" applyFont="1" applyAlignment="1">
      <alignment horizontal="center"/>
    </xf>
    <xf numFmtId="0" fontId="20" fillId="0" borderId="3" xfId="0" applyFont="1" applyBorder="1" applyAlignment="1">
      <alignment horizontal="center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3" fillId="0" borderId="5" xfId="0" applyFont="1" applyBorder="1"/>
    <xf numFmtId="0" fontId="24" fillId="15" borderId="1" xfId="0" applyFont="1" applyFill="1" applyBorder="1"/>
    <xf numFmtId="0" fontId="25" fillId="15" borderId="1" xfId="0" applyFont="1" applyFill="1" applyBorder="1" applyAlignment="1">
      <alignment horizontal="right"/>
    </xf>
    <xf numFmtId="0" fontId="19" fillId="0" borderId="1" xfId="0" applyFont="1" applyBorder="1" applyAlignment="1">
      <alignment horizontal="right"/>
    </xf>
    <xf numFmtId="0" fontId="19" fillId="0" borderId="1" xfId="0" applyFont="1" applyBorder="1"/>
    <xf numFmtId="0" fontId="26" fillId="17" borderId="1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1" xfId="0" applyFont="1" applyBorder="1" applyAlignment="1">
      <alignment horizontal="left"/>
    </xf>
    <xf numFmtId="14" fontId="18" fillId="0" borderId="1" xfId="0" applyNumberFormat="1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165" fontId="18" fillId="0" borderId="1" xfId="0" applyNumberFormat="1" applyFont="1" applyBorder="1" applyAlignment="1">
      <alignment horizontal="center"/>
    </xf>
    <xf numFmtId="167" fontId="18" fillId="0" borderId="1" xfId="0" applyNumberFormat="1" applyFont="1" applyBorder="1" applyAlignment="1">
      <alignment horizontal="center"/>
    </xf>
    <xf numFmtId="166" fontId="18" fillId="0" borderId="1" xfId="0" applyNumberFormat="1" applyFont="1" applyBorder="1" applyAlignment="1">
      <alignment horizontal="center"/>
    </xf>
    <xf numFmtId="169" fontId="18" fillId="0" borderId="1" xfId="0" applyNumberFormat="1" applyFont="1" applyBorder="1" applyAlignment="1">
      <alignment horizontal="left"/>
    </xf>
    <xf numFmtId="0" fontId="27" fillId="10" borderId="0" xfId="0" applyFont="1" applyFill="1"/>
    <xf numFmtId="168" fontId="8" fillId="0" borderId="0" xfId="0" applyNumberFormat="1" applyFont="1"/>
    <xf numFmtId="169" fontId="8" fillId="0" borderId="0" xfId="0" applyNumberFormat="1" applyFont="1"/>
    <xf numFmtId="0" fontId="0" fillId="0" borderId="8" xfId="0" applyBorder="1"/>
    <xf numFmtId="0" fontId="0" fillId="0" borderId="9" xfId="0" applyBorder="1"/>
    <xf numFmtId="0" fontId="0" fillId="0" borderId="8" xfId="0" pivotButton="1" applyBorder="1"/>
    <xf numFmtId="0" fontId="0" fillId="0" borderId="10" xfId="0" applyBorder="1"/>
    <xf numFmtId="0" fontId="0" fillId="0" borderId="11" xfId="0" applyBorder="1"/>
    <xf numFmtId="14" fontId="0" fillId="0" borderId="8" xfId="0" applyNumberFormat="1" applyBorder="1"/>
    <xf numFmtId="0" fontId="0" fillId="0" borderId="12" xfId="0" applyBorder="1"/>
    <xf numFmtId="0" fontId="0" fillId="0" borderId="13" xfId="0" applyBorder="1"/>
    <xf numFmtId="0" fontId="0" fillId="0" borderId="0" xfId="0" pivotButton="1"/>
    <xf numFmtId="14" fontId="0" fillId="0" borderId="0" xfId="0" applyNumberFormat="1"/>
    <xf numFmtId="0" fontId="0" fillId="0" borderId="15" xfId="0" applyBorder="1"/>
    <xf numFmtId="0" fontId="0" fillId="0" borderId="16" xfId="0" applyBorder="1"/>
    <xf numFmtId="14" fontId="0" fillId="0" borderId="17" xfId="0" applyNumberFormat="1" applyBorder="1"/>
    <xf numFmtId="0" fontId="0" fillId="0" borderId="8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4" xfId="0" applyNumberFormat="1" applyBorder="1"/>
    <xf numFmtId="0" fontId="0" fillId="0" borderId="0" xfId="0" applyNumberFormat="1"/>
    <xf numFmtId="0" fontId="0" fillId="0" borderId="15" xfId="0" applyNumberFormat="1" applyBorder="1"/>
    <xf numFmtId="0" fontId="0" fillId="0" borderId="17" xfId="0" applyNumberFormat="1" applyBorder="1"/>
    <xf numFmtId="0" fontId="0" fillId="0" borderId="18" xfId="0" applyNumberFormat="1" applyBorder="1"/>
    <xf numFmtId="0" fontId="0" fillId="0" borderId="19" xfId="0" applyNumberFormat="1" applyBorder="1"/>
  </cellXfs>
  <cellStyles count="1">
    <cellStyle name="Normal" xfId="0" builtinId="0"/>
  </cellStyles>
  <dxfs count="24">
    <dxf>
      <font>
        <color rgb="FF92D050"/>
      </font>
      <fill>
        <patternFill patternType="none"/>
      </fill>
    </dxf>
    <dxf>
      <fill>
        <patternFill patternType="solid">
          <fgColor rgb="FFF4CCCC"/>
          <bgColor rgb="FFF4CCCC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theme="0"/>
      </font>
      <fill>
        <patternFill patternType="solid">
          <fgColor theme="9"/>
          <bgColor theme="9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1">
    <tableStyle name="Google Sheets Pivot Table Style" table="0" count="12" xr9:uid="{00000000-0011-0000-FFFF-FFFF00000000}">
      <tableStyleElement type="wholeTable" dxfId="23"/>
      <tableStyleElement type="headerRow" dxfId="22"/>
      <tableStyleElement type="totalRow" dxfId="21"/>
      <tableStyleElement type="firstSubtotalRow" dxfId="20"/>
      <tableStyleElement type="secondSubtotalRow" dxfId="19"/>
      <tableStyleElement type="thirdSubtotalRow" dxfId="18"/>
      <tableStyleElement type="firstColumnSubheading" dxfId="17"/>
      <tableStyleElement type="secondColumnSubheading" dxfId="16"/>
      <tableStyleElement type="thirdColumnSubheading" dxfId="15"/>
      <tableStyleElement type="firstRowSubheading" dxfId="14"/>
      <tableStyleElement type="secondRowSubheading" dxfId="13"/>
      <tableStyleElement type="thirdRowSubheading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ustin" refreshedDate="45320.284947106484" refreshedVersion="8" recordCount="770" xr:uid="{00000000-000A-0000-FFFF-FFFF02000000}">
  <cacheSource type="worksheet">
    <worksheetSource ref="A1:S771" sheet="THE BOARD"/>
  </cacheSource>
  <cacheFields count="19">
    <cacheField name="Option 1" numFmtId="0">
      <sharedItems containsBlank="1" count="30">
        <s v="INDUSTRIAL"/>
        <s v="RESERVE PAX"/>
        <s v="PAX"/>
        <s v="SOUTHLAND"/>
        <s v="TURNER"/>
        <s v="STRUCTURAL STEEL"/>
        <s v="SOUTHLAND "/>
        <s v="PICOU FRADELLA"/>
        <s v="EST"/>
        <s v="LAPEYRE"/>
        <m/>
        <s v="TURNER " u="1"/>
        <s v="INDUSTRIAL STEEL" u="1"/>
        <s v="MID STATE" u="1"/>
        <s v="DISTRAN" u="1"/>
        <s v="Precision" u="1"/>
        <s v="PERFORMANCE" u="1"/>
        <s v="MG DYESS" u="1"/>
        <s v="CTIW" u="1"/>
        <s v="Gulf Island" u="1"/>
        <s v="CIVES" u="1"/>
        <s v="PERCISION " u="1"/>
        <s v="PAX " u="1"/>
        <s v="QUALICO" u="1"/>
        <s v="PRECISION " u="1"/>
        <s v="DELTA" u="1"/>
        <s v="DFI" u="1"/>
        <s v="MIZE" u="1"/>
        <s v="LANCE JDCS " u="1"/>
        <s v="SOUTHLAND STEEL" u="1"/>
      </sharedItems>
    </cacheField>
    <cacheField name="SEQ." numFmtId="0">
      <sharedItems containsBlank="1"/>
    </cacheField>
    <cacheField name="MAT. TYPE" numFmtId="0">
      <sharedItems containsBlank="1" containsMixedTypes="1" containsNumber="1" containsInteger="1" minValue="9" maxValue="43"/>
    </cacheField>
    <cacheField name="DATE" numFmtId="0">
      <sharedItems containsDate="1" containsBlank="1" containsMixedTypes="1" minDate="2023-01-06T00:00:00" maxDate="2024-03-23T00:00:00" count="94">
        <d v="2024-01-31T00:00:00"/>
        <d v="2024-02-01T00:00:00"/>
        <d v="2024-02-02T00:00:00"/>
        <d v="2024-02-09T00:00:00"/>
        <d v="2024-02-16T00:00:00"/>
        <d v="2024-02-19T00:00:00"/>
        <d v="2024-02-23T00:00:00"/>
        <d v="2024-03-01T00:00:00"/>
        <d v="2024-03-08T00:00:00"/>
        <m/>
        <d v="2024-03-15T00:00:00"/>
        <d v="2024-03-22T00:00:00"/>
        <s v="tbd"/>
        <d v="2023-01-06T00:00:00" u="1"/>
        <d v="2023-01-10T00:00:00" u="1"/>
        <d v="2023-01-13T00:00:00" u="1"/>
        <d v="2023-01-17T00:00:00" u="1"/>
        <d v="2023-01-20T00:00:00" u="1"/>
        <d v="2023-01-27T00:00:00" u="1"/>
        <d v="2023-01-31T00:00:00" u="1"/>
        <d v="2023-02-01T00:00:00" u="1"/>
        <d v="2023-02-03T00:00:00" u="1"/>
        <d v="2023-02-07T00:00:00" u="1"/>
        <d v="2023-02-10T00:00:00" u="1"/>
        <d v="2023-02-17T00:00:00" u="1"/>
        <d v="2023-02-24T00:00:00" u="1"/>
        <d v="2023-03-03T00:00:00" u="1"/>
        <d v="2023-03-10T00:00:00" u="1"/>
        <d v="2023-03-17T00:00:00" u="1"/>
        <d v="2023-03-21T00:00:00" u="1"/>
        <d v="2023-03-24T00:00:00" u="1"/>
        <d v="2023-03-31T00:00:00" u="1"/>
        <d v="2023-04-07T00:00:00" u="1"/>
        <d v="2023-04-14T00:00:00" u="1"/>
        <d v="2023-04-17T00:00:00" u="1"/>
        <d v="2023-04-21T00:00:00" u="1"/>
        <d v="2023-04-28T00:00:00" u="1"/>
        <d v="2023-05-05T00:00:00" u="1"/>
        <d v="2023-05-12T00:00:00" u="1"/>
        <d v="2023-05-19T00:00:00" u="1"/>
        <d v="2023-05-26T00:00:00" u="1"/>
        <d v="2023-06-02T00:00:00" u="1"/>
        <d v="2023-06-09T00:00:00" u="1"/>
        <d v="2023-06-16T00:00:00" u="1"/>
        <d v="2023-06-23T00:00:00" u="1"/>
        <d v="2023-06-30T00:00:00" u="1"/>
        <d v="2023-07-07T00:00:00" u="1"/>
        <d v="2023-07-14T00:00:00" u="1"/>
        <d v="2023-07-21T00:00:00" u="1"/>
        <d v="2023-07-28T00:00:00" u="1"/>
        <d v="2023-07-30T00:00:00" u="1"/>
        <d v="2023-08-04T00:00:00" u="1"/>
        <d v="2023-08-11T00:00:00" u="1"/>
        <d v="2023-08-14T00:00:00" u="1"/>
        <d v="2023-08-15T00:00:00" u="1"/>
        <d v="2023-08-18T00:00:00" u="1"/>
        <d v="2023-08-22T00:00:00" u="1"/>
        <d v="2023-08-25T00:00:00" u="1"/>
        <d v="2023-08-30T00:00:00" u="1"/>
        <d v="2023-08-31T00:00:00" u="1"/>
        <d v="2023-09-01T00:00:00" u="1"/>
        <d v="2023-09-08T00:00:00" u="1"/>
        <d v="2023-09-15T00:00:00" u="1"/>
        <d v="2023-09-22T00:00:00" u="1"/>
        <d v="2023-09-28T00:00:00" u="1"/>
        <d v="2023-10-03T00:00:00" u="1"/>
        <d v="2023-10-06T00:00:00" u="1"/>
        <d v="2023-10-13T00:00:00" u="1"/>
        <d v="2023-10-20T00:00:00" u="1"/>
        <d v="2023-10-23T00:00:00" u="1"/>
        <d v="2023-10-27T00:00:00" u="1"/>
        <d v="2023-10-28T00:00:00" u="1"/>
        <d v="2023-10-30T00:00:00" u="1"/>
        <d v="2023-11-02T00:00:00" u="1"/>
        <d v="2023-11-03T00:00:00" u="1"/>
        <d v="2023-11-06T00:00:00" u="1"/>
        <d v="2023-11-10T00:00:00" u="1"/>
        <d v="2023-11-16T00:00:00" u="1"/>
        <d v="2023-11-17T00:00:00" u="1"/>
        <d v="2023-12-01T00:00:00" u="1"/>
        <d v="2023-12-12T00:00:00" u="1"/>
        <d v="2023-12-13T00:00:00" u="1"/>
        <d v="2023-12-15T00:00:00" u="1"/>
        <d v="2023-12-18T00:00:00" u="1"/>
        <d v="2023-12-21T00:00:00" u="1"/>
        <d v="2023-12-22T00:00:00" u="1"/>
        <d v="2023-12-29T00:00:00" u="1"/>
        <d v="2023-12-31T00:00:00" u="1"/>
        <d v="2024-01-05T00:00:00" u="1"/>
        <d v="2024-01-12T00:00:00" u="1"/>
        <d v="2024-01-08T00:00:00" u="1"/>
        <d v="2024-01-19T00:00:00" u="1"/>
        <d v="2024-01-26T00:00:00" u="1"/>
        <s v="DONE" u="1"/>
      </sharedItems>
    </cacheField>
    <cacheField name="HR" numFmtId="0">
      <sharedItems containsBlank="1" containsMixedTypes="1" containsNumber="1" containsInteger="1" minValue="0" maxValue="333"/>
    </cacheField>
    <cacheField name="SR" numFmtId="0">
      <sharedItems containsBlank="1" containsMixedTypes="1" containsNumber="1" containsInteger="1" minValue="0" maxValue="47"/>
    </cacheField>
    <cacheField name="ST" numFmtId="0">
      <sharedItems containsBlank="1" containsMixedTypes="1" containsNumber="1" containsInteger="1" minValue="2" maxValue="16"/>
    </cacheField>
    <cacheField name="Caged" numFmtId="0">
      <sharedItems containsBlank="1" containsMixedTypes="1" containsNumber="1" containsInteger="1" minValue="1" maxValue="17"/>
    </cacheField>
    <cacheField name="Non Caged" numFmtId="0">
      <sharedItems containsBlank="1" containsMixedTypes="1" containsNumber="1" containsInteger="1" minValue="1" maxValue="28"/>
    </cacheField>
    <cacheField name="CUT BY " numFmtId="0">
      <sharedItems containsBlank="1"/>
    </cacheField>
    <cacheField name="FIT BY " numFmtId="0">
      <sharedItems containsBlank="1"/>
    </cacheField>
    <cacheField name="Billed Status" numFmtId="0">
      <sharedItems containsBlank="1"/>
    </cacheField>
    <cacheField name="NOTES" numFmtId="0">
      <sharedItems containsBlank="1"/>
    </cacheField>
    <cacheField name="DRAWINGS" numFmtId="0">
      <sharedItems containsBlank="1" containsMixedTypes="1" containsNumber="1" containsInteger="1" minValue="4" maxValue="6"/>
    </cacheField>
    <cacheField name="KSS FILE" numFmtId="0">
      <sharedItems containsNonDate="0" containsString="0" containsBlank="1"/>
    </cacheField>
    <cacheField name="1 - ANGLE, 2 - PIPE, 3 - OTHER" numFmtId="0">
      <sharedItems containsNonDate="0" containsString="0" containsBlank="1"/>
    </cacheField>
    <cacheField name="MISC." numFmtId="0">
      <sharedItems containsNonDate="0" containsString="0" containsBlank="1"/>
    </cacheField>
    <cacheField name="MATERIAL STATUS" numFmtId="0">
      <sharedItems containsBlank="1"/>
    </cacheField>
    <cacheField name="Shipped Statu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ustin" refreshedDate="45320.284947337961" refreshedVersion="8" recordCount="770" xr:uid="{00000000-000A-0000-FFFF-FFFF01000000}">
  <cacheSource type="worksheet">
    <worksheetSource ref="A1:S771" sheet="THE BOARD"/>
  </cacheSource>
  <cacheFields count="19">
    <cacheField name="Option 1" numFmtId="0">
      <sharedItems containsBlank="1"/>
    </cacheField>
    <cacheField name="SEQ." numFmtId="0">
      <sharedItems containsBlank="1"/>
    </cacheField>
    <cacheField name="MAT. TYPE" numFmtId="0">
      <sharedItems containsBlank="1" containsMixedTypes="1" containsNumber="1" containsInteger="1" minValue="9" maxValue="43"/>
    </cacheField>
    <cacheField name="DATE" numFmtId="0">
      <sharedItems containsDate="1" containsBlank="1" containsMixedTypes="1" minDate="2023-01-06T00:00:00" maxDate="2024-03-23T00:00:00" count="94">
        <d v="2024-01-31T00:00:00"/>
        <d v="2024-02-01T00:00:00"/>
        <d v="2024-02-02T00:00:00"/>
        <d v="2024-02-09T00:00:00"/>
        <d v="2024-02-16T00:00:00"/>
        <d v="2024-02-19T00:00:00"/>
        <d v="2024-02-23T00:00:00"/>
        <d v="2024-03-01T00:00:00"/>
        <d v="2024-03-08T00:00:00"/>
        <m/>
        <d v="2024-03-15T00:00:00"/>
        <d v="2024-03-22T00:00:00"/>
        <s v="tbd"/>
        <d v="2023-01-06T00:00:00" u="1"/>
        <d v="2023-01-10T00:00:00" u="1"/>
        <d v="2023-01-13T00:00:00" u="1"/>
        <d v="2023-01-17T00:00:00" u="1"/>
        <d v="2023-01-20T00:00:00" u="1"/>
        <d v="2023-01-27T00:00:00" u="1"/>
        <d v="2023-01-31T00:00:00" u="1"/>
        <d v="2023-02-01T00:00:00" u="1"/>
        <d v="2023-02-03T00:00:00" u="1"/>
        <d v="2023-02-07T00:00:00" u="1"/>
        <d v="2023-02-10T00:00:00" u="1"/>
        <d v="2023-02-17T00:00:00" u="1"/>
        <d v="2023-02-24T00:00:00" u="1"/>
        <d v="2023-03-03T00:00:00" u="1"/>
        <d v="2023-03-10T00:00:00" u="1"/>
        <d v="2023-03-17T00:00:00" u="1"/>
        <d v="2023-03-21T00:00:00" u="1"/>
        <d v="2023-03-24T00:00:00" u="1"/>
        <d v="2023-03-31T00:00:00" u="1"/>
        <d v="2023-04-07T00:00:00" u="1"/>
        <d v="2023-04-14T00:00:00" u="1"/>
        <d v="2023-04-17T00:00:00" u="1"/>
        <d v="2023-04-21T00:00:00" u="1"/>
        <d v="2023-04-28T00:00:00" u="1"/>
        <d v="2023-05-05T00:00:00" u="1"/>
        <d v="2023-05-12T00:00:00" u="1"/>
        <d v="2023-05-19T00:00:00" u="1"/>
        <d v="2023-05-26T00:00:00" u="1"/>
        <d v="2023-06-02T00:00:00" u="1"/>
        <d v="2023-06-09T00:00:00" u="1"/>
        <d v="2023-06-16T00:00:00" u="1"/>
        <d v="2023-06-23T00:00:00" u="1"/>
        <d v="2023-06-30T00:00:00" u="1"/>
        <d v="2023-07-07T00:00:00" u="1"/>
        <d v="2023-07-14T00:00:00" u="1"/>
        <d v="2023-07-21T00:00:00" u="1"/>
        <d v="2023-07-28T00:00:00" u="1"/>
        <d v="2023-07-30T00:00:00" u="1"/>
        <d v="2023-08-04T00:00:00" u="1"/>
        <d v="2023-08-11T00:00:00" u="1"/>
        <d v="2023-08-14T00:00:00" u="1"/>
        <d v="2023-08-15T00:00:00" u="1"/>
        <d v="2023-08-18T00:00:00" u="1"/>
        <d v="2023-08-22T00:00:00" u="1"/>
        <d v="2023-08-25T00:00:00" u="1"/>
        <d v="2023-08-30T00:00:00" u="1"/>
        <d v="2023-08-31T00:00:00" u="1"/>
        <d v="2023-09-01T00:00:00" u="1"/>
        <d v="2023-09-08T00:00:00" u="1"/>
        <d v="2023-09-15T00:00:00" u="1"/>
        <d v="2023-09-22T00:00:00" u="1"/>
        <d v="2023-09-28T00:00:00" u="1"/>
        <d v="2023-10-03T00:00:00" u="1"/>
        <d v="2023-10-06T00:00:00" u="1"/>
        <d v="2023-10-13T00:00:00" u="1"/>
        <d v="2023-10-20T00:00:00" u="1"/>
        <d v="2023-10-23T00:00:00" u="1"/>
        <d v="2023-10-27T00:00:00" u="1"/>
        <d v="2023-10-28T00:00:00" u="1"/>
        <d v="2023-10-30T00:00:00" u="1"/>
        <d v="2023-11-02T00:00:00" u="1"/>
        <d v="2023-11-03T00:00:00" u="1"/>
        <d v="2023-11-06T00:00:00" u="1"/>
        <d v="2023-11-10T00:00:00" u="1"/>
        <d v="2023-11-16T00:00:00" u="1"/>
        <d v="2023-11-17T00:00:00" u="1"/>
        <d v="2023-12-01T00:00:00" u="1"/>
        <d v="2023-12-12T00:00:00" u="1"/>
        <d v="2023-12-13T00:00:00" u="1"/>
        <d v="2023-12-15T00:00:00" u="1"/>
        <d v="2023-12-18T00:00:00" u="1"/>
        <d v="2023-12-21T00:00:00" u="1"/>
        <d v="2023-12-22T00:00:00" u="1"/>
        <d v="2023-12-29T00:00:00" u="1"/>
        <d v="2023-12-31T00:00:00" u="1"/>
        <d v="2024-01-05T00:00:00" u="1"/>
        <d v="2024-01-12T00:00:00" u="1"/>
        <d v="2024-01-08T00:00:00" u="1"/>
        <d v="2024-01-19T00:00:00" u="1"/>
        <d v="2024-01-26T00:00:00" u="1"/>
        <s v="DONE" u="1"/>
      </sharedItems>
    </cacheField>
    <cacheField name="HR" numFmtId="0">
      <sharedItems containsBlank="1" containsMixedTypes="1" containsNumber="1" containsInteger="1" minValue="0" maxValue="333"/>
    </cacheField>
    <cacheField name="SR" numFmtId="0">
      <sharedItems containsBlank="1" containsMixedTypes="1" containsNumber="1" containsInteger="1" minValue="0" maxValue="47"/>
    </cacheField>
    <cacheField name="ST" numFmtId="0">
      <sharedItems containsBlank="1" containsMixedTypes="1" containsNumber="1" containsInteger="1" minValue="2" maxValue="16"/>
    </cacheField>
    <cacheField name="Caged" numFmtId="0">
      <sharedItems containsBlank="1" containsMixedTypes="1" containsNumber="1" containsInteger="1" minValue="1" maxValue="17"/>
    </cacheField>
    <cacheField name="Non Caged" numFmtId="0">
      <sharedItems containsBlank="1" containsMixedTypes="1" containsNumber="1" containsInteger="1" minValue="1" maxValue="28"/>
    </cacheField>
    <cacheField name="CUT BY " numFmtId="0">
      <sharedItems containsBlank="1"/>
    </cacheField>
    <cacheField name="FIT BY " numFmtId="0">
      <sharedItems containsBlank="1"/>
    </cacheField>
    <cacheField name="Billed Status" numFmtId="0">
      <sharedItems containsBlank="1"/>
    </cacheField>
    <cacheField name="NOTES" numFmtId="0">
      <sharedItems containsBlank="1"/>
    </cacheField>
    <cacheField name="DRAWINGS" numFmtId="0">
      <sharedItems containsBlank="1" containsMixedTypes="1" containsNumber="1" containsInteger="1" minValue="4" maxValue="6"/>
    </cacheField>
    <cacheField name="KSS FILE" numFmtId="0">
      <sharedItems containsNonDate="0" containsString="0" containsBlank="1"/>
    </cacheField>
    <cacheField name="1 - ANGLE, 2 - PIPE, 3 - OTHER" numFmtId="0">
      <sharedItems containsNonDate="0" containsString="0" containsBlank="1"/>
    </cacheField>
    <cacheField name="MISC." numFmtId="0">
      <sharedItems containsNonDate="0" containsString="0" containsBlank="1"/>
    </cacheField>
    <cacheField name="MATERIAL STATUS" numFmtId="0">
      <sharedItems containsBlank="1"/>
    </cacheField>
    <cacheField name="Shipped Statu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ustin" refreshedDate="45320.284947453707" refreshedVersion="8" recordCount="27" xr:uid="{00000000-000A-0000-FFFF-FFFF00000000}">
  <cacheSource type="worksheet">
    <worksheetSource ref="A1:S28" sheet="THE BOARD"/>
  </cacheSource>
  <cacheFields count="19">
    <cacheField name="Option 1" numFmtId="0">
      <sharedItems/>
    </cacheField>
    <cacheField name="SEQ." numFmtId="0">
      <sharedItems/>
    </cacheField>
    <cacheField name="MAT. TYPE" numFmtId="0">
      <sharedItems containsBlank="1" containsMixedTypes="1" containsNumber="1" containsInteger="1" minValue="9" maxValue="33"/>
    </cacheField>
    <cacheField name="DATE" numFmtId="0">
      <sharedItems containsSemiMixedTypes="0" containsNonDate="0" containsDate="1" containsString="0" minDate="2024-01-31T00:00:00" maxDate="2024-02-17T00:00:00" count="5">
        <d v="2024-01-31T00:00:00"/>
        <d v="2024-02-01T00:00:00"/>
        <d v="2024-02-02T00:00:00"/>
        <d v="2024-02-09T00:00:00"/>
        <d v="2024-02-16T00:00:00"/>
      </sharedItems>
      <fieldGroup base="3">
        <rangePr autoStart="0" autoEnd="0" groupBy="months" startDate="2023-01-06T00:00:00" endDate="2024-02-17T00:00:00"/>
        <groupItems count="14">
          <s v="&lt;1/6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7/2024"/>
        </groupItems>
      </fieldGroup>
    </cacheField>
    <cacheField name="HR" numFmtId="0">
      <sharedItems containsString="0" containsBlank="1" containsNumber="1" containsInteger="1" minValue="0" maxValue="89"/>
    </cacheField>
    <cacheField name="SR" numFmtId="0">
      <sharedItems containsBlank="1" containsMixedTypes="1" containsNumber="1" containsInteger="1" minValue="0" maxValue="16"/>
    </cacheField>
    <cacheField name="ST" numFmtId="0">
      <sharedItems containsString="0" containsBlank="1" containsNumber="1" containsInteger="1" minValue="2" maxValue="16"/>
    </cacheField>
    <cacheField name="Caged" numFmtId="0">
      <sharedItems containsString="0" containsBlank="1" containsNumber="1" containsInteger="1" minValue="1" maxValue="7"/>
    </cacheField>
    <cacheField name="Non Caged" numFmtId="0">
      <sharedItems containsString="0" containsBlank="1" containsNumber="1" containsInteger="1" minValue="1" maxValue="28"/>
    </cacheField>
    <cacheField name="CUT BY " numFmtId="0">
      <sharedItems containsBlank="1"/>
    </cacheField>
    <cacheField name="FIT BY " numFmtId="0">
      <sharedItems containsBlank="1"/>
    </cacheField>
    <cacheField name="Billed Status" numFmtId="0">
      <sharedItems containsNonDate="0" containsBlank="1" count="5">
        <m/>
        <s v="BILLED" u="1"/>
        <s v="DO NOT BILL" u="1"/>
        <s v="READY" u="1"/>
        <s v=" REBILL" u="1"/>
      </sharedItems>
    </cacheField>
    <cacheField name="NOTES" numFmtId="0">
      <sharedItems containsBlank="1"/>
    </cacheField>
    <cacheField name="DRAWINGS" numFmtId="0">
      <sharedItems containsBlank="1"/>
    </cacheField>
    <cacheField name="KSS FILE" numFmtId="0">
      <sharedItems containsNonDate="0" containsString="0" containsBlank="1"/>
    </cacheField>
    <cacheField name="1 - ANGLE, 2 - PIPE, 3 - OTHER" numFmtId="0">
      <sharedItems containsNonDate="0" containsString="0" containsBlank="1"/>
    </cacheField>
    <cacheField name="MISC." numFmtId="0">
      <sharedItems containsNonDate="0" containsString="0" containsBlank="1"/>
    </cacheField>
    <cacheField name="MATERIAL STATUS" numFmtId="0">
      <sharedItems containsBlank="1"/>
    </cacheField>
    <cacheField name="Shipped Statu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s v="PO 19390 JOB 1120083 RAILS ONLY"/>
    <m/>
    <x v="0"/>
    <n v="5"/>
    <n v="2"/>
    <m/>
    <m/>
    <m/>
    <m/>
    <m/>
    <m/>
    <s v="10 HANDRAIL SLEEVES"/>
    <m/>
    <m/>
    <m/>
    <m/>
    <m/>
    <m/>
  </r>
  <r>
    <x v="1"/>
    <s v="FEBRUARY"/>
    <m/>
    <x v="1"/>
    <n v="0"/>
    <n v="0"/>
    <m/>
    <m/>
    <m/>
    <m/>
    <m/>
    <m/>
    <m/>
    <m/>
    <m/>
    <m/>
    <m/>
    <m/>
    <m/>
  </r>
  <r>
    <x v="2"/>
    <s v="246-102"/>
    <n v="22"/>
    <x v="2"/>
    <n v="6"/>
    <s v=" "/>
    <m/>
    <n v="1"/>
    <m/>
    <m/>
    <m/>
    <m/>
    <m/>
    <m/>
    <m/>
    <m/>
    <m/>
    <m/>
    <m/>
  </r>
  <r>
    <x v="2"/>
    <s v="246-209"/>
    <n v="9"/>
    <x v="2"/>
    <n v="5"/>
    <n v="2"/>
    <n v="2"/>
    <m/>
    <m/>
    <s v="SPECK TH"/>
    <m/>
    <m/>
    <s v="NEEDS PIPE GR"/>
    <m/>
    <m/>
    <m/>
    <m/>
    <m/>
    <m/>
  </r>
  <r>
    <x v="2"/>
    <s v="246-210"/>
    <n v="10"/>
    <x v="2"/>
    <n v="5"/>
    <n v="2"/>
    <n v="2"/>
    <m/>
    <m/>
    <s v="SPECK TH"/>
    <m/>
    <m/>
    <s v="NEEDS PIPE GR"/>
    <m/>
    <m/>
    <m/>
    <m/>
    <m/>
    <m/>
  </r>
  <r>
    <x v="2"/>
    <s v="246-103"/>
    <n v="23"/>
    <x v="2"/>
    <n v="7"/>
    <n v="4"/>
    <n v="4"/>
    <m/>
    <m/>
    <m/>
    <m/>
    <m/>
    <s v="ONLY NEEDS CH CUT"/>
    <m/>
    <m/>
    <m/>
    <m/>
    <m/>
    <m/>
  </r>
  <r>
    <x v="2"/>
    <s v="246-82"/>
    <n v="29"/>
    <x v="2"/>
    <n v="20"/>
    <n v="4"/>
    <n v="4"/>
    <n v="2"/>
    <n v="1"/>
    <m/>
    <s v="FB DONE"/>
    <m/>
    <s v="NEEDS PIPE GR"/>
    <m/>
    <m/>
    <m/>
    <m/>
    <m/>
    <m/>
  </r>
  <r>
    <x v="2"/>
    <s v="246-94"/>
    <n v="12"/>
    <x v="2"/>
    <n v="18"/>
    <n v="8"/>
    <n v="8"/>
    <n v="3"/>
    <m/>
    <m/>
    <m/>
    <m/>
    <s v="FB CUT"/>
    <m/>
    <m/>
    <m/>
    <m/>
    <m/>
    <m/>
  </r>
  <r>
    <x v="2"/>
    <s v="246-224M"/>
    <n v="17"/>
    <x v="2"/>
    <n v="89"/>
    <m/>
    <m/>
    <m/>
    <n v="28"/>
    <m/>
    <s v="JJ TU/W (ANG)"/>
    <m/>
    <s v="TP CUT"/>
    <m/>
    <m/>
    <m/>
    <m/>
    <m/>
    <m/>
  </r>
  <r>
    <x v="2"/>
    <s v="246-113"/>
    <n v="18"/>
    <x v="2"/>
    <n v="50"/>
    <n v="16"/>
    <n v="16"/>
    <n v="4"/>
    <m/>
    <s v="SPECK WED (ANG)"/>
    <s v="TP CUT"/>
    <m/>
    <s v="NEEDS PIPE GR"/>
    <m/>
    <m/>
    <m/>
    <m/>
    <m/>
    <m/>
  </r>
  <r>
    <x v="2"/>
    <s v="246-226"/>
    <n v="19"/>
    <x v="2"/>
    <n v="12"/>
    <n v="4"/>
    <n v="4"/>
    <n v="1"/>
    <m/>
    <s v="SPECK TH"/>
    <s v="JJ TH (ANG)"/>
    <m/>
    <s v="NEEDS PIPE GR"/>
    <m/>
    <m/>
    <m/>
    <m/>
    <m/>
    <m/>
  </r>
  <r>
    <x v="2"/>
    <s v="246-27"/>
    <n v="20"/>
    <x v="2"/>
    <n v="34"/>
    <n v="8"/>
    <n v="6"/>
    <n v="2"/>
    <m/>
    <m/>
    <s v="JJ FRI (ANG)"/>
    <m/>
    <s v="TP CUT"/>
    <m/>
    <m/>
    <m/>
    <m/>
    <m/>
    <m/>
  </r>
  <r>
    <x v="2"/>
    <s v="246-88"/>
    <n v="21"/>
    <x v="2"/>
    <n v="8"/>
    <n v="10"/>
    <n v="10"/>
    <m/>
    <m/>
    <m/>
    <m/>
    <m/>
    <s v="FB CUT"/>
    <m/>
    <m/>
    <m/>
    <m/>
    <m/>
    <m/>
  </r>
  <r>
    <x v="0"/>
    <s v="PO 19384, JOB 61214920"/>
    <s v="PIPE"/>
    <x v="2"/>
    <n v="7"/>
    <m/>
    <m/>
    <m/>
    <m/>
    <m/>
    <m/>
    <m/>
    <s v="10 HR SLEEVES"/>
    <m/>
    <m/>
    <m/>
    <m/>
    <m/>
    <m/>
  </r>
  <r>
    <x v="2"/>
    <s v="246-186"/>
    <n v="26"/>
    <x v="3"/>
    <n v="24"/>
    <m/>
    <m/>
    <n v="7"/>
    <m/>
    <m/>
    <m/>
    <m/>
    <s v="waiting on corrected files "/>
    <m/>
    <m/>
    <m/>
    <m/>
    <m/>
    <m/>
  </r>
  <r>
    <x v="2"/>
    <s v="246-218"/>
    <n v="27"/>
    <x v="3"/>
    <m/>
    <n v="4"/>
    <n v="4"/>
    <m/>
    <m/>
    <m/>
    <s v="NEEDS PIPE GR"/>
    <m/>
    <s v="MISC STUFF"/>
    <m/>
    <m/>
    <m/>
    <m/>
    <m/>
    <m/>
  </r>
  <r>
    <x v="2"/>
    <s v="246-79M"/>
    <n v="28"/>
    <x v="3"/>
    <n v="20"/>
    <m/>
    <m/>
    <n v="1"/>
    <m/>
    <m/>
    <m/>
    <m/>
    <m/>
    <m/>
    <m/>
    <m/>
    <m/>
    <m/>
    <m/>
  </r>
  <r>
    <x v="3"/>
    <s v="L216"/>
    <m/>
    <x v="3"/>
    <n v="37"/>
    <n v="8"/>
    <n v="8"/>
    <n v="3"/>
    <m/>
    <s v="SPECK FRI"/>
    <s v="JJ MON"/>
    <m/>
    <m/>
    <m/>
    <m/>
    <m/>
    <m/>
    <s v="ORDERED Materials"/>
    <m/>
  </r>
  <r>
    <x v="3"/>
    <s v="L217"/>
    <m/>
    <x v="3"/>
    <n v="35"/>
    <n v="8"/>
    <n v="8"/>
    <n v="3"/>
    <m/>
    <m/>
    <m/>
    <m/>
    <m/>
    <m/>
    <m/>
    <m/>
    <m/>
    <s v="ORDERED Materials"/>
    <m/>
  </r>
  <r>
    <x v="2"/>
    <s v="246-179"/>
    <n v="25"/>
    <x v="3"/>
    <n v="2"/>
    <n v="2"/>
    <n v="2"/>
    <m/>
    <m/>
    <m/>
    <s v="FB DONE"/>
    <m/>
    <s v="350 LBS MISC/ NEEDS PIPE GR"/>
    <m/>
    <m/>
    <m/>
    <m/>
    <m/>
    <m/>
  </r>
  <r>
    <x v="2"/>
    <s v="246-95"/>
    <n v="31"/>
    <x v="3"/>
    <n v="20"/>
    <n v="6"/>
    <n v="8"/>
    <n v="2"/>
    <m/>
    <m/>
    <s v="FB DONE"/>
    <m/>
    <s v="NEEDS PIPE GR; HOLD"/>
    <m/>
    <m/>
    <m/>
    <m/>
    <m/>
    <m/>
  </r>
  <r>
    <x v="2"/>
    <s v="246-96"/>
    <n v="32"/>
    <x v="3"/>
    <n v="20"/>
    <n v="6"/>
    <n v="8"/>
    <n v="2"/>
    <m/>
    <m/>
    <s v="FB DONE"/>
    <m/>
    <s v="NEEDS PIPE GR; HOLD"/>
    <m/>
    <m/>
    <m/>
    <m/>
    <m/>
    <m/>
  </r>
  <r>
    <x v="2"/>
    <s v="246-81"/>
    <n v="30"/>
    <x v="3"/>
    <n v="20"/>
    <n v="6"/>
    <n v="6"/>
    <n v="2"/>
    <n v="2"/>
    <m/>
    <m/>
    <m/>
    <s v="FB CUT"/>
    <m/>
    <m/>
    <m/>
    <m/>
    <m/>
    <m/>
  </r>
  <r>
    <x v="2"/>
    <s v="246-118"/>
    <n v="33"/>
    <x v="3"/>
    <n v="30"/>
    <n v="8"/>
    <n v="8"/>
    <n v="2"/>
    <m/>
    <m/>
    <s v="FB DONE"/>
    <m/>
    <m/>
    <m/>
    <m/>
    <m/>
    <m/>
    <m/>
    <m/>
  </r>
  <r>
    <x v="2"/>
    <s v="274M"/>
    <m/>
    <x v="3"/>
    <n v="13"/>
    <m/>
    <m/>
    <n v="1"/>
    <n v="4"/>
    <m/>
    <m/>
    <m/>
    <m/>
    <s v="HAVE DRAWINGS"/>
    <m/>
    <m/>
    <m/>
    <m/>
    <m/>
  </r>
  <r>
    <x v="4"/>
    <s v="GULCH"/>
    <m/>
    <x v="3"/>
    <m/>
    <n v="5"/>
    <m/>
    <m/>
    <m/>
    <m/>
    <m/>
    <m/>
    <s v="5 WALL RAILS"/>
    <m/>
    <m/>
    <m/>
    <m/>
    <m/>
    <m/>
  </r>
  <r>
    <x v="3"/>
    <s v="L205"/>
    <m/>
    <x v="4"/>
    <n v="16"/>
    <s v=" "/>
    <m/>
    <n v="2"/>
    <m/>
    <m/>
    <m/>
    <m/>
    <m/>
    <m/>
    <m/>
    <m/>
    <m/>
    <s v="ORDERED Materials"/>
    <m/>
  </r>
  <r>
    <x v="3"/>
    <s v="L219"/>
    <m/>
    <x v="4"/>
    <n v="35"/>
    <n v="8"/>
    <n v="8"/>
    <n v="3"/>
    <m/>
    <m/>
    <m/>
    <m/>
    <s v="NEEDS PIPE GR"/>
    <m/>
    <m/>
    <m/>
    <m/>
    <s v="ORDERED Materials"/>
    <m/>
  </r>
  <r>
    <x v="5"/>
    <s v="3233G LADDERS PO F21742"/>
    <s v="mebac ladder rungs"/>
    <x v="4"/>
    <s v=" "/>
    <s v=" "/>
    <s v=" "/>
    <s v=" "/>
    <n v="12"/>
    <m/>
    <m/>
    <m/>
    <m/>
    <m/>
    <m/>
    <m/>
    <m/>
    <m/>
    <m/>
  </r>
  <r>
    <x v="6"/>
    <s v="BECTHEL LIQUIFICATION  1023195 R101-02"/>
    <m/>
    <x v="4"/>
    <n v="65"/>
    <m/>
    <m/>
    <n v="6"/>
    <m/>
    <s v="waiting on correct files"/>
    <m/>
    <m/>
    <s v="PUT JOB PREFIX ON ALL TAGS 116A1"/>
    <m/>
    <m/>
    <m/>
    <m/>
    <s v="ORDERED Materials"/>
    <m/>
  </r>
  <r>
    <x v="3"/>
    <s v="L220"/>
    <m/>
    <x v="4"/>
    <n v="37"/>
    <n v="8"/>
    <n v="8"/>
    <n v="3"/>
    <m/>
    <m/>
    <m/>
    <m/>
    <m/>
    <m/>
    <m/>
    <m/>
    <m/>
    <s v="ORDERED Materials"/>
    <m/>
  </r>
  <r>
    <x v="3"/>
    <s v="L221"/>
    <m/>
    <x v="4"/>
    <n v="33"/>
    <n v="8"/>
    <n v="8"/>
    <n v="3"/>
    <m/>
    <m/>
    <m/>
    <m/>
    <m/>
    <m/>
    <m/>
    <m/>
    <m/>
    <s v="ORDERED Materials"/>
    <m/>
  </r>
  <r>
    <x v="7"/>
    <m/>
    <m/>
    <x v="5"/>
    <m/>
    <m/>
    <m/>
    <m/>
    <m/>
    <m/>
    <m/>
    <m/>
    <m/>
    <m/>
    <m/>
    <m/>
    <m/>
    <m/>
    <m/>
  </r>
  <r>
    <x v="2"/>
    <s v="266-4CM"/>
    <m/>
    <x v="6"/>
    <n v="333"/>
    <n v="12"/>
    <n v="12"/>
    <n v="17"/>
    <n v="6"/>
    <m/>
    <m/>
    <m/>
    <m/>
    <m/>
    <m/>
    <m/>
    <m/>
    <m/>
    <m/>
  </r>
  <r>
    <x v="2"/>
    <s v="246-199M"/>
    <n v="34"/>
    <x v="7"/>
    <n v="6"/>
    <m/>
    <m/>
    <n v="1"/>
    <m/>
    <m/>
    <s v="FB DONE"/>
    <m/>
    <m/>
    <m/>
    <m/>
    <m/>
    <m/>
    <m/>
    <m/>
  </r>
  <r>
    <x v="8"/>
    <s v="PEABODY 6"/>
    <s v="TUBING"/>
    <x v="7"/>
    <n v="0"/>
    <n v="47"/>
    <m/>
    <m/>
    <m/>
    <m/>
    <m/>
    <m/>
    <s v="PEABODY EST"/>
    <n v="6"/>
    <m/>
    <m/>
    <m/>
    <m/>
    <m/>
  </r>
  <r>
    <x v="2"/>
    <s v="246-4CM"/>
    <n v="36"/>
    <x v="7"/>
    <n v="30"/>
    <n v="8"/>
    <n v="8"/>
    <n v="2"/>
    <s v=" "/>
    <m/>
    <m/>
    <m/>
    <s v=" "/>
    <s v="NO DRAWINGS AT 8/22"/>
    <m/>
    <m/>
    <m/>
    <m/>
    <m/>
  </r>
  <r>
    <x v="2"/>
    <s v="246-4DM"/>
    <n v="37"/>
    <x v="7"/>
    <n v="30"/>
    <n v="8"/>
    <n v="8"/>
    <n v="2"/>
    <s v=" "/>
    <m/>
    <m/>
    <m/>
    <s v=" "/>
    <s v="NO DRAWINGS AT 8/22"/>
    <m/>
    <m/>
    <m/>
    <m/>
    <m/>
  </r>
  <r>
    <x v="2"/>
    <s v="246-6CM"/>
    <n v="38"/>
    <x v="7"/>
    <n v="6"/>
    <m/>
    <m/>
    <n v="1"/>
    <m/>
    <m/>
    <m/>
    <m/>
    <s v="ANGLE"/>
    <s v="NO DRAWINGS AT 8/22"/>
    <m/>
    <m/>
    <m/>
    <m/>
    <m/>
  </r>
  <r>
    <x v="2"/>
    <s v="246-6DM"/>
    <n v="39"/>
    <x v="7"/>
    <n v="6"/>
    <m/>
    <m/>
    <n v="1"/>
    <m/>
    <m/>
    <m/>
    <m/>
    <s v="ANGLE"/>
    <s v="NO DRAWINGS AT 8/22"/>
    <m/>
    <m/>
    <m/>
    <m/>
    <m/>
  </r>
  <r>
    <x v="2"/>
    <s v="246-6EM"/>
    <n v="40"/>
    <x v="7"/>
    <n v="6"/>
    <m/>
    <m/>
    <n v="1"/>
    <m/>
    <m/>
    <m/>
    <m/>
    <s v="ANGLE"/>
    <s v="NO DRAWINGS AT 7/26"/>
    <m/>
    <m/>
    <m/>
    <m/>
    <m/>
  </r>
  <r>
    <x v="2"/>
    <s v="246-17M"/>
    <n v="35"/>
    <x v="7"/>
    <n v="25"/>
    <n v="0"/>
    <m/>
    <n v="7"/>
    <m/>
    <s v="REVISION"/>
    <s v="REVISION"/>
    <m/>
    <m/>
    <s v="JOB PROGRAMED PARTIALLY PRIOR TO DECEMBER"/>
    <m/>
    <m/>
    <m/>
    <m/>
    <m/>
  </r>
  <r>
    <x v="2"/>
    <s v="246-14CM"/>
    <n v="41"/>
    <x v="8"/>
    <n v="30"/>
    <n v="10"/>
    <n v="10"/>
    <n v="2"/>
    <m/>
    <m/>
    <m/>
    <m/>
    <s v=" "/>
    <s v="NO DRAWINGS 8/23"/>
    <m/>
    <m/>
    <m/>
    <m/>
    <m/>
  </r>
  <r>
    <x v="2"/>
    <s v="246-14DM"/>
    <n v="42"/>
    <x v="8"/>
    <n v="30"/>
    <n v="10"/>
    <n v="10"/>
    <n v="2"/>
    <m/>
    <m/>
    <m/>
    <m/>
    <s v=" "/>
    <s v="NO DRAWINGS 8/23"/>
    <m/>
    <m/>
    <m/>
    <m/>
    <m/>
  </r>
  <r>
    <x v="2"/>
    <s v="246-14EM"/>
    <n v="43"/>
    <x v="8"/>
    <n v="30"/>
    <n v="6"/>
    <n v="6"/>
    <n v="2"/>
    <m/>
    <m/>
    <m/>
    <m/>
    <m/>
    <m/>
    <m/>
    <m/>
    <m/>
    <m/>
    <m/>
  </r>
  <r>
    <x v="9"/>
    <s v="AVONDALE STAIR 4 PAINT"/>
    <m/>
    <x v="9"/>
    <m/>
    <m/>
    <m/>
    <m/>
    <m/>
    <m/>
    <m/>
    <s v="BILLED"/>
    <m/>
    <m/>
    <m/>
    <m/>
    <m/>
    <m/>
    <m/>
  </r>
  <r>
    <x v="9"/>
    <s v="AVONDALE STAIR A REBUILT STAIRS"/>
    <m/>
    <x v="9"/>
    <n v="2"/>
    <m/>
    <m/>
    <m/>
    <m/>
    <m/>
    <m/>
    <s v="BILLED"/>
    <s v="W3G4 REFABRICATED"/>
    <m/>
    <m/>
    <m/>
    <m/>
    <m/>
    <m/>
  </r>
  <r>
    <x v="5"/>
    <s v="3233G LADDERS (2ND SET) PO F21742"/>
    <s v="mebac ladder rungs"/>
    <x v="10"/>
    <m/>
    <m/>
    <m/>
    <m/>
    <n v="9"/>
    <m/>
    <m/>
    <m/>
    <m/>
    <m/>
    <m/>
    <m/>
    <m/>
    <m/>
    <m/>
  </r>
  <r>
    <x v="2"/>
    <s v="318-3M"/>
    <m/>
    <x v="10"/>
    <n v="12"/>
    <n v="4"/>
    <n v="4"/>
    <m/>
    <m/>
    <m/>
    <m/>
    <m/>
    <s v="REVISIONS?  3002F1, 3002FP2, 3039P5, 3042S1, 3043S1"/>
    <m/>
    <m/>
    <m/>
    <m/>
    <m/>
    <m/>
  </r>
  <r>
    <x v="4"/>
    <s v="PEABODY 4"/>
    <s v="TUBING"/>
    <x v="11"/>
    <s v=" "/>
    <n v="47"/>
    <m/>
    <m/>
    <m/>
    <m/>
    <m/>
    <m/>
    <s v="PEABODY EST"/>
    <n v="4"/>
    <m/>
    <m/>
    <m/>
    <s v="MATERIALS?"/>
    <m/>
  </r>
  <r>
    <x v="2"/>
    <s v="246-15M"/>
    <s v=" "/>
    <x v="12"/>
    <n v="11"/>
    <s v=" "/>
    <m/>
    <n v="3"/>
    <m/>
    <m/>
    <m/>
    <m/>
    <s v="HOLD"/>
    <s v="NO DRAWINGS 7/26"/>
    <m/>
    <m/>
    <m/>
    <m/>
    <m/>
  </r>
  <r>
    <x v="6"/>
    <s v="P208 REVISION HR 5664"/>
    <m/>
    <x v="12"/>
    <m/>
    <m/>
    <m/>
    <m/>
    <m/>
    <m/>
    <m/>
    <m/>
    <s v="NEED DRAWINGS"/>
    <m/>
    <m/>
    <m/>
    <m/>
    <m/>
    <m/>
  </r>
  <r>
    <x v="2"/>
    <s v="277-1M.1"/>
    <m/>
    <x v="12"/>
    <n v="2"/>
    <n v="4"/>
    <n v="4"/>
    <m/>
    <m/>
    <m/>
    <m/>
    <m/>
    <s v="HOLD"/>
    <s v="HOLD"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s v=" "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  <r>
    <x v="10"/>
    <m/>
    <m/>
    <x v="9"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s v="INDUSTRIAL"/>
    <s v="PO 19390 JOB 1120083 RAILS ONLY"/>
    <m/>
    <x v="0"/>
    <n v="5"/>
    <n v="2"/>
    <m/>
    <m/>
    <m/>
    <m/>
    <m/>
    <m/>
    <s v="10 HANDRAIL SLEEVES"/>
    <m/>
    <m/>
    <m/>
    <m/>
    <m/>
    <m/>
  </r>
  <r>
    <s v="RESERVE PAX"/>
    <s v="FEBRUARY"/>
    <m/>
    <x v="1"/>
    <n v="0"/>
    <n v="0"/>
    <m/>
    <m/>
    <m/>
    <m/>
    <m/>
    <m/>
    <m/>
    <m/>
    <m/>
    <m/>
    <m/>
    <m/>
    <m/>
  </r>
  <r>
    <s v="PAX"/>
    <s v="246-102"/>
    <n v="22"/>
    <x v="2"/>
    <n v="6"/>
    <s v=" "/>
    <m/>
    <n v="1"/>
    <m/>
    <m/>
    <m/>
    <m/>
    <m/>
    <m/>
    <m/>
    <m/>
    <m/>
    <m/>
    <m/>
  </r>
  <r>
    <s v="PAX"/>
    <s v="246-209"/>
    <n v="9"/>
    <x v="2"/>
    <n v="5"/>
    <n v="2"/>
    <n v="2"/>
    <m/>
    <m/>
    <s v="SPECK TH"/>
    <m/>
    <m/>
    <s v="NEEDS PIPE GR"/>
    <m/>
    <m/>
    <m/>
    <m/>
    <m/>
    <m/>
  </r>
  <r>
    <s v="PAX"/>
    <s v="246-210"/>
    <n v="10"/>
    <x v="2"/>
    <n v="5"/>
    <n v="2"/>
    <n v="2"/>
    <m/>
    <m/>
    <s v="SPECK TH"/>
    <m/>
    <m/>
    <s v="NEEDS PIPE GR"/>
    <m/>
    <m/>
    <m/>
    <m/>
    <m/>
    <m/>
  </r>
  <r>
    <s v="PAX"/>
    <s v="246-103"/>
    <n v="23"/>
    <x v="2"/>
    <n v="7"/>
    <n v="4"/>
    <n v="4"/>
    <m/>
    <m/>
    <m/>
    <m/>
    <m/>
    <s v="ONLY NEEDS CH CUT"/>
    <m/>
    <m/>
    <m/>
    <m/>
    <m/>
    <m/>
  </r>
  <r>
    <s v="PAX"/>
    <s v="246-82"/>
    <n v="29"/>
    <x v="2"/>
    <n v="20"/>
    <n v="4"/>
    <n v="4"/>
    <n v="2"/>
    <n v="1"/>
    <m/>
    <s v="FB DONE"/>
    <m/>
    <s v="NEEDS PIPE GR"/>
    <m/>
    <m/>
    <m/>
    <m/>
    <m/>
    <m/>
  </r>
  <r>
    <s v="PAX"/>
    <s v="246-94"/>
    <n v="12"/>
    <x v="2"/>
    <n v="18"/>
    <n v="8"/>
    <n v="8"/>
    <n v="3"/>
    <m/>
    <m/>
    <m/>
    <m/>
    <s v="FB CUT"/>
    <m/>
    <m/>
    <m/>
    <m/>
    <m/>
    <m/>
  </r>
  <r>
    <s v="PAX"/>
    <s v="246-224M"/>
    <n v="17"/>
    <x v="2"/>
    <n v="89"/>
    <m/>
    <m/>
    <m/>
    <n v="28"/>
    <m/>
    <s v="JJ TU/W (ANG)"/>
    <m/>
    <s v="TP CUT"/>
    <m/>
    <m/>
    <m/>
    <m/>
    <m/>
    <m/>
  </r>
  <r>
    <s v="PAX"/>
    <s v="246-113"/>
    <n v="18"/>
    <x v="2"/>
    <n v="50"/>
    <n v="16"/>
    <n v="16"/>
    <n v="4"/>
    <m/>
    <s v="SPECK WED (ANG)"/>
    <s v="TP CUT"/>
    <m/>
    <s v="NEEDS PIPE GR"/>
    <m/>
    <m/>
    <m/>
    <m/>
    <m/>
    <m/>
  </r>
  <r>
    <s v="PAX"/>
    <s v="246-226"/>
    <n v="19"/>
    <x v="2"/>
    <n v="12"/>
    <n v="4"/>
    <n v="4"/>
    <n v="1"/>
    <m/>
    <s v="SPECK TH"/>
    <s v="JJ TH (ANG)"/>
    <m/>
    <s v="NEEDS PIPE GR"/>
    <m/>
    <m/>
    <m/>
    <m/>
    <m/>
    <m/>
  </r>
  <r>
    <s v="PAX"/>
    <s v="246-27"/>
    <n v="20"/>
    <x v="2"/>
    <n v="34"/>
    <n v="8"/>
    <n v="6"/>
    <n v="2"/>
    <m/>
    <m/>
    <s v="JJ FRI (ANG)"/>
    <m/>
    <s v="TP CUT"/>
    <m/>
    <m/>
    <m/>
    <m/>
    <m/>
    <m/>
  </r>
  <r>
    <s v="PAX"/>
    <s v="246-88"/>
    <n v="21"/>
    <x v="2"/>
    <n v="8"/>
    <n v="10"/>
    <n v="10"/>
    <m/>
    <m/>
    <m/>
    <m/>
    <m/>
    <s v="FB CUT"/>
    <m/>
    <m/>
    <m/>
    <m/>
    <m/>
    <m/>
  </r>
  <r>
    <s v="INDUSTRIAL"/>
    <s v="PO 19384, JOB 61214920"/>
    <s v="PIPE"/>
    <x v="2"/>
    <n v="7"/>
    <m/>
    <m/>
    <m/>
    <m/>
    <m/>
    <m/>
    <m/>
    <s v="10 HR SLEEVES"/>
    <m/>
    <m/>
    <m/>
    <m/>
    <m/>
    <m/>
  </r>
  <r>
    <s v="PAX"/>
    <s v="246-186"/>
    <n v="26"/>
    <x v="3"/>
    <n v="24"/>
    <m/>
    <m/>
    <n v="7"/>
    <m/>
    <m/>
    <m/>
    <m/>
    <s v="waiting on corrected files "/>
    <m/>
    <m/>
    <m/>
    <m/>
    <m/>
    <m/>
  </r>
  <r>
    <s v="PAX"/>
    <s v="246-218"/>
    <n v="27"/>
    <x v="3"/>
    <m/>
    <n v="4"/>
    <n v="4"/>
    <m/>
    <m/>
    <m/>
    <s v="NEEDS PIPE GR"/>
    <m/>
    <s v="MISC STUFF"/>
    <m/>
    <m/>
    <m/>
    <m/>
    <m/>
    <m/>
  </r>
  <r>
    <s v="PAX"/>
    <s v="246-79M"/>
    <n v="28"/>
    <x v="3"/>
    <n v="20"/>
    <m/>
    <m/>
    <n v="1"/>
    <m/>
    <m/>
    <m/>
    <m/>
    <m/>
    <m/>
    <m/>
    <m/>
    <m/>
    <m/>
    <m/>
  </r>
  <r>
    <s v="SOUTHLAND"/>
    <s v="L216"/>
    <m/>
    <x v="3"/>
    <n v="37"/>
    <n v="8"/>
    <n v="8"/>
    <n v="3"/>
    <m/>
    <s v="SPECK FRI"/>
    <s v="JJ MON"/>
    <m/>
    <m/>
    <m/>
    <m/>
    <m/>
    <m/>
    <s v="ORDERED Materials"/>
    <m/>
  </r>
  <r>
    <s v="SOUTHLAND"/>
    <s v="L217"/>
    <m/>
    <x v="3"/>
    <n v="35"/>
    <n v="8"/>
    <n v="8"/>
    <n v="3"/>
    <m/>
    <m/>
    <m/>
    <m/>
    <m/>
    <m/>
    <m/>
    <m/>
    <m/>
    <s v="ORDERED Materials"/>
    <m/>
  </r>
  <r>
    <s v="PAX"/>
    <s v="246-179"/>
    <n v="25"/>
    <x v="3"/>
    <n v="2"/>
    <n v="2"/>
    <n v="2"/>
    <m/>
    <m/>
    <m/>
    <s v="FB DONE"/>
    <m/>
    <s v="350 LBS MISC/ NEEDS PIPE GR"/>
    <m/>
    <m/>
    <m/>
    <m/>
    <m/>
    <m/>
  </r>
  <r>
    <s v="PAX"/>
    <s v="246-95"/>
    <n v="31"/>
    <x v="3"/>
    <n v="20"/>
    <n v="6"/>
    <n v="8"/>
    <n v="2"/>
    <m/>
    <m/>
    <s v="FB DONE"/>
    <m/>
    <s v="NEEDS PIPE GR; HOLD"/>
    <m/>
    <m/>
    <m/>
    <m/>
    <m/>
    <m/>
  </r>
  <r>
    <s v="PAX"/>
    <s v="246-96"/>
    <n v="32"/>
    <x v="3"/>
    <n v="20"/>
    <n v="6"/>
    <n v="8"/>
    <n v="2"/>
    <m/>
    <m/>
    <s v="FB DONE"/>
    <m/>
    <s v="NEEDS PIPE GR; HOLD"/>
    <m/>
    <m/>
    <m/>
    <m/>
    <m/>
    <m/>
  </r>
  <r>
    <s v="PAX"/>
    <s v="246-81"/>
    <n v="30"/>
    <x v="3"/>
    <n v="20"/>
    <n v="6"/>
    <n v="6"/>
    <n v="2"/>
    <n v="2"/>
    <m/>
    <m/>
    <m/>
    <s v="FB CUT"/>
    <m/>
    <m/>
    <m/>
    <m/>
    <m/>
    <m/>
  </r>
  <r>
    <s v="PAX"/>
    <s v="246-118"/>
    <n v="33"/>
    <x v="3"/>
    <n v="30"/>
    <n v="8"/>
    <n v="8"/>
    <n v="2"/>
    <m/>
    <m/>
    <s v="FB DONE"/>
    <m/>
    <m/>
    <m/>
    <m/>
    <m/>
    <m/>
    <m/>
    <m/>
  </r>
  <r>
    <s v="PAX"/>
    <s v="274M"/>
    <m/>
    <x v="3"/>
    <n v="13"/>
    <m/>
    <m/>
    <n v="1"/>
    <n v="4"/>
    <m/>
    <m/>
    <m/>
    <m/>
    <s v="HAVE DRAWINGS"/>
    <m/>
    <m/>
    <m/>
    <m/>
    <m/>
  </r>
  <r>
    <s v="TURNER"/>
    <s v="GULCH"/>
    <m/>
    <x v="3"/>
    <m/>
    <n v="5"/>
    <m/>
    <m/>
    <m/>
    <m/>
    <m/>
    <m/>
    <s v="5 WALL RAILS"/>
    <m/>
    <m/>
    <m/>
    <m/>
    <m/>
    <m/>
  </r>
  <r>
    <s v="SOUTHLAND"/>
    <s v="L205"/>
    <m/>
    <x v="4"/>
    <n v="16"/>
    <s v=" "/>
    <m/>
    <n v="2"/>
    <m/>
    <m/>
    <m/>
    <m/>
    <m/>
    <m/>
    <m/>
    <m/>
    <m/>
    <s v="ORDERED Materials"/>
    <m/>
  </r>
  <r>
    <s v="SOUTHLAND"/>
    <s v="L219"/>
    <m/>
    <x v="4"/>
    <n v="35"/>
    <n v="8"/>
    <n v="8"/>
    <n v="3"/>
    <m/>
    <m/>
    <m/>
    <m/>
    <s v="NEEDS PIPE GR"/>
    <m/>
    <m/>
    <m/>
    <m/>
    <s v="ORDERED Materials"/>
    <m/>
  </r>
  <r>
    <s v="STRUCTURAL STEEL"/>
    <s v="3233G LADDERS PO F21742"/>
    <s v="mebac ladder rungs"/>
    <x v="4"/>
    <s v=" "/>
    <s v=" "/>
    <s v=" "/>
    <s v=" "/>
    <n v="12"/>
    <m/>
    <m/>
    <m/>
    <m/>
    <m/>
    <m/>
    <m/>
    <m/>
    <m/>
    <m/>
  </r>
  <r>
    <s v="SOUTHLAND "/>
    <s v="BECTHEL LIQUIFICATION  1023195 R101-02"/>
    <m/>
    <x v="4"/>
    <n v="65"/>
    <m/>
    <m/>
    <n v="6"/>
    <m/>
    <s v="waiting on correct files"/>
    <m/>
    <m/>
    <s v="PUT JOB PREFIX ON ALL TAGS 116A1"/>
    <m/>
    <m/>
    <m/>
    <m/>
    <s v="ORDERED Materials"/>
    <m/>
  </r>
  <r>
    <s v="SOUTHLAND"/>
    <s v="L220"/>
    <m/>
    <x v="4"/>
    <n v="37"/>
    <n v="8"/>
    <n v="8"/>
    <n v="3"/>
    <m/>
    <m/>
    <m/>
    <m/>
    <m/>
    <m/>
    <m/>
    <m/>
    <m/>
    <s v="ORDERED Materials"/>
    <m/>
  </r>
  <r>
    <s v="SOUTHLAND"/>
    <s v="L221"/>
    <m/>
    <x v="4"/>
    <n v="33"/>
    <n v="8"/>
    <n v="8"/>
    <n v="3"/>
    <m/>
    <m/>
    <m/>
    <m/>
    <m/>
    <m/>
    <m/>
    <m/>
    <m/>
    <s v="ORDERED Materials"/>
    <m/>
  </r>
  <r>
    <s v="PICOU FRADELLA"/>
    <m/>
    <m/>
    <x v="5"/>
    <m/>
    <m/>
    <m/>
    <m/>
    <m/>
    <m/>
    <m/>
    <m/>
    <m/>
    <m/>
    <m/>
    <m/>
    <m/>
    <m/>
    <m/>
  </r>
  <r>
    <s v="PAX"/>
    <s v="266-4CM"/>
    <m/>
    <x v="6"/>
    <n v="333"/>
    <n v="12"/>
    <n v="12"/>
    <n v="17"/>
    <n v="6"/>
    <m/>
    <m/>
    <m/>
    <m/>
    <m/>
    <m/>
    <m/>
    <m/>
    <m/>
    <m/>
  </r>
  <r>
    <s v="PAX"/>
    <s v="246-199M"/>
    <n v="34"/>
    <x v="7"/>
    <n v="6"/>
    <m/>
    <m/>
    <n v="1"/>
    <m/>
    <m/>
    <s v="FB DONE"/>
    <m/>
    <m/>
    <m/>
    <m/>
    <m/>
    <m/>
    <m/>
    <m/>
  </r>
  <r>
    <s v="EST"/>
    <s v="PEABODY 6"/>
    <s v="TUBING"/>
    <x v="7"/>
    <n v="0"/>
    <n v="47"/>
    <m/>
    <m/>
    <m/>
    <m/>
    <m/>
    <m/>
    <s v="PEABODY EST"/>
    <n v="6"/>
    <m/>
    <m/>
    <m/>
    <m/>
    <m/>
  </r>
  <r>
    <s v="PAX"/>
    <s v="246-4CM"/>
    <n v="36"/>
    <x v="7"/>
    <n v="30"/>
    <n v="8"/>
    <n v="8"/>
    <n v="2"/>
    <s v=" "/>
    <m/>
    <m/>
    <m/>
    <s v=" "/>
    <s v="NO DRAWINGS AT 8/22"/>
    <m/>
    <m/>
    <m/>
    <m/>
    <m/>
  </r>
  <r>
    <s v="PAX"/>
    <s v="246-4DM"/>
    <n v="37"/>
    <x v="7"/>
    <n v="30"/>
    <n v="8"/>
    <n v="8"/>
    <n v="2"/>
    <s v=" "/>
    <m/>
    <m/>
    <m/>
    <s v=" "/>
    <s v="NO DRAWINGS AT 8/22"/>
    <m/>
    <m/>
    <m/>
    <m/>
    <m/>
  </r>
  <r>
    <s v="PAX"/>
    <s v="246-6CM"/>
    <n v="38"/>
    <x v="7"/>
    <n v="6"/>
    <m/>
    <m/>
    <n v="1"/>
    <m/>
    <m/>
    <m/>
    <m/>
    <s v="ANGLE"/>
    <s v="NO DRAWINGS AT 8/22"/>
    <m/>
    <m/>
    <m/>
    <m/>
    <m/>
  </r>
  <r>
    <s v="PAX"/>
    <s v="246-6DM"/>
    <n v="39"/>
    <x v="7"/>
    <n v="6"/>
    <m/>
    <m/>
    <n v="1"/>
    <m/>
    <m/>
    <m/>
    <m/>
    <s v="ANGLE"/>
    <s v="NO DRAWINGS AT 8/22"/>
    <m/>
    <m/>
    <m/>
    <m/>
    <m/>
  </r>
  <r>
    <s v="PAX"/>
    <s v="246-6EM"/>
    <n v="40"/>
    <x v="7"/>
    <n v="6"/>
    <m/>
    <m/>
    <n v="1"/>
    <m/>
    <m/>
    <m/>
    <m/>
    <s v="ANGLE"/>
    <s v="NO DRAWINGS AT 7/26"/>
    <m/>
    <m/>
    <m/>
    <m/>
    <m/>
  </r>
  <r>
    <s v="PAX"/>
    <s v="246-17M"/>
    <n v="35"/>
    <x v="7"/>
    <n v="25"/>
    <n v="0"/>
    <m/>
    <n v="7"/>
    <m/>
    <s v="REVISION"/>
    <s v="REVISION"/>
    <m/>
    <m/>
    <s v="JOB PROGRAMED PARTIALLY PRIOR TO DECEMBER"/>
    <m/>
    <m/>
    <m/>
    <m/>
    <m/>
  </r>
  <r>
    <s v="PAX"/>
    <s v="246-14CM"/>
    <n v="41"/>
    <x v="8"/>
    <n v="30"/>
    <n v="10"/>
    <n v="10"/>
    <n v="2"/>
    <m/>
    <m/>
    <m/>
    <m/>
    <s v=" "/>
    <s v="NO DRAWINGS 8/23"/>
    <m/>
    <m/>
    <m/>
    <m/>
    <m/>
  </r>
  <r>
    <s v="PAX"/>
    <s v="246-14DM"/>
    <n v="42"/>
    <x v="8"/>
    <n v="30"/>
    <n v="10"/>
    <n v="10"/>
    <n v="2"/>
    <m/>
    <m/>
    <m/>
    <m/>
    <s v=" "/>
    <s v="NO DRAWINGS 8/23"/>
    <m/>
    <m/>
    <m/>
    <m/>
    <m/>
  </r>
  <r>
    <s v="PAX"/>
    <s v="246-14EM"/>
    <n v="43"/>
    <x v="8"/>
    <n v="30"/>
    <n v="6"/>
    <n v="6"/>
    <n v="2"/>
    <m/>
    <m/>
    <m/>
    <m/>
    <m/>
    <m/>
    <m/>
    <m/>
    <m/>
    <m/>
    <m/>
  </r>
  <r>
    <s v="LAPEYRE"/>
    <s v="AVONDALE STAIR 4 PAINT"/>
    <m/>
    <x v="9"/>
    <m/>
    <m/>
    <m/>
    <m/>
    <m/>
    <m/>
    <m/>
    <s v="BILLED"/>
    <m/>
    <m/>
    <m/>
    <m/>
    <m/>
    <m/>
    <m/>
  </r>
  <r>
    <s v="LAPEYRE"/>
    <s v="AVONDALE STAIR A REBUILT STAIRS"/>
    <m/>
    <x v="9"/>
    <n v="2"/>
    <m/>
    <m/>
    <m/>
    <m/>
    <m/>
    <m/>
    <s v="BILLED"/>
    <s v="W3G4 REFABRICATED"/>
    <m/>
    <m/>
    <m/>
    <m/>
    <m/>
    <m/>
  </r>
  <r>
    <s v="STRUCTURAL STEEL"/>
    <s v="3233G LADDERS (2ND SET) PO F21742"/>
    <s v="mebac ladder rungs"/>
    <x v="10"/>
    <m/>
    <m/>
    <m/>
    <m/>
    <n v="9"/>
    <m/>
    <m/>
    <m/>
    <m/>
    <m/>
    <m/>
    <m/>
    <m/>
    <m/>
    <m/>
  </r>
  <r>
    <s v="PAX"/>
    <s v="318-3M"/>
    <m/>
    <x v="10"/>
    <n v="12"/>
    <n v="4"/>
    <n v="4"/>
    <m/>
    <m/>
    <m/>
    <m/>
    <m/>
    <s v="REVISIONS?  3002F1, 3002FP2, 3039P5, 3042S1, 3043S1"/>
    <m/>
    <m/>
    <m/>
    <m/>
    <m/>
    <m/>
  </r>
  <r>
    <s v="TURNER"/>
    <s v="PEABODY 4"/>
    <s v="TUBING"/>
    <x v="11"/>
    <s v=" "/>
    <n v="47"/>
    <m/>
    <m/>
    <m/>
    <m/>
    <m/>
    <m/>
    <s v="PEABODY EST"/>
    <n v="4"/>
    <m/>
    <m/>
    <m/>
    <s v="MATERIALS?"/>
    <m/>
  </r>
  <r>
    <s v="PAX"/>
    <s v="246-15M"/>
    <s v=" "/>
    <x v="12"/>
    <n v="11"/>
    <s v=" "/>
    <m/>
    <n v="3"/>
    <m/>
    <m/>
    <m/>
    <m/>
    <s v="HOLD"/>
    <s v="NO DRAWINGS 7/26"/>
    <m/>
    <m/>
    <m/>
    <m/>
    <m/>
  </r>
  <r>
    <s v="SOUTHLAND "/>
    <s v="P208 REVISION HR 5664"/>
    <m/>
    <x v="12"/>
    <m/>
    <m/>
    <m/>
    <m/>
    <m/>
    <m/>
    <m/>
    <m/>
    <s v="NEED DRAWINGS"/>
    <m/>
    <m/>
    <m/>
    <m/>
    <m/>
    <m/>
  </r>
  <r>
    <s v="PAX"/>
    <s v="277-1M.1"/>
    <m/>
    <x v="12"/>
    <n v="2"/>
    <n v="4"/>
    <n v="4"/>
    <m/>
    <m/>
    <m/>
    <m/>
    <m/>
    <s v="HOLD"/>
    <s v="HOLD"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s v=" "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  <r>
    <m/>
    <m/>
    <m/>
    <x v="9"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INDUSTRIAL"/>
    <s v="PO 19390 JOB 1120083 RAILS ONLY"/>
    <m/>
    <x v="0"/>
    <n v="5"/>
    <n v="2"/>
    <m/>
    <m/>
    <m/>
    <m/>
    <m/>
    <x v="0"/>
    <s v="10 HANDRAIL SLEEVES"/>
    <m/>
    <m/>
    <m/>
    <m/>
    <m/>
    <m/>
  </r>
  <r>
    <s v="RESERVE PAX"/>
    <s v="FEBRUARY"/>
    <m/>
    <x v="1"/>
    <n v="0"/>
    <n v="0"/>
    <m/>
    <m/>
    <m/>
    <m/>
    <m/>
    <x v="0"/>
    <m/>
    <m/>
    <m/>
    <m/>
    <m/>
    <m/>
    <m/>
  </r>
  <r>
    <s v="PAX"/>
    <s v="246-102"/>
    <n v="22"/>
    <x v="2"/>
    <n v="6"/>
    <s v=" "/>
    <m/>
    <n v="1"/>
    <m/>
    <m/>
    <m/>
    <x v="0"/>
    <m/>
    <m/>
    <m/>
    <m/>
    <m/>
    <m/>
    <m/>
  </r>
  <r>
    <s v="PAX"/>
    <s v="246-209"/>
    <n v="9"/>
    <x v="2"/>
    <n v="5"/>
    <n v="2"/>
    <n v="2"/>
    <m/>
    <m/>
    <s v="SPECK TH"/>
    <m/>
    <x v="0"/>
    <s v="NEEDS PIPE GR"/>
    <m/>
    <m/>
    <m/>
    <m/>
    <m/>
    <m/>
  </r>
  <r>
    <s v="PAX"/>
    <s v="246-210"/>
    <n v="10"/>
    <x v="2"/>
    <n v="5"/>
    <n v="2"/>
    <n v="2"/>
    <m/>
    <m/>
    <s v="SPECK TH"/>
    <m/>
    <x v="0"/>
    <s v="NEEDS PIPE GR"/>
    <m/>
    <m/>
    <m/>
    <m/>
    <m/>
    <m/>
  </r>
  <r>
    <s v="PAX"/>
    <s v="246-103"/>
    <n v="23"/>
    <x v="2"/>
    <n v="7"/>
    <n v="4"/>
    <n v="4"/>
    <m/>
    <m/>
    <m/>
    <m/>
    <x v="0"/>
    <s v="ONLY NEEDS CH CUT"/>
    <m/>
    <m/>
    <m/>
    <m/>
    <m/>
    <m/>
  </r>
  <r>
    <s v="PAX"/>
    <s v="246-82"/>
    <n v="29"/>
    <x v="2"/>
    <n v="20"/>
    <n v="4"/>
    <n v="4"/>
    <n v="2"/>
    <n v="1"/>
    <m/>
    <s v="FB DONE"/>
    <x v="0"/>
    <s v="NEEDS PIPE GR"/>
    <m/>
    <m/>
    <m/>
    <m/>
    <m/>
    <m/>
  </r>
  <r>
    <s v="PAX"/>
    <s v="246-94"/>
    <n v="12"/>
    <x v="2"/>
    <n v="18"/>
    <n v="8"/>
    <n v="8"/>
    <n v="3"/>
    <m/>
    <m/>
    <m/>
    <x v="0"/>
    <s v="FB CUT"/>
    <m/>
    <m/>
    <m/>
    <m/>
    <m/>
    <m/>
  </r>
  <r>
    <s v="PAX"/>
    <s v="246-224M"/>
    <n v="17"/>
    <x v="2"/>
    <n v="89"/>
    <m/>
    <m/>
    <m/>
    <n v="28"/>
    <m/>
    <s v="JJ TU/W (ANG)"/>
    <x v="0"/>
    <s v="TP CUT"/>
    <m/>
    <m/>
    <m/>
    <m/>
    <m/>
    <m/>
  </r>
  <r>
    <s v="PAX"/>
    <s v="246-113"/>
    <n v="18"/>
    <x v="2"/>
    <n v="50"/>
    <n v="16"/>
    <n v="16"/>
    <n v="4"/>
    <m/>
    <s v="SPECK WED (ANG)"/>
    <s v="TP CUT"/>
    <x v="0"/>
    <s v="NEEDS PIPE GR"/>
    <m/>
    <m/>
    <m/>
    <m/>
    <m/>
    <m/>
  </r>
  <r>
    <s v="PAX"/>
    <s v="246-226"/>
    <n v="19"/>
    <x v="2"/>
    <n v="12"/>
    <n v="4"/>
    <n v="4"/>
    <n v="1"/>
    <m/>
    <s v="SPECK TH"/>
    <s v="JJ TH (ANG)"/>
    <x v="0"/>
    <s v="NEEDS PIPE GR"/>
    <m/>
    <m/>
    <m/>
    <m/>
    <m/>
    <m/>
  </r>
  <r>
    <s v="PAX"/>
    <s v="246-27"/>
    <n v="20"/>
    <x v="2"/>
    <n v="34"/>
    <n v="8"/>
    <n v="6"/>
    <n v="2"/>
    <m/>
    <m/>
    <s v="JJ FRI (ANG)"/>
    <x v="0"/>
    <s v="TP CUT"/>
    <m/>
    <m/>
    <m/>
    <m/>
    <m/>
    <m/>
  </r>
  <r>
    <s v="PAX"/>
    <s v="246-88"/>
    <n v="21"/>
    <x v="2"/>
    <n v="8"/>
    <n v="10"/>
    <n v="10"/>
    <m/>
    <m/>
    <m/>
    <m/>
    <x v="0"/>
    <s v="FB CUT"/>
    <m/>
    <m/>
    <m/>
    <m/>
    <m/>
    <m/>
  </r>
  <r>
    <s v="INDUSTRIAL"/>
    <s v="PO 19384, JOB 61214920"/>
    <s v="PIPE"/>
    <x v="2"/>
    <n v="7"/>
    <m/>
    <m/>
    <m/>
    <m/>
    <m/>
    <m/>
    <x v="0"/>
    <s v="10 HR SLEEVES"/>
    <m/>
    <m/>
    <m/>
    <m/>
    <m/>
    <m/>
  </r>
  <r>
    <s v="PAX"/>
    <s v="246-186"/>
    <n v="26"/>
    <x v="3"/>
    <n v="24"/>
    <m/>
    <m/>
    <n v="7"/>
    <m/>
    <m/>
    <m/>
    <x v="0"/>
    <s v="waiting on corrected files "/>
    <m/>
    <m/>
    <m/>
    <m/>
    <m/>
    <m/>
  </r>
  <r>
    <s v="PAX"/>
    <s v="246-218"/>
    <n v="27"/>
    <x v="3"/>
    <m/>
    <n v="4"/>
    <n v="4"/>
    <m/>
    <m/>
    <m/>
    <s v="NEEDS PIPE GR"/>
    <x v="0"/>
    <s v="MISC STUFF"/>
    <m/>
    <m/>
    <m/>
    <m/>
    <m/>
    <m/>
  </r>
  <r>
    <s v="PAX"/>
    <s v="246-79M"/>
    <n v="28"/>
    <x v="3"/>
    <n v="20"/>
    <m/>
    <m/>
    <n v="1"/>
    <m/>
    <m/>
    <m/>
    <x v="0"/>
    <m/>
    <m/>
    <m/>
    <m/>
    <m/>
    <m/>
    <m/>
  </r>
  <r>
    <s v="SOUTHLAND"/>
    <s v="L216"/>
    <m/>
    <x v="3"/>
    <n v="37"/>
    <n v="8"/>
    <n v="8"/>
    <n v="3"/>
    <m/>
    <s v="SPECK FRI"/>
    <s v="JJ MON"/>
    <x v="0"/>
    <m/>
    <m/>
    <m/>
    <m/>
    <m/>
    <s v="ORDERED Materials"/>
    <m/>
  </r>
  <r>
    <s v="SOUTHLAND"/>
    <s v="L217"/>
    <m/>
    <x v="3"/>
    <n v="35"/>
    <n v="8"/>
    <n v="8"/>
    <n v="3"/>
    <m/>
    <m/>
    <m/>
    <x v="0"/>
    <m/>
    <m/>
    <m/>
    <m/>
    <m/>
    <s v="ORDERED Materials"/>
    <m/>
  </r>
  <r>
    <s v="PAX"/>
    <s v="246-179"/>
    <n v="25"/>
    <x v="3"/>
    <n v="2"/>
    <n v="2"/>
    <n v="2"/>
    <m/>
    <m/>
    <m/>
    <s v="FB DONE"/>
    <x v="0"/>
    <s v="350 LBS MISC/ NEEDS PIPE GR"/>
    <m/>
    <m/>
    <m/>
    <m/>
    <m/>
    <m/>
  </r>
  <r>
    <s v="PAX"/>
    <s v="246-95"/>
    <n v="31"/>
    <x v="3"/>
    <n v="20"/>
    <n v="6"/>
    <n v="8"/>
    <n v="2"/>
    <m/>
    <m/>
    <s v="FB DONE"/>
    <x v="0"/>
    <s v="NEEDS PIPE GR; HOLD"/>
    <m/>
    <m/>
    <m/>
    <m/>
    <m/>
    <m/>
  </r>
  <r>
    <s v="PAX"/>
    <s v="246-96"/>
    <n v="32"/>
    <x v="3"/>
    <n v="20"/>
    <n v="6"/>
    <n v="8"/>
    <n v="2"/>
    <m/>
    <m/>
    <s v="FB DONE"/>
    <x v="0"/>
    <s v="NEEDS PIPE GR; HOLD"/>
    <m/>
    <m/>
    <m/>
    <m/>
    <m/>
    <m/>
  </r>
  <r>
    <s v="PAX"/>
    <s v="246-81"/>
    <n v="30"/>
    <x v="3"/>
    <n v="20"/>
    <n v="6"/>
    <n v="6"/>
    <n v="2"/>
    <n v="2"/>
    <m/>
    <m/>
    <x v="0"/>
    <s v="FB CUT"/>
    <m/>
    <m/>
    <m/>
    <m/>
    <m/>
    <m/>
  </r>
  <r>
    <s v="PAX"/>
    <s v="246-118"/>
    <n v="33"/>
    <x v="3"/>
    <n v="30"/>
    <n v="8"/>
    <n v="8"/>
    <n v="2"/>
    <m/>
    <m/>
    <s v="FB DONE"/>
    <x v="0"/>
    <m/>
    <m/>
    <m/>
    <m/>
    <m/>
    <m/>
    <m/>
  </r>
  <r>
    <s v="PAX"/>
    <s v="274M"/>
    <m/>
    <x v="3"/>
    <n v="13"/>
    <m/>
    <m/>
    <n v="1"/>
    <n v="4"/>
    <m/>
    <m/>
    <x v="0"/>
    <m/>
    <s v="HAVE DRAWINGS"/>
    <m/>
    <m/>
    <m/>
    <m/>
    <m/>
  </r>
  <r>
    <s v="TURNER"/>
    <s v="GULCH"/>
    <m/>
    <x v="3"/>
    <m/>
    <n v="5"/>
    <m/>
    <m/>
    <m/>
    <m/>
    <m/>
    <x v="0"/>
    <s v="5 WALL RAILS"/>
    <m/>
    <m/>
    <m/>
    <m/>
    <m/>
    <m/>
  </r>
  <r>
    <s v="SOUTHLAND"/>
    <s v="L205"/>
    <m/>
    <x v="4"/>
    <n v="16"/>
    <s v=" "/>
    <m/>
    <n v="2"/>
    <m/>
    <m/>
    <m/>
    <x v="0"/>
    <m/>
    <m/>
    <m/>
    <m/>
    <m/>
    <s v="ORDERED Material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 Table 3" cacheId="16" applyNumberFormats="0" applyBorderFormats="0" applyFontFormats="0" applyPatternFormats="0" applyAlignmentFormats="0" applyWidthHeightFormats="0" dataCaption="" updatedVersion="8" rowGrandTotals="0" compact="0" compactData="0">
  <location ref="A3:G6" firstHeaderRow="1" firstDataRow="2" firstDataCol="2"/>
  <pivotFields count="19">
    <pivotField name="Option 1" compact="0" outline="0" multipleItemSelectionAllowed="1" showAll="0"/>
    <pivotField name="SEQ." compact="0" outline="0" multipleItemSelectionAllowed="1" showAll="0"/>
    <pivotField name="MAT. TYPE" compact="0" outline="0" multipleItemSelectionAllowed="1" showAll="0"/>
    <pivotField name="DATE" axis="axisRow" compact="0" numFmtId="14" outline="0" multipleItemSelectionAllowed="1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name="HR" dataField="1" compact="0" outline="0" multipleItemSelectionAllowed="1" showAll="0"/>
    <pivotField name="SR" dataField="1" compact="0" outline="0" multipleItemSelectionAllowed="1" showAll="0"/>
    <pivotField name="ST" dataField="1" compact="0" outline="0" multipleItemSelectionAllowed="1" showAll="0"/>
    <pivotField name="Caged" dataField="1" compact="0" outline="0" multipleItemSelectionAllowed="1" showAll="0"/>
    <pivotField name="Non Caged" dataField="1" compact="0" outline="0" multipleItemSelectionAllowed="1" showAll="0"/>
    <pivotField name="CUT BY " compact="0" outline="0" multipleItemSelectionAllowed="1" showAll="0"/>
    <pivotField name="FIT BY " compact="0" outline="0" multipleItemSelectionAllowed="1" showAll="0"/>
    <pivotField name="Billed Status" axis="axisRow" compact="0" outline="0" multipleItemSelectionAllowed="1" showAll="0" sortType="ascending" defaultSubtotal="0">
      <items count="5">
        <item m="1" x="4"/>
        <item h="1" sd="0" m="1" x="1"/>
        <item h="1" sd="0" m="1" x="2"/>
        <item h="1" m="1" x="3"/>
        <item x="0"/>
      </items>
    </pivotField>
    <pivotField name="NOTES" compact="0" outline="0" multipleItemSelectionAllowed="1" showAll="0"/>
    <pivotField name="DRAWINGS" compact="0" outline="0" multipleItemSelectionAllowed="1" showAll="0"/>
    <pivotField name="KSS FILE" compact="0" outline="0" multipleItemSelectionAllowed="1" showAll="0"/>
    <pivotField name="1 - ANGLE, 2 - PIPE, 3 - OTHER" compact="0" outline="0" multipleItemSelectionAllowed="1" showAll="0"/>
    <pivotField name="MISC." compact="0" outline="0" multipleItemSelectionAllowed="1" showAll="0"/>
    <pivotField name="MATERIAL STATUS" compact="0" outline="0" multipleItemSelectionAllowed="1" showAll="0"/>
    <pivotField name="Shipped Status" compact="0" outline="0" multipleItemSelectionAllowed="1" showAll="0"/>
  </pivotFields>
  <rowFields count="2">
    <field x="11"/>
    <field x="3"/>
  </rowFields>
  <rowItems count="2">
    <i>
      <x v="4"/>
      <x/>
    </i>
    <i r="1">
      <x v="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HR" fld="4" baseField="0"/>
    <dataField name="SUM of SR" fld="5" baseField="0"/>
    <dataField name="SUM of ST" fld="6" baseField="0"/>
    <dataField name="SUM of Caged" fld="7" baseField="0"/>
    <dataField name="SUM of Non Caged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DUE PIVOT" cacheId="11" applyNumberFormats="0" applyBorderFormats="0" applyFontFormats="0" applyPatternFormats="0" applyAlignmentFormats="0" applyWidthHeightFormats="0" dataCaption="" updatedVersion="8" rowGrandTotals="0" compact="0" compactData="0">
  <location ref="A2:D16" firstHeaderRow="1" firstDataRow="2" firstDataCol="1"/>
  <pivotFields count="19">
    <pivotField name="Option 1" compact="0" outline="0" multipleItemSelectionAllowed="1" showAll="0"/>
    <pivotField name="SEQ." compact="0" outline="0" multipleItemSelectionAllowed="1" showAll="0"/>
    <pivotField name="MAT. TYPE" compact="0" outline="0" multipleItemSelectionAllowed="1" showAll="0"/>
    <pivotField name="DATE" axis="axisRow" compact="0" outline="0" multipleItemSelectionAllowed="1" showAll="0" sortType="ascending">
      <items count="95">
        <item m="1" x="93"/>
        <item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sd="0" m="1" x="60"/>
        <item sd="0" m="1" x="61"/>
        <item sd="0" m="1" x="62"/>
        <item sd="0"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90"/>
        <item m="1" x="89"/>
        <item m="1" x="91"/>
        <item m="1" x="92"/>
        <item x="0"/>
        <item x="1"/>
        <item x="2"/>
        <item x="3"/>
        <item x="4"/>
        <item x="5"/>
        <item x="6"/>
        <item x="7"/>
        <item x="8"/>
        <item x="10"/>
        <item x="11"/>
        <item x="9"/>
        <item t="default"/>
      </items>
    </pivotField>
    <pivotField name="HR" dataField="1" compact="0" outline="0" multipleItemSelectionAllowed="1" showAll="0"/>
    <pivotField name="SR" dataField="1" compact="0" outline="0" multipleItemSelectionAllowed="1" showAll="0"/>
    <pivotField name="ST" compact="0" outline="0" multipleItemSelectionAllowed="1" showAll="0"/>
    <pivotField name="Caged" dataField="1" compact="0" outline="0" multipleItemSelectionAllowed="1" showAll="0"/>
    <pivotField name="Non Caged" compact="0" outline="0" multipleItemSelectionAllowed="1" showAll="0"/>
    <pivotField name="CUT BY " compact="0" outline="0" multipleItemSelectionAllowed="1" showAll="0"/>
    <pivotField name="FIT BY " compact="0" outline="0" multipleItemSelectionAllowed="1" showAll="0"/>
    <pivotField name="Billed Status" compact="0" outline="0" multipleItemSelectionAllowed="1" showAll="0"/>
    <pivotField name="NOTES" compact="0" outline="0" multipleItemSelectionAllowed="1" showAll="0"/>
    <pivotField name="DRAWINGS" compact="0" outline="0" multipleItemSelectionAllowed="1" showAll="0"/>
    <pivotField name="KSS FILE" compact="0" outline="0" multipleItemSelectionAllowed="1" showAll="0"/>
    <pivotField name="1 - ANGLE, 2 - PIPE, 3 - OTHER" compact="0" outline="0" multipleItemSelectionAllowed="1" showAll="0"/>
    <pivotField name="MISC." compact="0" outline="0" multipleItemSelectionAllowed="1" showAll="0"/>
    <pivotField name="MATERIAL STATUS" compact="0" outline="0" multipleItemSelectionAllowed="1" showAll="0"/>
    <pivotField name="Shipped Status" compact="0" outline="0" multipleItemSelectionAllowed="1" showAll="0"/>
  </pivotFields>
  <rowFields count="1">
    <field x="3"/>
  </rowFields>
  <rowItems count="13">
    <i>
      <x v="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R" fld="5" baseField="0"/>
    <dataField name="SUM of HR" fld="4" baseField="0"/>
    <dataField name="SUM of Caged" fld="7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DUE PIVOT 2" cacheId="7" applyNumberFormats="0" applyBorderFormats="0" applyFontFormats="0" applyPatternFormats="0" applyAlignmentFormats="0" applyWidthHeightFormats="0" dataCaption="" updatedVersion="8" compact="0" compactData="0">
  <location ref="E18:H22" firstHeaderRow="1" firstDataRow="2" firstDataCol="2"/>
  <pivotFields count="19">
    <pivotField name="Option 1" axis="axisRow" compact="0" outline="0" multipleItemSelectionAllowed="1" showAll="0" sortType="ascending">
      <items count="31">
        <item h="1" m="1" x="20"/>
        <item h="1" m="1" x="18"/>
        <item h="1" m="1" x="25"/>
        <item h="1" m="1" x="26"/>
        <item h="1" m="1" x="14"/>
        <item h="1" x="8"/>
        <item h="1" m="1" x="19"/>
        <item h="1" x="0"/>
        <item h="1" m="1" x="12"/>
        <item h="1" m="1" x="28"/>
        <item h="1" x="9"/>
        <item h="1" m="1" x="17"/>
        <item h="1" m="1" x="13"/>
        <item h="1" m="1" x="27"/>
        <item h="1" x="2"/>
        <item m="1" x="22"/>
        <item h="1" m="1" x="21"/>
        <item h="1" m="1" x="16"/>
        <item h="1" x="7"/>
        <item h="1" m="1" x="15"/>
        <item h="1" m="1" x="24"/>
        <item h="1" m="1" x="23"/>
        <item x="1"/>
        <item h="1" x="3"/>
        <item h="1" x="6"/>
        <item h="1" m="1" x="29"/>
        <item h="1" x="5"/>
        <item h="1" x="4"/>
        <item h="1" m="1" x="11"/>
        <item h="1" x="10"/>
        <item t="default"/>
      </items>
    </pivotField>
    <pivotField name="SEQ." compact="0" outline="0" multipleItemSelectionAllowed="1" showAll="0"/>
    <pivotField name="MAT. TYPE" compact="0" outline="0" multipleItemSelectionAllowed="1" showAll="0"/>
    <pivotField name="DATE" axis="axisRow" compact="0" outline="0" multipleItemSelectionAllowed="1" showAll="0" sortType="ascending">
      <items count="95">
        <item h="1" m="1" x="93"/>
        <item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h="1" m="1" x="84"/>
        <item m="1" x="85"/>
        <item m="1" x="86"/>
        <item m="1" x="87"/>
        <item h="1" m="1" x="88"/>
        <item m="1" x="90"/>
        <item m="1" x="89"/>
        <item h="1" m="1" x="91"/>
        <item h="1" m="1" x="92"/>
        <item h="1" x="0"/>
        <item x="1"/>
        <item h="1" x="2"/>
        <item h="1" x="3"/>
        <item h="1" x="4"/>
        <item x="5"/>
        <item h="1" x="6"/>
        <item h="1" x="7"/>
        <item h="1" x="8"/>
        <item h="1" x="10"/>
        <item h="1" x="11"/>
        <item x="9"/>
        <item t="default"/>
      </items>
    </pivotField>
    <pivotField name="HR" dataField="1" compact="0" outline="0" multipleItemSelectionAllowed="1" showAll="0"/>
    <pivotField name="SR" dataField="1" compact="0" outline="0" multipleItemSelectionAllowed="1" showAll="0"/>
    <pivotField name="ST" compact="0" outline="0" multipleItemSelectionAllowed="1" showAll="0"/>
    <pivotField name="Caged" compact="0" outline="0" multipleItemSelectionAllowed="1" showAll="0"/>
    <pivotField name="Non Caged" compact="0" outline="0" multipleItemSelectionAllowed="1" showAll="0"/>
    <pivotField name="CUT BY " compact="0" outline="0" multipleItemSelectionAllowed="1" showAll="0"/>
    <pivotField name="FIT BY " compact="0" outline="0" multipleItemSelectionAllowed="1" showAll="0"/>
    <pivotField name="Billed Status" compact="0" outline="0" multipleItemSelectionAllowed="1" showAll="0"/>
    <pivotField name="NOTES" compact="0" outline="0" multipleItemSelectionAllowed="1" showAll="0"/>
    <pivotField name="DRAWINGS" compact="0" outline="0" multipleItemSelectionAllowed="1" showAll="0"/>
    <pivotField name="KSS FILE" compact="0" outline="0" multipleItemSelectionAllowed="1" showAll="0"/>
    <pivotField name="1 - ANGLE, 2 - PIPE, 3 - OTHER" compact="0" outline="0" multipleItemSelectionAllowed="1" showAll="0"/>
    <pivotField name="MISC." compact="0" outline="0" multipleItemSelectionAllowed="1" showAll="0"/>
    <pivotField name="MATERIAL STATUS" compact="0" outline="0" multipleItemSelectionAllowed="1" showAll="0"/>
    <pivotField name="Shipped Status" compact="0" outline="0" multipleItemSelectionAllowed="1" showAll="0"/>
  </pivotFields>
  <rowFields count="2">
    <field x="0"/>
    <field x="3"/>
  </rowFields>
  <rowItems count="3">
    <i>
      <x v="22"/>
      <x v="83"/>
    </i>
    <i t="default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R" fld="4" baseField="0"/>
    <dataField name="SUM of S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9C4DBB"/>
      </a:accent1>
      <a:accent2>
        <a:srgbClr val="00B0F0"/>
      </a:accent2>
      <a:accent3>
        <a:srgbClr val="92D050"/>
      </a:accent3>
      <a:accent4>
        <a:srgbClr val="FFFF00"/>
      </a:accent4>
      <a:accent5>
        <a:srgbClr val="38761D"/>
      </a:accent5>
      <a:accent6>
        <a:srgbClr val="F793CF"/>
      </a:accent6>
      <a:hlink>
        <a:srgbClr val="FF0000"/>
      </a:hlink>
      <a:folHlink>
        <a:srgbClr val="FF0000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D771"/>
  <sheetViews>
    <sheetView tabSelected="1"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A34" sqref="A34"/>
    </sheetView>
  </sheetViews>
  <sheetFormatPr defaultColWidth="12.5703125" defaultRowHeight="15.75" customHeight="1" x14ac:dyDescent="0.2"/>
  <cols>
    <col min="1" max="1" width="25.85546875" customWidth="1"/>
    <col min="2" max="2" width="44.85546875" customWidth="1"/>
    <col min="3" max="3" width="22.85546875" customWidth="1"/>
    <col min="4" max="4" width="13.140625" customWidth="1"/>
    <col min="5" max="5" width="6.28515625" customWidth="1"/>
    <col min="6" max="6" width="18" customWidth="1"/>
    <col min="7" max="7" width="5.7109375" customWidth="1"/>
    <col min="8" max="8" width="9.42578125" customWidth="1"/>
    <col min="9" max="9" width="11.5703125" customWidth="1"/>
    <col min="10" max="10" width="20.85546875" customWidth="1"/>
    <col min="11" max="11" width="17" customWidth="1"/>
    <col min="12" max="12" width="16.140625" customWidth="1"/>
    <col min="13" max="13" width="47.85546875" customWidth="1"/>
    <col min="14" max="14" width="56.7109375" customWidth="1"/>
    <col min="15" max="15" width="11.28515625" customWidth="1"/>
    <col min="16" max="16" width="17.42578125" customWidth="1"/>
    <col min="17" max="17" width="53.42578125" customWidth="1"/>
    <col min="18" max="18" width="44.5703125" customWidth="1"/>
    <col min="19" max="19" width="11.42578125" customWidth="1"/>
    <col min="21" max="21" width="16.42578125" customWidth="1"/>
  </cols>
  <sheetData>
    <row r="1" spans="1:30" ht="56.25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7" t="s">
        <v>18</v>
      </c>
      <c r="U1" s="8"/>
      <c r="V1" s="9"/>
      <c r="W1" s="9"/>
      <c r="X1" s="9"/>
      <c r="Y1" s="9"/>
      <c r="Z1" s="9"/>
      <c r="AA1" s="9"/>
      <c r="AB1" s="9"/>
      <c r="AC1" s="9"/>
      <c r="AD1" s="9"/>
    </row>
    <row r="2" spans="1:30" ht="18.75" x14ac:dyDescent="0.3">
      <c r="A2" s="42" t="s">
        <v>28</v>
      </c>
      <c r="B2" s="42" t="s">
        <v>39</v>
      </c>
      <c r="C2" s="11"/>
      <c r="D2" s="46">
        <v>45322</v>
      </c>
      <c r="E2" s="47">
        <v>5</v>
      </c>
      <c r="F2" s="47">
        <v>2</v>
      </c>
      <c r="G2" s="15"/>
      <c r="H2" s="15"/>
      <c r="I2" s="15"/>
      <c r="J2" s="28"/>
      <c r="K2" s="28"/>
      <c r="L2" s="13"/>
      <c r="M2" s="10" t="s">
        <v>40</v>
      </c>
      <c r="N2" s="10"/>
      <c r="O2" s="13"/>
      <c r="P2" s="13"/>
      <c r="Q2" s="13"/>
      <c r="R2" s="12"/>
      <c r="S2" s="13"/>
      <c r="U2" s="8"/>
      <c r="V2" s="9"/>
      <c r="W2" s="9"/>
      <c r="X2" s="9"/>
      <c r="Y2" s="9"/>
      <c r="Z2" s="9"/>
      <c r="AA2" s="9"/>
      <c r="AB2" s="9"/>
      <c r="AC2" s="9"/>
      <c r="AD2" s="9"/>
    </row>
    <row r="3" spans="1:30" ht="18.75" x14ac:dyDescent="0.3">
      <c r="A3" s="42" t="s">
        <v>41</v>
      </c>
      <c r="B3" s="42" t="s">
        <v>42</v>
      </c>
      <c r="C3" s="11"/>
      <c r="D3" s="46">
        <v>45323</v>
      </c>
      <c r="E3" s="15">
        <v>0</v>
      </c>
      <c r="F3" s="15">
        <v>0</v>
      </c>
      <c r="G3" s="15"/>
      <c r="H3" s="17"/>
      <c r="I3" s="15"/>
      <c r="J3" s="28"/>
      <c r="K3" s="28"/>
      <c r="L3" s="13"/>
      <c r="M3" s="10"/>
      <c r="N3" s="10"/>
      <c r="O3" s="13"/>
      <c r="P3" s="13"/>
      <c r="Q3" s="13"/>
      <c r="R3" s="12"/>
      <c r="S3" s="13"/>
      <c r="U3" s="8"/>
      <c r="V3" s="9"/>
      <c r="W3" s="9"/>
      <c r="X3" s="9"/>
      <c r="Y3" s="9"/>
      <c r="Z3" s="9"/>
      <c r="AA3" s="9"/>
      <c r="AB3" s="9"/>
      <c r="AC3" s="9"/>
      <c r="AD3" s="9"/>
    </row>
    <row r="4" spans="1:30" ht="18.75" x14ac:dyDescent="0.3">
      <c r="A4" s="48" t="s">
        <v>20</v>
      </c>
      <c r="B4" s="49" t="s">
        <v>43</v>
      </c>
      <c r="C4" s="40">
        <v>22</v>
      </c>
      <c r="D4" s="46">
        <v>45324</v>
      </c>
      <c r="E4" s="30">
        <v>6</v>
      </c>
      <c r="F4" s="20" t="s">
        <v>23</v>
      </c>
      <c r="G4" s="20"/>
      <c r="H4" s="45">
        <v>1</v>
      </c>
      <c r="I4" s="20"/>
      <c r="J4" s="38"/>
      <c r="K4" s="41"/>
      <c r="L4" s="21"/>
      <c r="M4" s="16"/>
      <c r="N4" s="19"/>
      <c r="O4" s="21"/>
      <c r="P4" s="21"/>
      <c r="Q4" s="21"/>
      <c r="R4" s="18"/>
      <c r="S4" s="21"/>
      <c r="U4" s="8"/>
      <c r="V4" s="9"/>
      <c r="W4" s="9"/>
      <c r="X4" s="9"/>
      <c r="Y4" s="9"/>
      <c r="Z4" s="9"/>
      <c r="AA4" s="9"/>
      <c r="AB4" s="9"/>
      <c r="AC4" s="9"/>
      <c r="AD4" s="9"/>
    </row>
    <row r="5" spans="1:30" ht="18.75" x14ac:dyDescent="0.3">
      <c r="A5" s="42" t="s">
        <v>20</v>
      </c>
      <c r="B5" s="42" t="s">
        <v>44</v>
      </c>
      <c r="C5" s="12">
        <v>9</v>
      </c>
      <c r="D5" s="50">
        <v>45324</v>
      </c>
      <c r="E5" s="45">
        <v>5</v>
      </c>
      <c r="F5" s="51">
        <v>2</v>
      </c>
      <c r="G5" s="52">
        <v>2</v>
      </c>
      <c r="H5" s="15"/>
      <c r="I5" s="15"/>
      <c r="J5" s="39" t="s">
        <v>45</v>
      </c>
      <c r="K5" s="39"/>
      <c r="L5" s="13"/>
      <c r="M5" s="23" t="s">
        <v>46</v>
      </c>
      <c r="N5" s="10"/>
      <c r="O5" s="13"/>
      <c r="P5" s="13"/>
      <c r="Q5" s="13"/>
      <c r="R5" s="12"/>
      <c r="S5" s="13"/>
      <c r="U5" s="8"/>
      <c r="V5" s="9"/>
      <c r="W5" s="9"/>
      <c r="X5" s="9"/>
      <c r="Y5" s="9"/>
      <c r="Z5" s="9"/>
      <c r="AA5" s="9"/>
      <c r="AB5" s="9"/>
      <c r="AC5" s="9"/>
      <c r="AD5" s="9"/>
    </row>
    <row r="6" spans="1:30" ht="18.75" x14ac:dyDescent="0.3">
      <c r="A6" s="42" t="s">
        <v>20</v>
      </c>
      <c r="B6" s="42" t="s">
        <v>47</v>
      </c>
      <c r="C6" s="12">
        <v>10</v>
      </c>
      <c r="D6" s="50">
        <v>45324</v>
      </c>
      <c r="E6" s="53">
        <v>5</v>
      </c>
      <c r="F6" s="51">
        <v>2</v>
      </c>
      <c r="G6" s="52">
        <v>2</v>
      </c>
      <c r="H6" s="27"/>
      <c r="I6" s="15"/>
      <c r="J6" s="39" t="s">
        <v>45</v>
      </c>
      <c r="K6" s="39"/>
      <c r="L6" s="13"/>
      <c r="M6" s="23" t="s">
        <v>46</v>
      </c>
      <c r="N6" s="10"/>
      <c r="O6" s="13"/>
      <c r="P6" s="13"/>
      <c r="Q6" s="13"/>
      <c r="R6" s="12"/>
      <c r="S6" s="13"/>
      <c r="U6" s="8"/>
      <c r="V6" s="9"/>
      <c r="W6" s="9"/>
      <c r="X6" s="9"/>
      <c r="Y6" s="9"/>
      <c r="Z6" s="9"/>
      <c r="AA6" s="9"/>
      <c r="AB6" s="9"/>
      <c r="AC6" s="9"/>
      <c r="AD6" s="9"/>
    </row>
    <row r="7" spans="1:30" ht="18.75" x14ac:dyDescent="0.3">
      <c r="A7" s="48" t="s">
        <v>20</v>
      </c>
      <c r="B7" s="49" t="s">
        <v>48</v>
      </c>
      <c r="C7" s="18">
        <v>23</v>
      </c>
      <c r="D7" s="46">
        <v>45324</v>
      </c>
      <c r="E7" s="54">
        <v>7</v>
      </c>
      <c r="F7" s="30">
        <v>4</v>
      </c>
      <c r="G7" s="47">
        <v>4</v>
      </c>
      <c r="H7" s="36"/>
      <c r="I7" s="20"/>
      <c r="J7" s="37"/>
      <c r="K7" s="41"/>
      <c r="L7" s="21"/>
      <c r="M7" s="34" t="s">
        <v>34</v>
      </c>
      <c r="N7" s="19"/>
      <c r="O7" s="21"/>
      <c r="P7" s="21"/>
      <c r="Q7" s="21"/>
      <c r="R7" s="18"/>
      <c r="S7" s="21"/>
      <c r="U7" s="8"/>
      <c r="V7" s="9"/>
      <c r="W7" s="9"/>
      <c r="X7" s="9"/>
      <c r="Y7" s="9"/>
      <c r="Z7" s="9"/>
      <c r="AA7" s="9"/>
      <c r="AB7" s="9"/>
      <c r="AC7" s="9"/>
      <c r="AD7" s="9"/>
    </row>
    <row r="8" spans="1:30" ht="18.75" x14ac:dyDescent="0.3">
      <c r="A8" s="42" t="s">
        <v>20</v>
      </c>
      <c r="B8" s="55" t="s">
        <v>49</v>
      </c>
      <c r="C8" s="12">
        <v>29</v>
      </c>
      <c r="D8" s="46">
        <v>45324</v>
      </c>
      <c r="E8" s="56">
        <v>20</v>
      </c>
      <c r="F8" s="57">
        <v>4</v>
      </c>
      <c r="G8" s="47">
        <v>4</v>
      </c>
      <c r="H8" s="58">
        <v>2</v>
      </c>
      <c r="I8" s="47">
        <v>1</v>
      </c>
      <c r="J8" s="37"/>
      <c r="K8" s="38" t="s">
        <v>35</v>
      </c>
      <c r="L8" s="13"/>
      <c r="M8" s="23" t="s">
        <v>46</v>
      </c>
      <c r="N8" s="10"/>
      <c r="O8" s="13"/>
      <c r="P8" s="13"/>
      <c r="Q8" s="13"/>
      <c r="R8" s="12"/>
      <c r="S8" s="13"/>
      <c r="U8" s="8"/>
      <c r="V8" s="9"/>
      <c r="W8" s="9"/>
      <c r="X8" s="9"/>
      <c r="Y8" s="9"/>
      <c r="Z8" s="9"/>
      <c r="AA8" s="9"/>
      <c r="AB8" s="9"/>
      <c r="AC8" s="9"/>
      <c r="AD8" s="9"/>
    </row>
    <row r="9" spans="1:30" ht="18.75" x14ac:dyDescent="0.3">
      <c r="A9" s="42" t="s">
        <v>20</v>
      </c>
      <c r="B9" s="55" t="s">
        <v>50</v>
      </c>
      <c r="C9" s="40">
        <v>12</v>
      </c>
      <c r="D9" s="59">
        <v>45324</v>
      </c>
      <c r="E9" s="60">
        <v>18</v>
      </c>
      <c r="F9" s="61">
        <v>8</v>
      </c>
      <c r="G9" s="62">
        <v>8</v>
      </c>
      <c r="H9" s="45">
        <v>3</v>
      </c>
      <c r="I9" s="15"/>
      <c r="J9" s="38"/>
      <c r="K9" s="41"/>
      <c r="L9" s="13"/>
      <c r="M9" s="22" t="s">
        <v>27</v>
      </c>
      <c r="N9" s="10"/>
      <c r="O9" s="13"/>
      <c r="P9" s="13"/>
      <c r="Q9" s="13"/>
      <c r="R9" s="12"/>
      <c r="S9" s="13"/>
      <c r="U9" s="8"/>
      <c r="V9" s="9"/>
      <c r="W9" s="9"/>
      <c r="X9" s="9"/>
      <c r="Y9" s="9"/>
      <c r="Z9" s="9"/>
      <c r="AA9" s="9"/>
      <c r="AB9" s="9"/>
      <c r="AC9" s="9"/>
      <c r="AD9" s="9"/>
    </row>
    <row r="10" spans="1:30" ht="18.75" x14ac:dyDescent="0.3">
      <c r="A10" s="42" t="s">
        <v>20</v>
      </c>
      <c r="B10" s="42" t="s">
        <v>51</v>
      </c>
      <c r="C10" s="12">
        <v>17</v>
      </c>
      <c r="D10" s="59">
        <v>45324</v>
      </c>
      <c r="E10" s="63">
        <v>89</v>
      </c>
      <c r="F10" s="27"/>
      <c r="G10" s="15"/>
      <c r="H10" s="15"/>
      <c r="I10" s="45">
        <v>28</v>
      </c>
      <c r="J10" s="38"/>
      <c r="K10" s="38" t="s">
        <v>52</v>
      </c>
      <c r="L10" s="13"/>
      <c r="M10" s="22" t="s">
        <v>33</v>
      </c>
      <c r="N10" s="10"/>
      <c r="O10" s="13"/>
      <c r="P10" s="13"/>
      <c r="Q10" s="13"/>
      <c r="R10" s="12"/>
      <c r="S10" s="13"/>
      <c r="U10" s="8"/>
      <c r="V10" s="9"/>
      <c r="W10" s="9"/>
      <c r="X10" s="9"/>
      <c r="Y10" s="9"/>
      <c r="Z10" s="9"/>
      <c r="AA10" s="9"/>
      <c r="AB10" s="9"/>
      <c r="AC10" s="9"/>
      <c r="AD10" s="9"/>
    </row>
    <row r="11" spans="1:30" ht="18.75" x14ac:dyDescent="0.3">
      <c r="A11" s="42" t="s">
        <v>20</v>
      </c>
      <c r="B11" s="42" t="s">
        <v>53</v>
      </c>
      <c r="C11" s="12">
        <v>18</v>
      </c>
      <c r="D11" s="50">
        <v>45324</v>
      </c>
      <c r="E11" s="62">
        <v>50</v>
      </c>
      <c r="F11" s="45">
        <v>16</v>
      </c>
      <c r="G11" s="47">
        <v>16</v>
      </c>
      <c r="H11" s="47">
        <v>4</v>
      </c>
      <c r="I11" s="15"/>
      <c r="J11" s="38" t="s">
        <v>54</v>
      </c>
      <c r="K11" s="38" t="s">
        <v>33</v>
      </c>
      <c r="L11" s="13"/>
      <c r="M11" s="23" t="s">
        <v>46</v>
      </c>
      <c r="N11" s="10"/>
      <c r="O11" s="13"/>
      <c r="P11" s="13"/>
      <c r="Q11" s="13"/>
      <c r="R11" s="12"/>
      <c r="S11" s="13"/>
      <c r="U11" s="8"/>
      <c r="V11" s="9"/>
      <c r="W11" s="9"/>
      <c r="X11" s="9"/>
      <c r="Y11" s="9"/>
      <c r="Z11" s="9"/>
      <c r="AA11" s="9"/>
      <c r="AB11" s="9"/>
      <c r="AC11" s="9"/>
      <c r="AD11" s="9"/>
    </row>
    <row r="12" spans="1:30" ht="18.75" x14ac:dyDescent="0.3">
      <c r="A12" s="42" t="s">
        <v>20</v>
      </c>
      <c r="B12" s="42" t="s">
        <v>55</v>
      </c>
      <c r="C12" s="12">
        <v>19</v>
      </c>
      <c r="D12" s="50">
        <v>45324</v>
      </c>
      <c r="E12" s="45">
        <v>12</v>
      </c>
      <c r="F12" s="45">
        <v>4</v>
      </c>
      <c r="G12" s="47">
        <v>4</v>
      </c>
      <c r="H12" s="47">
        <v>1</v>
      </c>
      <c r="I12" s="15"/>
      <c r="J12" s="38" t="s">
        <v>45</v>
      </c>
      <c r="K12" s="38" t="s">
        <v>56</v>
      </c>
      <c r="L12" s="13"/>
      <c r="M12" s="23" t="s">
        <v>46</v>
      </c>
      <c r="N12" s="10"/>
      <c r="O12" s="13"/>
      <c r="P12" s="13"/>
      <c r="Q12" s="13"/>
      <c r="R12" s="12"/>
      <c r="S12" s="13"/>
      <c r="U12" s="8"/>
      <c r="V12" s="9"/>
      <c r="W12" s="9"/>
      <c r="X12" s="9"/>
      <c r="Y12" s="9"/>
      <c r="Z12" s="9"/>
      <c r="AA12" s="9"/>
      <c r="AB12" s="9"/>
      <c r="AC12" s="9"/>
      <c r="AD12" s="9"/>
    </row>
    <row r="13" spans="1:30" ht="18.75" x14ac:dyDescent="0.3">
      <c r="A13" s="42" t="s">
        <v>20</v>
      </c>
      <c r="B13" s="42" t="s">
        <v>57</v>
      </c>
      <c r="C13" s="12">
        <v>20</v>
      </c>
      <c r="D13" s="50">
        <v>45324</v>
      </c>
      <c r="E13" s="47">
        <v>34</v>
      </c>
      <c r="F13" s="45">
        <v>8</v>
      </c>
      <c r="G13" s="47">
        <v>6</v>
      </c>
      <c r="H13" s="47">
        <v>2</v>
      </c>
      <c r="I13" s="15"/>
      <c r="J13" s="31"/>
      <c r="K13" s="38" t="s">
        <v>58</v>
      </c>
      <c r="L13" s="13"/>
      <c r="M13" s="22" t="s">
        <v>33</v>
      </c>
      <c r="N13" s="10"/>
      <c r="O13" s="13"/>
      <c r="P13" s="13"/>
      <c r="Q13" s="13"/>
      <c r="R13" s="12"/>
      <c r="S13" s="13"/>
      <c r="U13" s="8"/>
      <c r="V13" s="9"/>
      <c r="W13" s="9"/>
      <c r="X13" s="9"/>
      <c r="Y13" s="9"/>
      <c r="Z13" s="9"/>
      <c r="AA13" s="9"/>
      <c r="AB13" s="9"/>
      <c r="AC13" s="9"/>
      <c r="AD13" s="9"/>
    </row>
    <row r="14" spans="1:30" ht="18.75" x14ac:dyDescent="0.3">
      <c r="A14" s="42" t="s">
        <v>20</v>
      </c>
      <c r="B14" s="42" t="s">
        <v>59</v>
      </c>
      <c r="C14" s="12">
        <v>21</v>
      </c>
      <c r="D14" s="64">
        <v>45324</v>
      </c>
      <c r="E14" s="47">
        <v>8</v>
      </c>
      <c r="F14" s="47">
        <v>10</v>
      </c>
      <c r="G14" s="47">
        <v>10</v>
      </c>
      <c r="H14" s="15"/>
      <c r="I14" s="15"/>
      <c r="J14" s="20"/>
      <c r="K14" s="20"/>
      <c r="L14" s="13"/>
      <c r="M14" s="22" t="s">
        <v>27</v>
      </c>
      <c r="N14" s="10"/>
      <c r="O14" s="13"/>
      <c r="P14" s="13"/>
      <c r="Q14" s="13"/>
      <c r="R14" s="12"/>
      <c r="S14" s="13"/>
      <c r="U14" s="8"/>
      <c r="V14" s="9"/>
      <c r="W14" s="9"/>
      <c r="X14" s="9"/>
      <c r="Y14" s="9"/>
      <c r="Z14" s="9"/>
      <c r="AA14" s="9"/>
      <c r="AB14" s="9"/>
      <c r="AC14" s="9"/>
      <c r="AD14" s="9"/>
    </row>
    <row r="15" spans="1:30" ht="18.75" x14ac:dyDescent="0.3">
      <c r="A15" s="42" t="s">
        <v>28</v>
      </c>
      <c r="B15" s="42" t="s">
        <v>60</v>
      </c>
      <c r="C15" s="12" t="s">
        <v>29</v>
      </c>
      <c r="D15" s="11">
        <v>45324</v>
      </c>
      <c r="E15" s="47">
        <v>7</v>
      </c>
      <c r="F15" s="15"/>
      <c r="G15" s="15"/>
      <c r="H15" s="15"/>
      <c r="I15" s="15"/>
      <c r="J15" s="28"/>
      <c r="K15" s="28"/>
      <c r="L15" s="13"/>
      <c r="M15" s="10" t="s">
        <v>61</v>
      </c>
      <c r="N15" s="10"/>
      <c r="O15" s="13"/>
      <c r="P15" s="13"/>
      <c r="Q15" s="13"/>
      <c r="R15" s="12"/>
      <c r="S15" s="13"/>
      <c r="U15" s="8"/>
      <c r="V15" s="9"/>
      <c r="W15" s="9"/>
      <c r="X15" s="9"/>
      <c r="Y15" s="9"/>
      <c r="Z15" s="9"/>
      <c r="AA15" s="9"/>
      <c r="AB15" s="9"/>
      <c r="AC15" s="9"/>
      <c r="AD15" s="9"/>
    </row>
    <row r="16" spans="1:30" ht="18.75" x14ac:dyDescent="0.3">
      <c r="A16" s="42" t="s">
        <v>20</v>
      </c>
      <c r="B16" s="42" t="s">
        <v>62</v>
      </c>
      <c r="C16" s="12">
        <v>26</v>
      </c>
      <c r="D16" s="29">
        <v>45331</v>
      </c>
      <c r="E16" s="47">
        <v>24</v>
      </c>
      <c r="F16" s="15"/>
      <c r="G16" s="15"/>
      <c r="H16" s="47">
        <v>7</v>
      </c>
      <c r="I16" s="15"/>
      <c r="J16" s="28"/>
      <c r="K16" s="28"/>
      <c r="L16" s="13"/>
      <c r="M16" s="22" t="s">
        <v>63</v>
      </c>
      <c r="N16" s="10"/>
      <c r="O16" s="13"/>
      <c r="P16" s="13"/>
      <c r="Q16" s="13"/>
      <c r="R16" s="12"/>
      <c r="S16" s="13"/>
      <c r="U16" s="8"/>
      <c r="V16" s="9"/>
      <c r="W16" s="9"/>
      <c r="X16" s="9"/>
      <c r="Y16" s="9"/>
      <c r="Z16" s="9"/>
      <c r="AA16" s="9"/>
      <c r="AB16" s="9"/>
      <c r="AC16" s="9"/>
      <c r="AD16" s="9"/>
    </row>
    <row r="17" spans="1:30" ht="18.75" x14ac:dyDescent="0.3">
      <c r="A17" s="42" t="s">
        <v>20</v>
      </c>
      <c r="B17" s="42" t="s">
        <v>64</v>
      </c>
      <c r="C17" s="12">
        <v>27</v>
      </c>
      <c r="D17" s="29">
        <v>45331</v>
      </c>
      <c r="E17" s="15"/>
      <c r="F17" s="47">
        <v>4</v>
      </c>
      <c r="G17" s="47">
        <v>4</v>
      </c>
      <c r="H17" s="15"/>
      <c r="I17" s="15"/>
      <c r="J17" s="28"/>
      <c r="K17" s="23" t="s">
        <v>46</v>
      </c>
      <c r="L17" s="13"/>
      <c r="M17" s="10" t="s">
        <v>65</v>
      </c>
      <c r="N17" s="10"/>
      <c r="O17" s="13"/>
      <c r="P17" s="13"/>
      <c r="Q17" s="13"/>
      <c r="R17" s="12"/>
      <c r="S17" s="13"/>
      <c r="U17" s="8"/>
      <c r="V17" s="9"/>
      <c r="W17" s="9"/>
      <c r="X17" s="9"/>
      <c r="Y17" s="9"/>
      <c r="Z17" s="9"/>
      <c r="AA17" s="9"/>
      <c r="AB17" s="9"/>
      <c r="AC17" s="9"/>
      <c r="AD17" s="9"/>
    </row>
    <row r="18" spans="1:30" ht="18.75" x14ac:dyDescent="0.3">
      <c r="A18" s="42" t="s">
        <v>20</v>
      </c>
      <c r="B18" s="55" t="s">
        <v>66</v>
      </c>
      <c r="C18" s="40">
        <v>28</v>
      </c>
      <c r="D18" s="29">
        <v>45331</v>
      </c>
      <c r="E18" s="45">
        <v>20</v>
      </c>
      <c r="F18" s="15"/>
      <c r="G18" s="15"/>
      <c r="H18" s="45">
        <v>1</v>
      </c>
      <c r="I18" s="15"/>
      <c r="J18" s="38"/>
      <c r="K18" s="38"/>
      <c r="L18" s="13"/>
      <c r="M18" s="10"/>
      <c r="N18" s="10"/>
      <c r="O18" s="13"/>
      <c r="P18" s="13"/>
      <c r="Q18" s="13"/>
      <c r="R18" s="12"/>
      <c r="S18" s="13"/>
      <c r="U18" s="8"/>
      <c r="V18" s="9"/>
      <c r="W18" s="9"/>
      <c r="X18" s="9"/>
      <c r="Y18" s="9"/>
      <c r="Z18" s="9"/>
      <c r="AA18" s="9"/>
      <c r="AB18" s="9"/>
      <c r="AC18" s="9"/>
      <c r="AD18" s="9"/>
    </row>
    <row r="19" spans="1:30" ht="18.75" x14ac:dyDescent="0.3">
      <c r="A19" s="42" t="s">
        <v>22</v>
      </c>
      <c r="B19" s="43" t="s">
        <v>67</v>
      </c>
      <c r="C19" s="14"/>
      <c r="D19" s="29">
        <v>45331</v>
      </c>
      <c r="E19" s="47">
        <v>37</v>
      </c>
      <c r="F19" s="47">
        <v>8</v>
      </c>
      <c r="G19" s="47">
        <v>8</v>
      </c>
      <c r="H19" s="47">
        <v>3</v>
      </c>
      <c r="I19" s="15"/>
      <c r="J19" s="24" t="s">
        <v>68</v>
      </c>
      <c r="K19" s="15" t="s">
        <v>69</v>
      </c>
      <c r="L19" s="35"/>
      <c r="M19" s="23"/>
      <c r="N19" s="10"/>
      <c r="O19" s="13"/>
      <c r="P19" s="13"/>
      <c r="Q19" s="13"/>
      <c r="R19" s="12" t="s">
        <v>70</v>
      </c>
      <c r="S19" s="13"/>
      <c r="U19" s="8"/>
      <c r="V19" s="9"/>
      <c r="W19" s="9"/>
      <c r="X19" s="9"/>
      <c r="Y19" s="9"/>
      <c r="Z19" s="9"/>
      <c r="AA19" s="9"/>
      <c r="AB19" s="9"/>
      <c r="AC19" s="9"/>
      <c r="AD19" s="9"/>
    </row>
    <row r="20" spans="1:30" ht="18.75" x14ac:dyDescent="0.3">
      <c r="A20" s="42" t="s">
        <v>22</v>
      </c>
      <c r="B20" s="43" t="s">
        <v>71</v>
      </c>
      <c r="C20" s="11"/>
      <c r="D20" s="29">
        <v>45331</v>
      </c>
      <c r="E20" s="47">
        <v>35</v>
      </c>
      <c r="F20" s="47">
        <v>8</v>
      </c>
      <c r="G20" s="47">
        <v>8</v>
      </c>
      <c r="H20" s="47">
        <v>3</v>
      </c>
      <c r="I20" s="15"/>
      <c r="J20" s="28"/>
      <c r="K20" s="28"/>
      <c r="L20" s="13"/>
      <c r="M20" s="23"/>
      <c r="N20" s="10"/>
      <c r="O20" s="13"/>
      <c r="P20" s="13"/>
      <c r="Q20" s="13"/>
      <c r="R20" s="12" t="s">
        <v>72</v>
      </c>
      <c r="S20" s="13"/>
      <c r="U20" s="8"/>
      <c r="V20" s="9"/>
      <c r="W20" s="9"/>
      <c r="X20" s="9"/>
      <c r="Y20" s="9"/>
      <c r="Z20" s="9"/>
      <c r="AA20" s="9"/>
      <c r="AB20" s="9"/>
      <c r="AC20" s="9"/>
      <c r="AD20" s="9"/>
    </row>
    <row r="21" spans="1:30" ht="18.75" x14ac:dyDescent="0.3">
      <c r="A21" s="42" t="s">
        <v>20</v>
      </c>
      <c r="B21" s="55" t="s">
        <v>73</v>
      </c>
      <c r="C21" s="40">
        <v>25</v>
      </c>
      <c r="D21" s="29">
        <v>45331</v>
      </c>
      <c r="E21" s="45">
        <v>2</v>
      </c>
      <c r="F21" s="47">
        <v>2</v>
      </c>
      <c r="G21" s="45">
        <v>2</v>
      </c>
      <c r="H21" s="15"/>
      <c r="I21" s="15"/>
      <c r="J21" s="20"/>
      <c r="K21" s="38" t="s">
        <v>35</v>
      </c>
      <c r="L21" s="13"/>
      <c r="M21" s="23" t="s">
        <v>74</v>
      </c>
      <c r="N21" s="10"/>
      <c r="O21" s="13"/>
      <c r="P21" s="13"/>
      <c r="Q21" s="13"/>
      <c r="R21" s="12"/>
      <c r="S21" s="13"/>
      <c r="U21" s="8"/>
      <c r="V21" s="9"/>
      <c r="W21" s="9"/>
      <c r="X21" s="9"/>
      <c r="Y21" s="9"/>
      <c r="Z21" s="9"/>
      <c r="AA21" s="9"/>
      <c r="AB21" s="9"/>
      <c r="AC21" s="9"/>
      <c r="AD21" s="9"/>
    </row>
    <row r="22" spans="1:30" ht="18.75" x14ac:dyDescent="0.3">
      <c r="A22" s="65" t="s">
        <v>20</v>
      </c>
      <c r="B22" s="65" t="s">
        <v>75</v>
      </c>
      <c r="C22" s="66">
        <v>31</v>
      </c>
      <c r="D22" s="67">
        <v>45331</v>
      </c>
      <c r="E22" s="47">
        <v>20</v>
      </c>
      <c r="F22" s="47">
        <v>6</v>
      </c>
      <c r="G22" s="47">
        <v>8</v>
      </c>
      <c r="H22" s="47">
        <v>2</v>
      </c>
      <c r="I22" s="15"/>
      <c r="J22" s="37"/>
      <c r="K22" s="38" t="s">
        <v>35</v>
      </c>
      <c r="L22" s="13"/>
      <c r="M22" s="23" t="s">
        <v>76</v>
      </c>
      <c r="N22" s="10"/>
      <c r="O22" s="13"/>
      <c r="P22" s="13"/>
      <c r="Q22" s="13"/>
      <c r="R22" s="12"/>
      <c r="S22" s="13"/>
      <c r="T22" s="68"/>
      <c r="U22" s="8"/>
      <c r="V22" s="9"/>
      <c r="W22" s="9"/>
      <c r="X22" s="9"/>
      <c r="Y22" s="9"/>
      <c r="Z22" s="9"/>
      <c r="AA22" s="9"/>
      <c r="AB22" s="9"/>
      <c r="AC22" s="9"/>
      <c r="AD22" s="9"/>
    </row>
    <row r="23" spans="1:30" ht="18.75" x14ac:dyDescent="0.3">
      <c r="A23" s="65" t="s">
        <v>20</v>
      </c>
      <c r="B23" s="65" t="s">
        <v>77</v>
      </c>
      <c r="C23" s="66">
        <v>32</v>
      </c>
      <c r="D23" s="67">
        <v>45331</v>
      </c>
      <c r="E23" s="47">
        <v>20</v>
      </c>
      <c r="F23" s="47">
        <v>6</v>
      </c>
      <c r="G23" s="47">
        <v>8</v>
      </c>
      <c r="H23" s="47">
        <v>2</v>
      </c>
      <c r="I23" s="15"/>
      <c r="J23" s="37"/>
      <c r="K23" s="38" t="s">
        <v>35</v>
      </c>
      <c r="L23" s="13"/>
      <c r="M23" s="23" t="s">
        <v>76</v>
      </c>
      <c r="N23" s="10"/>
      <c r="O23" s="13"/>
      <c r="P23" s="13"/>
      <c r="Q23" s="13"/>
      <c r="R23" s="12"/>
      <c r="S23" s="13"/>
      <c r="T23" s="68"/>
      <c r="U23" s="8"/>
      <c r="V23" s="9"/>
      <c r="W23" s="9"/>
      <c r="X23" s="9"/>
      <c r="Y23" s="9"/>
      <c r="Z23" s="9"/>
      <c r="AA23" s="9"/>
      <c r="AB23" s="9"/>
      <c r="AC23" s="9"/>
      <c r="AD23" s="9"/>
    </row>
    <row r="24" spans="1:30" ht="18.75" x14ac:dyDescent="0.3">
      <c r="A24" s="42" t="s">
        <v>20</v>
      </c>
      <c r="B24" s="42" t="s">
        <v>78</v>
      </c>
      <c r="C24" s="12">
        <v>30</v>
      </c>
      <c r="D24" s="29">
        <v>45331</v>
      </c>
      <c r="E24" s="47">
        <v>20</v>
      </c>
      <c r="F24" s="47">
        <v>6</v>
      </c>
      <c r="G24" s="47">
        <v>6</v>
      </c>
      <c r="H24" s="47">
        <v>2</v>
      </c>
      <c r="I24" s="47">
        <v>2</v>
      </c>
      <c r="J24" s="20"/>
      <c r="K24" s="41"/>
      <c r="L24" s="13"/>
      <c r="M24" s="22" t="s">
        <v>27</v>
      </c>
      <c r="N24" s="10"/>
      <c r="O24" s="13"/>
      <c r="P24" s="13"/>
      <c r="Q24" s="13"/>
      <c r="R24" s="12"/>
      <c r="S24" s="13"/>
      <c r="U24" s="8"/>
      <c r="V24" s="9"/>
      <c r="W24" s="9"/>
      <c r="X24" s="9"/>
      <c r="Y24" s="9"/>
      <c r="Z24" s="9"/>
      <c r="AA24" s="9"/>
      <c r="AB24" s="9"/>
      <c r="AC24" s="9"/>
      <c r="AD24" s="9"/>
    </row>
    <row r="25" spans="1:30" ht="18.75" x14ac:dyDescent="0.3">
      <c r="A25" s="42" t="s">
        <v>20</v>
      </c>
      <c r="B25" s="55" t="s">
        <v>79</v>
      </c>
      <c r="C25" s="33">
        <v>33</v>
      </c>
      <c r="D25" s="29">
        <v>45331</v>
      </c>
      <c r="E25" s="69">
        <v>30</v>
      </c>
      <c r="F25" s="69">
        <v>8</v>
      </c>
      <c r="G25" s="69">
        <v>8</v>
      </c>
      <c r="H25" s="69">
        <v>2</v>
      </c>
      <c r="I25" s="70"/>
      <c r="J25" s="71"/>
      <c r="K25" s="72" t="s">
        <v>35</v>
      </c>
      <c r="L25" s="9"/>
      <c r="M25" s="65"/>
      <c r="N25" s="42"/>
      <c r="O25" s="9"/>
      <c r="P25" s="9"/>
      <c r="Q25" s="9"/>
      <c r="R25" s="33"/>
      <c r="S25" s="9"/>
      <c r="U25" s="8"/>
      <c r="V25" s="9"/>
      <c r="W25" s="9"/>
      <c r="X25" s="9"/>
      <c r="Y25" s="9"/>
      <c r="Z25" s="9"/>
      <c r="AA25" s="9"/>
      <c r="AB25" s="9"/>
      <c r="AC25" s="9"/>
      <c r="AD25" s="9"/>
    </row>
    <row r="26" spans="1:30" ht="18.75" x14ac:dyDescent="0.3">
      <c r="A26" s="42" t="s">
        <v>20</v>
      </c>
      <c r="B26" s="73" t="s">
        <v>80</v>
      </c>
      <c r="C26" s="74"/>
      <c r="D26" s="74">
        <v>45331</v>
      </c>
      <c r="E26" s="75">
        <v>13</v>
      </c>
      <c r="F26" s="76"/>
      <c r="G26" s="70"/>
      <c r="H26" s="69">
        <v>1</v>
      </c>
      <c r="I26" s="69">
        <v>4</v>
      </c>
      <c r="J26" s="77"/>
      <c r="K26" s="77"/>
      <c r="L26" s="9"/>
      <c r="M26" s="42"/>
      <c r="N26" s="42" t="s">
        <v>24</v>
      </c>
      <c r="O26" s="9"/>
      <c r="P26" s="9"/>
      <c r="Q26" s="9"/>
      <c r="R26" s="33"/>
      <c r="S26" s="9"/>
      <c r="U26" s="8"/>
      <c r="V26" s="9"/>
      <c r="W26" s="9"/>
      <c r="X26" s="9"/>
      <c r="Y26" s="9"/>
      <c r="Z26" s="9"/>
      <c r="AA26" s="9"/>
      <c r="AB26" s="9"/>
      <c r="AC26" s="9"/>
      <c r="AD26" s="9"/>
    </row>
    <row r="27" spans="1:30" ht="18.75" x14ac:dyDescent="0.3">
      <c r="A27" s="42" t="s">
        <v>150</v>
      </c>
      <c r="B27" s="42" t="s">
        <v>81</v>
      </c>
      <c r="C27" s="74"/>
      <c r="D27" s="74">
        <v>45331</v>
      </c>
      <c r="E27" s="70"/>
      <c r="F27" s="70">
        <v>5</v>
      </c>
      <c r="G27" s="70"/>
      <c r="H27" s="70"/>
      <c r="I27" s="70"/>
      <c r="J27" s="77"/>
      <c r="K27" s="77"/>
      <c r="L27" s="9"/>
      <c r="M27" s="42" t="s">
        <v>82</v>
      </c>
      <c r="N27" s="42"/>
      <c r="O27" s="9"/>
      <c r="P27" s="9"/>
      <c r="Q27" s="9"/>
      <c r="R27" s="33"/>
      <c r="S27" s="9"/>
      <c r="U27" s="8"/>
      <c r="V27" s="9"/>
      <c r="W27" s="9"/>
      <c r="X27" s="9"/>
      <c r="Y27" s="9"/>
      <c r="Z27" s="9"/>
      <c r="AA27" s="9"/>
      <c r="AB27" s="9"/>
      <c r="AC27" s="9"/>
      <c r="AD27" s="9"/>
    </row>
    <row r="28" spans="1:30" ht="18.75" x14ac:dyDescent="0.3">
      <c r="A28" s="42" t="s">
        <v>22</v>
      </c>
      <c r="B28" s="44" t="s">
        <v>83</v>
      </c>
      <c r="C28" s="74"/>
      <c r="D28" s="74">
        <v>45338</v>
      </c>
      <c r="E28" s="69">
        <v>16</v>
      </c>
      <c r="F28" s="70" t="s">
        <v>23</v>
      </c>
      <c r="G28" s="70"/>
      <c r="H28" s="69">
        <v>2</v>
      </c>
      <c r="I28" s="70"/>
      <c r="J28" s="77"/>
      <c r="K28" s="77"/>
      <c r="L28" s="9"/>
      <c r="M28" s="10"/>
      <c r="N28" s="42"/>
      <c r="O28" s="9"/>
      <c r="P28" s="9"/>
      <c r="Q28" s="9"/>
      <c r="R28" s="33" t="s">
        <v>36</v>
      </c>
      <c r="S28" s="9"/>
      <c r="U28" s="8"/>
      <c r="V28" s="9"/>
      <c r="W28" s="9"/>
      <c r="X28" s="9"/>
      <c r="Y28" s="9"/>
      <c r="Z28" s="9"/>
      <c r="AA28" s="9"/>
      <c r="AB28" s="9"/>
      <c r="AC28" s="9"/>
      <c r="AD28" s="9"/>
    </row>
    <row r="29" spans="1:30" ht="18.75" x14ac:dyDescent="0.3">
      <c r="A29" s="42" t="s">
        <v>22</v>
      </c>
      <c r="B29" s="44" t="s">
        <v>84</v>
      </c>
      <c r="C29" s="74"/>
      <c r="D29" s="74">
        <v>45338</v>
      </c>
      <c r="E29" s="69">
        <v>35</v>
      </c>
      <c r="F29" s="70">
        <v>8</v>
      </c>
      <c r="G29" s="69">
        <v>8</v>
      </c>
      <c r="H29" s="69">
        <v>3</v>
      </c>
      <c r="I29" s="70"/>
      <c r="J29" s="77"/>
      <c r="K29" s="77"/>
      <c r="L29" s="9"/>
      <c r="M29" s="65" t="s">
        <v>46</v>
      </c>
      <c r="N29" s="42"/>
      <c r="O29" s="9"/>
      <c r="P29" s="9"/>
      <c r="Q29" s="9"/>
      <c r="R29" s="33" t="s">
        <v>36</v>
      </c>
      <c r="S29" s="9"/>
      <c r="U29" s="8"/>
      <c r="V29" s="9"/>
      <c r="W29" s="9"/>
      <c r="X29" s="9"/>
      <c r="Y29" s="9"/>
      <c r="Z29" s="9"/>
      <c r="AA29" s="9"/>
      <c r="AB29" s="9"/>
      <c r="AC29" s="9"/>
      <c r="AD29" s="9"/>
    </row>
    <row r="30" spans="1:30" ht="18.75" x14ac:dyDescent="0.3">
      <c r="A30" s="42" t="s">
        <v>31</v>
      </c>
      <c r="B30" s="42" t="s">
        <v>85</v>
      </c>
      <c r="C30" s="33" t="s">
        <v>86</v>
      </c>
      <c r="D30" s="78">
        <v>45338</v>
      </c>
      <c r="E30" s="70" t="s">
        <v>23</v>
      </c>
      <c r="F30" s="70" t="s">
        <v>23</v>
      </c>
      <c r="G30" s="70" t="s">
        <v>23</v>
      </c>
      <c r="H30" s="70" t="s">
        <v>23</v>
      </c>
      <c r="I30" s="70">
        <v>12</v>
      </c>
      <c r="J30" s="77"/>
      <c r="K30" s="77"/>
      <c r="L30" s="9"/>
      <c r="M30" s="42"/>
      <c r="N30" s="42"/>
      <c r="O30" s="9"/>
      <c r="P30" s="9"/>
      <c r="Q30" s="9"/>
      <c r="R30" s="33"/>
      <c r="S30" s="9"/>
      <c r="U30" s="8"/>
      <c r="V30" s="9"/>
      <c r="W30" s="9"/>
      <c r="X30" s="9"/>
      <c r="Y30" s="9"/>
      <c r="Z30" s="9"/>
      <c r="AA30" s="9"/>
      <c r="AB30" s="9"/>
      <c r="AC30" s="9"/>
      <c r="AD30" s="9"/>
    </row>
    <row r="31" spans="1:30" ht="18.75" x14ac:dyDescent="0.3">
      <c r="A31" s="42" t="s">
        <v>22</v>
      </c>
      <c r="B31" s="79" t="s">
        <v>87</v>
      </c>
      <c r="C31" s="74"/>
      <c r="D31" s="74">
        <v>45338</v>
      </c>
      <c r="E31" s="70">
        <v>65</v>
      </c>
      <c r="F31" s="70"/>
      <c r="G31" s="70"/>
      <c r="H31" s="70">
        <v>6</v>
      </c>
      <c r="I31" s="80"/>
      <c r="J31" s="81" t="s">
        <v>88</v>
      </c>
      <c r="K31" s="82"/>
      <c r="L31" s="9"/>
      <c r="M31" s="83" t="s">
        <v>38</v>
      </c>
      <c r="N31" s="42"/>
      <c r="O31" s="9"/>
      <c r="P31" s="9"/>
      <c r="Q31" s="9"/>
      <c r="R31" s="33" t="s">
        <v>36</v>
      </c>
      <c r="S31" s="9"/>
      <c r="U31" s="8"/>
      <c r="V31" s="9"/>
      <c r="W31" s="9"/>
      <c r="X31" s="9"/>
      <c r="Y31" s="9"/>
      <c r="Z31" s="9"/>
      <c r="AA31" s="9"/>
      <c r="AB31" s="9"/>
      <c r="AC31" s="9"/>
      <c r="AD31" s="9"/>
    </row>
    <row r="32" spans="1:30" ht="18.75" x14ac:dyDescent="0.3">
      <c r="A32" s="42" t="s">
        <v>22</v>
      </c>
      <c r="B32" s="42" t="s">
        <v>89</v>
      </c>
      <c r="C32" s="74"/>
      <c r="D32" s="74">
        <v>45338</v>
      </c>
      <c r="E32" s="70">
        <v>37</v>
      </c>
      <c r="F32" s="70">
        <v>8</v>
      </c>
      <c r="G32" s="70">
        <v>8</v>
      </c>
      <c r="H32" s="70">
        <v>3</v>
      </c>
      <c r="I32" s="70"/>
      <c r="J32" s="77"/>
      <c r="K32" s="77"/>
      <c r="L32" s="9"/>
      <c r="M32" s="42"/>
      <c r="N32" s="42"/>
      <c r="O32" s="9"/>
      <c r="P32" s="9"/>
      <c r="Q32" s="9"/>
      <c r="R32" s="33" t="s">
        <v>36</v>
      </c>
      <c r="S32" s="9"/>
      <c r="U32" s="8"/>
      <c r="V32" s="9"/>
      <c r="W32" s="9"/>
      <c r="X32" s="9"/>
      <c r="Y32" s="9"/>
      <c r="Z32" s="9"/>
      <c r="AA32" s="9"/>
      <c r="AB32" s="9"/>
      <c r="AC32" s="9"/>
      <c r="AD32" s="9"/>
    </row>
    <row r="33" spans="1:30" ht="18.75" x14ac:dyDescent="0.3">
      <c r="A33" s="42" t="s">
        <v>22</v>
      </c>
      <c r="B33" s="42" t="s">
        <v>90</v>
      </c>
      <c r="C33" s="74"/>
      <c r="D33" s="74">
        <v>45338</v>
      </c>
      <c r="E33" s="70">
        <v>33</v>
      </c>
      <c r="F33" s="70">
        <v>8</v>
      </c>
      <c r="G33" s="70">
        <v>8</v>
      </c>
      <c r="H33" s="70">
        <v>3</v>
      </c>
      <c r="I33" s="70"/>
      <c r="J33" s="77"/>
      <c r="K33" s="77"/>
      <c r="L33" s="9"/>
      <c r="M33" s="42"/>
      <c r="N33" s="42"/>
      <c r="O33" s="9"/>
      <c r="P33" s="9"/>
      <c r="Q33" s="9"/>
      <c r="R33" s="33" t="s">
        <v>36</v>
      </c>
      <c r="S33" s="9"/>
      <c r="U33" s="8"/>
      <c r="V33" s="9"/>
      <c r="W33" s="9"/>
      <c r="X33" s="9"/>
      <c r="Y33" s="9"/>
      <c r="Z33" s="9"/>
      <c r="AA33" s="9"/>
      <c r="AB33" s="9"/>
      <c r="AC33" s="9"/>
      <c r="AD33" s="9"/>
    </row>
    <row r="34" spans="1:30" ht="18.75" x14ac:dyDescent="0.3">
      <c r="A34" s="42" t="s">
        <v>91</v>
      </c>
      <c r="B34" s="42"/>
      <c r="C34" s="74"/>
      <c r="D34" s="74">
        <v>45341</v>
      </c>
      <c r="E34" s="70"/>
      <c r="F34" s="70"/>
      <c r="G34" s="70"/>
      <c r="H34" s="70"/>
      <c r="I34" s="70"/>
      <c r="J34" s="77"/>
      <c r="K34" s="77"/>
      <c r="L34" s="9"/>
      <c r="M34" s="42"/>
      <c r="N34" s="42"/>
      <c r="O34" s="9"/>
      <c r="P34" s="9"/>
      <c r="Q34" s="9"/>
      <c r="R34" s="33"/>
      <c r="S34" s="9"/>
      <c r="U34" s="8"/>
      <c r="V34" s="9"/>
      <c r="W34" s="9"/>
      <c r="X34" s="9"/>
      <c r="Y34" s="9"/>
      <c r="Z34" s="9"/>
      <c r="AA34" s="9"/>
      <c r="AB34" s="9"/>
      <c r="AC34" s="9"/>
      <c r="AD34" s="9"/>
    </row>
    <row r="35" spans="1:30" ht="18.75" x14ac:dyDescent="0.3">
      <c r="A35" s="42" t="s">
        <v>20</v>
      </c>
      <c r="B35" s="42" t="s">
        <v>92</v>
      </c>
      <c r="C35" s="74"/>
      <c r="D35" s="74">
        <v>45345</v>
      </c>
      <c r="E35" s="70">
        <v>333</v>
      </c>
      <c r="F35" s="70">
        <v>12</v>
      </c>
      <c r="G35" s="70">
        <v>12</v>
      </c>
      <c r="H35" s="70">
        <v>17</v>
      </c>
      <c r="I35" s="70">
        <v>6</v>
      </c>
      <c r="J35" s="77"/>
      <c r="K35" s="77"/>
      <c r="L35" s="9"/>
      <c r="M35" s="42"/>
      <c r="N35" s="42"/>
      <c r="O35" s="9"/>
      <c r="P35" s="9"/>
      <c r="Q35" s="9"/>
      <c r="R35" s="33"/>
      <c r="S35" s="9"/>
      <c r="U35" s="8"/>
      <c r="V35" s="9"/>
      <c r="W35" s="9"/>
      <c r="X35" s="9"/>
      <c r="Y35" s="9"/>
      <c r="Z35" s="9"/>
      <c r="AA35" s="9"/>
      <c r="AB35" s="9"/>
      <c r="AC35" s="9"/>
      <c r="AD35" s="9"/>
    </row>
    <row r="36" spans="1:30" ht="18.75" x14ac:dyDescent="0.3">
      <c r="A36" s="42" t="s">
        <v>20</v>
      </c>
      <c r="B36" s="55" t="s">
        <v>93</v>
      </c>
      <c r="C36" s="84">
        <v>34</v>
      </c>
      <c r="D36" s="78">
        <v>45352</v>
      </c>
      <c r="E36" s="85">
        <v>6</v>
      </c>
      <c r="F36" s="70"/>
      <c r="G36" s="70"/>
      <c r="H36" s="85">
        <v>1</v>
      </c>
      <c r="I36" s="70"/>
      <c r="J36" s="72"/>
      <c r="K36" s="72" t="s">
        <v>35</v>
      </c>
      <c r="L36" s="9"/>
      <c r="M36" s="42"/>
      <c r="N36" s="42"/>
      <c r="O36" s="9"/>
      <c r="P36" s="9"/>
      <c r="Q36" s="9"/>
      <c r="R36" s="33"/>
      <c r="S36" s="9"/>
      <c r="U36" s="8"/>
      <c r="V36" s="9"/>
      <c r="W36" s="9"/>
      <c r="X36" s="9"/>
      <c r="Y36" s="9"/>
      <c r="Z36" s="9"/>
      <c r="AA36" s="9"/>
      <c r="AB36" s="9"/>
      <c r="AC36" s="9"/>
      <c r="AD36" s="9"/>
    </row>
    <row r="37" spans="1:30" ht="18.75" x14ac:dyDescent="0.3">
      <c r="A37" s="42" t="s">
        <v>94</v>
      </c>
      <c r="B37" s="42" t="s">
        <v>95</v>
      </c>
      <c r="C37" s="33" t="s">
        <v>96</v>
      </c>
      <c r="D37" s="74">
        <v>45352</v>
      </c>
      <c r="E37" s="86">
        <v>0</v>
      </c>
      <c r="F37" s="86">
        <v>47</v>
      </c>
      <c r="G37" s="70"/>
      <c r="H37" s="70"/>
      <c r="I37" s="70"/>
      <c r="J37" s="77"/>
      <c r="K37" s="77"/>
      <c r="L37" s="9"/>
      <c r="M37" s="48" t="s">
        <v>30</v>
      </c>
      <c r="N37" s="42">
        <v>6</v>
      </c>
      <c r="O37" s="9"/>
      <c r="P37" s="9"/>
      <c r="Q37" s="9"/>
      <c r="R37" s="33"/>
      <c r="S37" s="9"/>
      <c r="U37" s="8"/>
      <c r="V37" s="9"/>
      <c r="W37" s="9"/>
      <c r="X37" s="9"/>
      <c r="Y37" s="9"/>
      <c r="Z37" s="9"/>
      <c r="AA37" s="9"/>
      <c r="AB37" s="9"/>
      <c r="AC37" s="9"/>
      <c r="AD37" s="9"/>
    </row>
    <row r="38" spans="1:30" ht="18.75" x14ac:dyDescent="0.3">
      <c r="A38" s="42" t="s">
        <v>20</v>
      </c>
      <c r="B38" s="73" t="s">
        <v>97</v>
      </c>
      <c r="C38" s="33">
        <v>36</v>
      </c>
      <c r="D38" s="78">
        <v>45352</v>
      </c>
      <c r="E38" s="87">
        <v>30</v>
      </c>
      <c r="F38" s="76">
        <v>8</v>
      </c>
      <c r="G38" s="70">
        <v>8</v>
      </c>
      <c r="H38" s="70">
        <v>2</v>
      </c>
      <c r="I38" s="70" t="s">
        <v>23</v>
      </c>
      <c r="J38" s="77"/>
      <c r="K38" s="77"/>
      <c r="L38" s="9"/>
      <c r="M38" s="42" t="s">
        <v>23</v>
      </c>
      <c r="N38" s="42" t="s">
        <v>98</v>
      </c>
      <c r="O38" s="9"/>
      <c r="P38" s="9"/>
      <c r="Q38" s="9"/>
      <c r="R38" s="33"/>
      <c r="S38" s="9"/>
      <c r="U38" s="8"/>
      <c r="V38" s="9"/>
      <c r="W38" s="9"/>
      <c r="X38" s="9"/>
      <c r="Y38" s="9"/>
      <c r="Z38" s="9"/>
      <c r="AA38" s="9"/>
      <c r="AB38" s="9"/>
      <c r="AC38" s="9"/>
      <c r="AD38" s="9"/>
    </row>
    <row r="39" spans="1:30" ht="18.75" x14ac:dyDescent="0.3">
      <c r="A39" s="42" t="s">
        <v>20</v>
      </c>
      <c r="B39" s="73" t="s">
        <v>99</v>
      </c>
      <c r="C39" s="33">
        <v>37</v>
      </c>
      <c r="D39" s="78">
        <v>45352</v>
      </c>
      <c r="E39" s="87">
        <v>30</v>
      </c>
      <c r="F39" s="76">
        <v>8</v>
      </c>
      <c r="G39" s="70">
        <v>8</v>
      </c>
      <c r="H39" s="70">
        <v>2</v>
      </c>
      <c r="I39" s="70" t="s">
        <v>23</v>
      </c>
      <c r="J39" s="77"/>
      <c r="K39" s="77"/>
      <c r="L39" s="9"/>
      <c r="M39" s="42" t="s">
        <v>23</v>
      </c>
      <c r="N39" s="42" t="s">
        <v>98</v>
      </c>
      <c r="O39" s="9"/>
      <c r="P39" s="9"/>
      <c r="Q39" s="9"/>
      <c r="R39" s="33"/>
      <c r="S39" s="9"/>
      <c r="U39" s="8"/>
      <c r="V39" s="9"/>
      <c r="W39" s="9"/>
      <c r="X39" s="9"/>
      <c r="Y39" s="9"/>
      <c r="Z39" s="9"/>
      <c r="AA39" s="9"/>
      <c r="AB39" s="9"/>
      <c r="AC39" s="9"/>
      <c r="AD39" s="9"/>
    </row>
    <row r="40" spans="1:30" ht="18.75" x14ac:dyDescent="0.3">
      <c r="A40" s="42" t="s">
        <v>20</v>
      </c>
      <c r="B40" s="73" t="s">
        <v>100</v>
      </c>
      <c r="C40" s="33">
        <v>38</v>
      </c>
      <c r="D40" s="78">
        <v>45352</v>
      </c>
      <c r="E40" s="87">
        <v>6</v>
      </c>
      <c r="F40" s="76"/>
      <c r="G40" s="70"/>
      <c r="H40" s="70">
        <v>1</v>
      </c>
      <c r="I40" s="70"/>
      <c r="J40" s="77"/>
      <c r="K40" s="77"/>
      <c r="L40" s="9"/>
      <c r="M40" s="42" t="s">
        <v>26</v>
      </c>
      <c r="N40" s="42" t="s">
        <v>98</v>
      </c>
      <c r="O40" s="9"/>
      <c r="P40" s="9"/>
      <c r="Q40" s="9"/>
      <c r="R40" s="33"/>
      <c r="S40" s="9"/>
      <c r="U40" s="8"/>
      <c r="V40" s="9"/>
      <c r="W40" s="9"/>
      <c r="X40" s="9"/>
      <c r="Y40" s="9"/>
      <c r="Z40" s="9"/>
      <c r="AA40" s="9"/>
      <c r="AB40" s="9"/>
      <c r="AC40" s="9"/>
      <c r="AD40" s="9"/>
    </row>
    <row r="41" spans="1:30" ht="18.75" x14ac:dyDescent="0.3">
      <c r="A41" s="42" t="s">
        <v>20</v>
      </c>
      <c r="B41" s="73" t="s">
        <v>101</v>
      </c>
      <c r="C41" s="33">
        <v>39</v>
      </c>
      <c r="D41" s="78">
        <v>45352</v>
      </c>
      <c r="E41" s="87">
        <v>6</v>
      </c>
      <c r="F41" s="76"/>
      <c r="G41" s="70"/>
      <c r="H41" s="70">
        <v>1</v>
      </c>
      <c r="I41" s="70"/>
      <c r="J41" s="77"/>
      <c r="K41" s="77"/>
      <c r="L41" s="9"/>
      <c r="M41" s="42" t="s">
        <v>26</v>
      </c>
      <c r="N41" s="42" t="s">
        <v>98</v>
      </c>
      <c r="O41" s="9"/>
      <c r="P41" s="9"/>
      <c r="Q41" s="9"/>
      <c r="R41" s="33"/>
      <c r="S41" s="9"/>
      <c r="U41" s="8"/>
      <c r="V41" s="9"/>
      <c r="W41" s="9"/>
      <c r="X41" s="9"/>
      <c r="Y41" s="9"/>
      <c r="Z41" s="9"/>
      <c r="AA41" s="9"/>
      <c r="AB41" s="9"/>
      <c r="AC41" s="9"/>
      <c r="AD41" s="9"/>
    </row>
    <row r="42" spans="1:30" ht="18.75" x14ac:dyDescent="0.3">
      <c r="A42" s="42" t="s">
        <v>20</v>
      </c>
      <c r="B42" s="73" t="s">
        <v>102</v>
      </c>
      <c r="C42" s="33">
        <v>40</v>
      </c>
      <c r="D42" s="78">
        <v>45352</v>
      </c>
      <c r="E42" s="87">
        <v>6</v>
      </c>
      <c r="F42" s="76"/>
      <c r="G42" s="70"/>
      <c r="H42" s="70">
        <v>1</v>
      </c>
      <c r="I42" s="70"/>
      <c r="J42" s="77"/>
      <c r="K42" s="77"/>
      <c r="L42" s="9"/>
      <c r="M42" s="42" t="s">
        <v>26</v>
      </c>
      <c r="N42" s="42" t="s">
        <v>103</v>
      </c>
      <c r="O42" s="9"/>
      <c r="P42" s="9"/>
      <c r="Q42" s="9"/>
      <c r="R42" s="33"/>
      <c r="S42" s="9"/>
      <c r="U42" s="8"/>
      <c r="V42" s="9"/>
      <c r="W42" s="9"/>
      <c r="X42" s="9"/>
      <c r="Y42" s="9"/>
      <c r="Z42" s="9"/>
      <c r="AA42" s="9"/>
      <c r="AB42" s="9"/>
      <c r="AC42" s="9"/>
      <c r="AD42" s="9"/>
    </row>
    <row r="43" spans="1:30" ht="18.75" x14ac:dyDescent="0.3">
      <c r="A43" s="42" t="s">
        <v>20</v>
      </c>
      <c r="B43" s="42" t="s">
        <v>104</v>
      </c>
      <c r="C43" s="33">
        <v>35</v>
      </c>
      <c r="D43" s="74">
        <v>45352</v>
      </c>
      <c r="E43" s="69">
        <v>25</v>
      </c>
      <c r="F43" s="70">
        <v>0</v>
      </c>
      <c r="G43" s="70"/>
      <c r="H43" s="69">
        <v>7</v>
      </c>
      <c r="I43" s="70"/>
      <c r="J43" s="77" t="s">
        <v>105</v>
      </c>
      <c r="K43" s="77" t="s">
        <v>105</v>
      </c>
      <c r="L43" s="9"/>
      <c r="M43" s="42"/>
      <c r="N43" s="42" t="s">
        <v>106</v>
      </c>
      <c r="O43" s="9"/>
      <c r="P43" s="9"/>
      <c r="Q43" s="9"/>
      <c r="R43" s="33"/>
      <c r="S43" s="9"/>
      <c r="U43" s="8"/>
      <c r="V43" s="9"/>
      <c r="W43" s="9"/>
      <c r="X43" s="9"/>
      <c r="Y43" s="9"/>
      <c r="Z43" s="9"/>
      <c r="AA43" s="9"/>
      <c r="AB43" s="9"/>
      <c r="AC43" s="9"/>
      <c r="AD43" s="9"/>
    </row>
    <row r="44" spans="1:30" ht="18.75" x14ac:dyDescent="0.3">
      <c r="A44" s="48" t="s">
        <v>20</v>
      </c>
      <c r="B44" s="49" t="s">
        <v>107</v>
      </c>
      <c r="C44" s="88">
        <v>41</v>
      </c>
      <c r="D44" s="89">
        <v>45359</v>
      </c>
      <c r="E44" s="87">
        <v>30</v>
      </c>
      <c r="F44" s="86">
        <v>10</v>
      </c>
      <c r="G44" s="90">
        <v>10</v>
      </c>
      <c r="H44" s="90">
        <v>2</v>
      </c>
      <c r="I44" s="90"/>
      <c r="J44" s="77"/>
      <c r="K44" s="77"/>
      <c r="L44" s="25"/>
      <c r="M44" s="48" t="s">
        <v>23</v>
      </c>
      <c r="N44" s="48" t="s">
        <v>108</v>
      </c>
      <c r="O44" s="25"/>
      <c r="P44" s="25"/>
      <c r="Q44" s="25"/>
      <c r="R44" s="88"/>
      <c r="S44" s="25"/>
      <c r="U44" s="8"/>
      <c r="V44" s="9"/>
      <c r="W44" s="9"/>
      <c r="X44" s="9"/>
      <c r="Y44" s="9"/>
      <c r="Z44" s="9"/>
      <c r="AA44" s="9"/>
      <c r="AB44" s="9"/>
      <c r="AC44" s="9"/>
      <c r="AD44" s="9"/>
    </row>
    <row r="45" spans="1:30" ht="18.75" x14ac:dyDescent="0.3">
      <c r="A45" s="42" t="s">
        <v>20</v>
      </c>
      <c r="B45" s="73" t="s">
        <v>109</v>
      </c>
      <c r="C45" s="33">
        <v>42</v>
      </c>
      <c r="D45" s="91">
        <v>45359</v>
      </c>
      <c r="E45" s="87">
        <v>30</v>
      </c>
      <c r="F45" s="76">
        <v>10</v>
      </c>
      <c r="G45" s="70">
        <v>10</v>
      </c>
      <c r="H45" s="70">
        <v>2</v>
      </c>
      <c r="I45" s="70"/>
      <c r="J45" s="77"/>
      <c r="K45" s="77"/>
      <c r="L45" s="9"/>
      <c r="M45" s="42" t="s">
        <v>23</v>
      </c>
      <c r="N45" s="32" t="s">
        <v>108</v>
      </c>
      <c r="O45" s="9"/>
      <c r="P45" s="9"/>
      <c r="Q45" s="9"/>
      <c r="R45" s="33"/>
      <c r="S45" s="9"/>
      <c r="U45" s="8"/>
      <c r="V45" s="9"/>
      <c r="W45" s="9"/>
      <c r="X45" s="9"/>
      <c r="Y45" s="9"/>
      <c r="Z45" s="9"/>
      <c r="AA45" s="9"/>
      <c r="AB45" s="9"/>
      <c r="AC45" s="9"/>
      <c r="AD45" s="9"/>
    </row>
    <row r="46" spans="1:30" ht="18.75" x14ac:dyDescent="0.3">
      <c r="A46" s="42" t="s">
        <v>20</v>
      </c>
      <c r="B46" s="73" t="s">
        <v>110</v>
      </c>
      <c r="C46" s="33">
        <v>43</v>
      </c>
      <c r="D46" s="91">
        <v>45359</v>
      </c>
      <c r="E46" s="87">
        <v>30</v>
      </c>
      <c r="F46" s="86">
        <v>6</v>
      </c>
      <c r="G46" s="90">
        <v>6</v>
      </c>
      <c r="H46" s="90">
        <v>2</v>
      </c>
      <c r="I46" s="90"/>
      <c r="J46" s="77"/>
      <c r="K46" s="77"/>
      <c r="L46" s="25"/>
      <c r="M46" s="48"/>
      <c r="N46" s="48"/>
      <c r="O46" s="9"/>
      <c r="P46" s="9"/>
      <c r="Q46" s="9"/>
      <c r="R46" s="33"/>
      <c r="S46" s="9"/>
      <c r="U46" s="8"/>
      <c r="V46" s="9"/>
      <c r="W46" s="9"/>
      <c r="X46" s="9"/>
      <c r="Y46" s="9"/>
      <c r="Z46" s="9"/>
      <c r="AA46" s="9"/>
      <c r="AB46" s="9"/>
      <c r="AC46" s="9"/>
      <c r="AD46" s="9"/>
    </row>
    <row r="47" spans="1:30" ht="18.75" hidden="1" x14ac:dyDescent="0.3">
      <c r="A47" s="92" t="s">
        <v>21</v>
      </c>
      <c r="B47" s="55" t="s">
        <v>111</v>
      </c>
      <c r="C47" s="93"/>
      <c r="D47" s="74"/>
      <c r="E47" s="90"/>
      <c r="F47" s="90"/>
      <c r="G47" s="90"/>
      <c r="H47" s="90"/>
      <c r="I47" s="90"/>
      <c r="J47" s="90"/>
      <c r="K47" s="90"/>
      <c r="L47" s="94" t="s">
        <v>19</v>
      </c>
      <c r="M47" s="48"/>
      <c r="N47" s="42"/>
      <c r="O47" s="9"/>
      <c r="P47" s="9"/>
      <c r="Q47" s="9"/>
      <c r="R47" s="33"/>
      <c r="S47" s="9"/>
      <c r="U47" s="8"/>
      <c r="V47" s="9"/>
      <c r="W47" s="9"/>
      <c r="X47" s="9"/>
      <c r="Y47" s="9"/>
      <c r="Z47" s="9"/>
      <c r="AA47" s="9"/>
      <c r="AB47" s="9"/>
      <c r="AC47" s="9"/>
      <c r="AD47" s="9"/>
    </row>
    <row r="48" spans="1:30" ht="18.75" hidden="1" x14ac:dyDescent="0.3">
      <c r="A48" s="92" t="s">
        <v>21</v>
      </c>
      <c r="B48" s="55" t="s">
        <v>112</v>
      </c>
      <c r="C48" s="93"/>
      <c r="D48" s="74"/>
      <c r="E48" s="90">
        <v>2</v>
      </c>
      <c r="F48" s="90"/>
      <c r="G48" s="90"/>
      <c r="H48" s="90"/>
      <c r="I48" s="90"/>
      <c r="J48" s="90"/>
      <c r="K48" s="90"/>
      <c r="L48" s="94" t="s">
        <v>19</v>
      </c>
      <c r="M48" s="48" t="s">
        <v>113</v>
      </c>
      <c r="N48" s="42"/>
      <c r="O48" s="9"/>
      <c r="P48" s="9"/>
      <c r="Q48" s="9"/>
      <c r="R48" s="33"/>
      <c r="S48" s="9"/>
      <c r="U48" s="8"/>
      <c r="V48" s="9"/>
      <c r="W48" s="9"/>
      <c r="X48" s="9"/>
      <c r="Y48" s="9"/>
      <c r="Z48" s="9"/>
      <c r="AA48" s="9"/>
      <c r="AB48" s="9"/>
      <c r="AC48" s="9"/>
      <c r="AD48" s="9"/>
    </row>
    <row r="49" spans="1:30" ht="18.75" x14ac:dyDescent="0.3">
      <c r="A49" s="42" t="s">
        <v>31</v>
      </c>
      <c r="B49" s="42" t="s">
        <v>114</v>
      </c>
      <c r="C49" s="33" t="s">
        <v>86</v>
      </c>
      <c r="D49" s="74">
        <v>45366</v>
      </c>
      <c r="E49" s="86"/>
      <c r="F49" s="86"/>
      <c r="G49" s="70"/>
      <c r="H49" s="70"/>
      <c r="I49" s="70">
        <v>9</v>
      </c>
      <c r="J49" s="77"/>
      <c r="K49" s="77"/>
      <c r="L49" s="9"/>
      <c r="M49" s="48"/>
      <c r="N49" s="42"/>
      <c r="O49" s="9"/>
      <c r="P49" s="9"/>
      <c r="Q49" s="9"/>
      <c r="R49" s="33"/>
      <c r="S49" s="9"/>
      <c r="U49" s="8"/>
      <c r="V49" s="9"/>
      <c r="W49" s="9"/>
      <c r="X49" s="9"/>
      <c r="Y49" s="9"/>
      <c r="Z49" s="9"/>
      <c r="AA49" s="9"/>
      <c r="AB49" s="9"/>
      <c r="AC49" s="9"/>
      <c r="AD49" s="9"/>
    </row>
    <row r="50" spans="1:30" ht="18.75" x14ac:dyDescent="0.3">
      <c r="A50" s="42" t="s">
        <v>20</v>
      </c>
      <c r="B50" s="42" t="s">
        <v>115</v>
      </c>
      <c r="C50" s="74"/>
      <c r="D50" s="74">
        <v>45366</v>
      </c>
      <c r="E50" s="70">
        <v>12</v>
      </c>
      <c r="F50" s="70">
        <v>4</v>
      </c>
      <c r="G50" s="70">
        <v>4</v>
      </c>
      <c r="H50" s="70"/>
      <c r="I50" s="70"/>
      <c r="J50" s="90"/>
      <c r="K50" s="90"/>
      <c r="L50" s="9"/>
      <c r="M50" s="42" t="s">
        <v>116</v>
      </c>
      <c r="N50" s="42"/>
      <c r="O50" s="9"/>
      <c r="P50" s="9"/>
      <c r="Q50" s="9"/>
      <c r="R50" s="33"/>
      <c r="S50" s="9"/>
      <c r="U50" s="8"/>
      <c r="V50" s="9"/>
      <c r="W50" s="9"/>
      <c r="X50" s="9"/>
      <c r="Y50" s="9"/>
      <c r="Z50" s="9"/>
      <c r="AA50" s="9"/>
      <c r="AB50" s="9"/>
      <c r="AC50" s="9"/>
      <c r="AD50" s="9"/>
    </row>
    <row r="51" spans="1:30" ht="18.75" x14ac:dyDescent="0.3">
      <c r="A51" s="42" t="s">
        <v>25</v>
      </c>
      <c r="B51" s="95" t="s">
        <v>117</v>
      </c>
      <c r="C51" s="33" t="s">
        <v>96</v>
      </c>
      <c r="D51" s="74">
        <v>45373</v>
      </c>
      <c r="E51" s="90" t="s">
        <v>23</v>
      </c>
      <c r="F51" s="70">
        <v>47</v>
      </c>
      <c r="G51" s="70"/>
      <c r="H51" s="70"/>
      <c r="I51" s="70"/>
      <c r="J51" s="72"/>
      <c r="K51" s="77"/>
      <c r="L51" s="9"/>
      <c r="M51" s="48" t="s">
        <v>30</v>
      </c>
      <c r="N51" s="42">
        <v>4</v>
      </c>
      <c r="O51" s="9"/>
      <c r="P51" s="9"/>
      <c r="Q51" s="9"/>
      <c r="R51" s="33" t="s">
        <v>32</v>
      </c>
      <c r="S51" s="9"/>
      <c r="U51" s="8"/>
      <c r="V51" s="9"/>
      <c r="W51" s="9"/>
      <c r="X51" s="9"/>
      <c r="Y51" s="9"/>
      <c r="Z51" s="9"/>
      <c r="AA51" s="9"/>
      <c r="AB51" s="9"/>
      <c r="AC51" s="9"/>
      <c r="AD51" s="9"/>
    </row>
    <row r="52" spans="1:30" ht="18.75" hidden="1" x14ac:dyDescent="0.3">
      <c r="A52" s="42" t="s">
        <v>20</v>
      </c>
      <c r="B52" s="73" t="s">
        <v>118</v>
      </c>
      <c r="C52" s="33" t="s">
        <v>23</v>
      </c>
      <c r="D52" s="33" t="s">
        <v>119</v>
      </c>
      <c r="E52" s="76">
        <v>11</v>
      </c>
      <c r="F52" s="76" t="s">
        <v>23</v>
      </c>
      <c r="G52" s="70"/>
      <c r="H52" s="70">
        <v>3</v>
      </c>
      <c r="I52" s="70"/>
      <c r="J52" s="77"/>
      <c r="K52" s="77"/>
      <c r="L52" s="9"/>
      <c r="M52" s="42" t="s">
        <v>120</v>
      </c>
      <c r="N52" s="42" t="s">
        <v>121</v>
      </c>
      <c r="O52" s="9"/>
      <c r="P52" s="9"/>
      <c r="Q52" s="9"/>
      <c r="R52" s="33"/>
      <c r="S52" s="9"/>
      <c r="T52" s="68"/>
      <c r="U52" s="8"/>
      <c r="V52" s="9"/>
      <c r="W52" s="9"/>
      <c r="X52" s="9"/>
      <c r="Y52" s="9"/>
      <c r="Z52" s="9"/>
      <c r="AA52" s="9"/>
      <c r="AB52" s="9"/>
      <c r="AC52" s="9"/>
      <c r="AD52" s="9"/>
    </row>
    <row r="53" spans="1:30" ht="18.75" hidden="1" x14ac:dyDescent="0.3">
      <c r="A53" s="42" t="s">
        <v>37</v>
      </c>
      <c r="B53" s="42" t="s">
        <v>122</v>
      </c>
      <c r="C53" s="74"/>
      <c r="D53" s="33" t="s">
        <v>123</v>
      </c>
      <c r="E53" s="70"/>
      <c r="F53" s="70"/>
      <c r="G53" s="70"/>
      <c r="H53" s="70"/>
      <c r="I53" s="70"/>
      <c r="J53" s="77"/>
      <c r="K53" s="77"/>
      <c r="L53" s="9"/>
      <c r="M53" s="42" t="s">
        <v>124</v>
      </c>
      <c r="N53" s="42"/>
      <c r="O53" s="9"/>
      <c r="P53" s="9"/>
      <c r="Q53" s="9"/>
      <c r="R53" s="33"/>
      <c r="S53" s="9"/>
      <c r="U53" s="8"/>
      <c r="V53" s="9"/>
      <c r="W53" s="9"/>
      <c r="X53" s="9"/>
      <c r="Y53" s="9"/>
      <c r="Z53" s="9"/>
      <c r="AA53" s="9"/>
      <c r="AB53" s="9"/>
      <c r="AC53" s="9"/>
      <c r="AD53" s="9"/>
    </row>
    <row r="54" spans="1:30" ht="18.75" hidden="1" x14ac:dyDescent="0.3">
      <c r="A54" s="42" t="s">
        <v>20</v>
      </c>
      <c r="B54" s="42" t="s">
        <v>125</v>
      </c>
      <c r="C54" s="74"/>
      <c r="D54" s="33" t="s">
        <v>123</v>
      </c>
      <c r="E54" s="70">
        <v>2</v>
      </c>
      <c r="F54" s="70">
        <v>4</v>
      </c>
      <c r="G54" s="70">
        <v>4</v>
      </c>
      <c r="H54" s="70"/>
      <c r="I54" s="70"/>
      <c r="J54" s="77"/>
      <c r="K54" s="77"/>
      <c r="L54" s="9"/>
      <c r="M54" s="42" t="s">
        <v>120</v>
      </c>
      <c r="N54" s="42" t="s">
        <v>120</v>
      </c>
      <c r="O54" s="9"/>
      <c r="P54" s="9"/>
      <c r="Q54" s="9"/>
      <c r="R54" s="33"/>
      <c r="S54" s="9"/>
      <c r="T54" s="68"/>
      <c r="U54" s="8"/>
      <c r="V54" s="9"/>
      <c r="W54" s="9"/>
      <c r="X54" s="9"/>
      <c r="Y54" s="9"/>
      <c r="Z54" s="9"/>
      <c r="AA54" s="9"/>
      <c r="AB54" s="9"/>
      <c r="AC54" s="9"/>
      <c r="AD54" s="9"/>
    </row>
    <row r="55" spans="1:30" ht="18.75" x14ac:dyDescent="0.3">
      <c r="A55" s="42"/>
      <c r="B55" s="42"/>
      <c r="C55" s="74"/>
      <c r="D55" s="74"/>
      <c r="E55" s="70"/>
      <c r="F55" s="70"/>
      <c r="G55" s="70"/>
      <c r="H55" s="70"/>
      <c r="I55" s="70"/>
      <c r="J55" s="77"/>
      <c r="K55" s="77"/>
      <c r="L55" s="9"/>
      <c r="M55" s="42"/>
      <c r="N55" s="42"/>
      <c r="O55" s="9"/>
      <c r="P55" s="9"/>
      <c r="Q55" s="9"/>
      <c r="R55" s="33"/>
      <c r="S55" s="9"/>
      <c r="U55" s="8"/>
      <c r="V55" s="9"/>
      <c r="W55" s="9"/>
      <c r="X55" s="9"/>
      <c r="Y55" s="9"/>
      <c r="Z55" s="9"/>
      <c r="AA55" s="9"/>
      <c r="AB55" s="9"/>
      <c r="AC55" s="9"/>
      <c r="AD55" s="9"/>
    </row>
    <row r="56" spans="1:30" ht="18.75" x14ac:dyDescent="0.3">
      <c r="A56" s="42"/>
      <c r="B56" s="42"/>
      <c r="C56" s="74"/>
      <c r="D56" s="74"/>
      <c r="E56" s="70"/>
      <c r="F56" s="70"/>
      <c r="G56" s="70"/>
      <c r="H56" s="70"/>
      <c r="I56" s="70"/>
      <c r="J56" s="77"/>
      <c r="K56" s="77"/>
      <c r="L56" s="9"/>
      <c r="M56" s="42"/>
      <c r="N56" s="42"/>
      <c r="O56" s="9"/>
      <c r="P56" s="9"/>
      <c r="Q56" s="9"/>
      <c r="R56" s="33"/>
      <c r="S56" s="9"/>
      <c r="U56" s="8"/>
      <c r="V56" s="9"/>
      <c r="W56" s="9"/>
      <c r="X56" s="9"/>
      <c r="Y56" s="9"/>
      <c r="Z56" s="9"/>
      <c r="AA56" s="9"/>
      <c r="AB56" s="9"/>
      <c r="AC56" s="9"/>
      <c r="AD56" s="9"/>
    </row>
    <row r="57" spans="1:30" ht="18.75" x14ac:dyDescent="0.3">
      <c r="A57" s="42"/>
      <c r="B57" s="42"/>
      <c r="C57" s="74"/>
      <c r="D57" s="74"/>
      <c r="E57" s="70"/>
      <c r="F57" s="70"/>
      <c r="G57" s="70"/>
      <c r="H57" s="70"/>
      <c r="I57" s="70"/>
      <c r="J57" s="77"/>
      <c r="K57" s="77"/>
      <c r="L57" s="9"/>
      <c r="M57" s="42"/>
      <c r="N57" s="42"/>
      <c r="O57" s="9"/>
      <c r="P57" s="9"/>
      <c r="Q57" s="9"/>
      <c r="R57" s="33"/>
      <c r="S57" s="9"/>
      <c r="U57" s="8"/>
      <c r="V57" s="9"/>
      <c r="W57" s="9"/>
      <c r="X57" s="9"/>
      <c r="Y57" s="9"/>
      <c r="Z57" s="9"/>
      <c r="AA57" s="9"/>
      <c r="AB57" s="9"/>
      <c r="AC57" s="9"/>
      <c r="AD57" s="9"/>
    </row>
    <row r="58" spans="1:30" ht="18.75" x14ac:dyDescent="0.3">
      <c r="A58" s="42"/>
      <c r="B58" s="42"/>
      <c r="C58" s="74"/>
      <c r="D58" s="74"/>
      <c r="E58" s="70"/>
      <c r="F58" s="70"/>
      <c r="G58" s="70"/>
      <c r="H58" s="70"/>
      <c r="I58" s="70"/>
      <c r="J58" s="77"/>
      <c r="K58" s="77"/>
      <c r="L58" s="9"/>
      <c r="M58" s="42"/>
      <c r="N58" s="42"/>
      <c r="O58" s="9"/>
      <c r="P58" s="9"/>
      <c r="Q58" s="9"/>
      <c r="R58" s="33"/>
      <c r="S58" s="9"/>
      <c r="U58" s="8"/>
      <c r="V58" s="9"/>
      <c r="W58" s="9"/>
      <c r="X58" s="9"/>
      <c r="Y58" s="9"/>
      <c r="Z58" s="9"/>
      <c r="AA58" s="9"/>
      <c r="AB58" s="9"/>
      <c r="AC58" s="9"/>
      <c r="AD58" s="9"/>
    </row>
    <row r="59" spans="1:30" ht="18.75" x14ac:dyDescent="0.3">
      <c r="A59" s="42"/>
      <c r="B59" s="42"/>
      <c r="C59" s="74"/>
      <c r="D59" s="74"/>
      <c r="E59" s="70"/>
      <c r="F59" s="70" t="s">
        <v>23</v>
      </c>
      <c r="G59" s="70"/>
      <c r="H59" s="70"/>
      <c r="I59" s="70"/>
      <c r="J59" s="77"/>
      <c r="K59" s="77"/>
      <c r="L59" s="9"/>
      <c r="M59" s="42"/>
      <c r="N59" s="42"/>
      <c r="O59" s="9"/>
      <c r="P59" s="9"/>
      <c r="Q59" s="9"/>
      <c r="R59" s="33"/>
      <c r="S59" s="9"/>
      <c r="U59" s="8"/>
      <c r="V59" s="9"/>
      <c r="W59" s="9"/>
      <c r="X59" s="9"/>
      <c r="Y59" s="9"/>
      <c r="Z59" s="9"/>
      <c r="AA59" s="9"/>
      <c r="AB59" s="9"/>
      <c r="AC59" s="9"/>
      <c r="AD59" s="9"/>
    </row>
    <row r="60" spans="1:30" ht="18.75" x14ac:dyDescent="0.3">
      <c r="A60" s="42"/>
      <c r="B60" s="42"/>
      <c r="C60" s="74"/>
      <c r="D60" s="74"/>
      <c r="E60" s="70"/>
      <c r="F60" s="70"/>
      <c r="G60" s="70"/>
      <c r="H60" s="70"/>
      <c r="I60" s="70"/>
      <c r="J60" s="77"/>
      <c r="K60" s="77"/>
      <c r="L60" s="9"/>
      <c r="M60" s="42"/>
      <c r="N60" s="42"/>
      <c r="O60" s="9"/>
      <c r="P60" s="9"/>
      <c r="Q60" s="9"/>
      <c r="R60" s="33"/>
      <c r="S60" s="9"/>
      <c r="U60" s="8"/>
      <c r="V60" s="9"/>
      <c r="W60" s="9"/>
      <c r="X60" s="9"/>
      <c r="Y60" s="9"/>
      <c r="Z60" s="9"/>
      <c r="AA60" s="9"/>
      <c r="AB60" s="9"/>
      <c r="AC60" s="9"/>
      <c r="AD60" s="9"/>
    </row>
    <row r="61" spans="1:30" ht="18.75" x14ac:dyDescent="0.3">
      <c r="A61" s="42"/>
      <c r="B61" s="42"/>
      <c r="C61" s="74"/>
      <c r="D61" s="74"/>
      <c r="E61" s="70"/>
      <c r="F61" s="70"/>
      <c r="G61" s="70"/>
      <c r="H61" s="70"/>
      <c r="I61" s="70"/>
      <c r="J61" s="77"/>
      <c r="K61" s="77"/>
      <c r="L61" s="9"/>
      <c r="M61" s="42"/>
      <c r="N61" s="42"/>
      <c r="O61" s="9"/>
      <c r="P61" s="9"/>
      <c r="Q61" s="9"/>
      <c r="R61" s="33"/>
      <c r="S61" s="9"/>
      <c r="U61" s="8"/>
      <c r="V61" s="9"/>
      <c r="W61" s="9"/>
      <c r="X61" s="9"/>
      <c r="Y61" s="9"/>
      <c r="Z61" s="9"/>
      <c r="AA61" s="9"/>
      <c r="AB61" s="9"/>
      <c r="AC61" s="9"/>
      <c r="AD61" s="9"/>
    </row>
    <row r="62" spans="1:30" ht="18.75" x14ac:dyDescent="0.3">
      <c r="A62" s="42"/>
      <c r="B62" s="42"/>
      <c r="C62" s="74"/>
      <c r="D62" s="74"/>
      <c r="E62" s="70"/>
      <c r="F62" s="70"/>
      <c r="G62" s="70"/>
      <c r="H62" s="70"/>
      <c r="I62" s="70"/>
      <c r="J62" s="77"/>
      <c r="K62" s="77"/>
      <c r="L62" s="9"/>
      <c r="M62" s="42"/>
      <c r="N62" s="42"/>
      <c r="O62" s="9"/>
      <c r="P62" s="9"/>
      <c r="Q62" s="9"/>
      <c r="R62" s="33"/>
      <c r="S62" s="9"/>
      <c r="U62" s="8"/>
      <c r="V62" s="9"/>
      <c r="W62" s="9"/>
      <c r="X62" s="9"/>
      <c r="Y62" s="9"/>
      <c r="Z62" s="9"/>
      <c r="AA62" s="9"/>
      <c r="AB62" s="9"/>
      <c r="AC62" s="9"/>
      <c r="AD62" s="9"/>
    </row>
    <row r="63" spans="1:30" ht="18.75" x14ac:dyDescent="0.3">
      <c r="A63" s="42"/>
      <c r="B63" s="42"/>
      <c r="C63" s="74"/>
      <c r="D63" s="74"/>
      <c r="E63" s="70"/>
      <c r="F63" s="70"/>
      <c r="G63" s="70"/>
      <c r="H63" s="70"/>
      <c r="I63" s="70"/>
      <c r="J63" s="77"/>
      <c r="K63" s="77"/>
      <c r="L63" s="9"/>
      <c r="M63" s="42"/>
      <c r="N63" s="42"/>
      <c r="O63" s="9"/>
      <c r="P63" s="9"/>
      <c r="Q63" s="9"/>
      <c r="R63" s="33"/>
      <c r="S63" s="9"/>
      <c r="U63" s="8"/>
      <c r="V63" s="9"/>
      <c r="W63" s="9"/>
      <c r="X63" s="9"/>
      <c r="Y63" s="9"/>
      <c r="Z63" s="9"/>
      <c r="AA63" s="9"/>
      <c r="AB63" s="9"/>
      <c r="AC63" s="9"/>
      <c r="AD63" s="9"/>
    </row>
    <row r="64" spans="1:30" ht="18.75" x14ac:dyDescent="0.3">
      <c r="A64" s="42"/>
      <c r="B64" s="42"/>
      <c r="C64" s="74"/>
      <c r="D64" s="74"/>
      <c r="E64" s="70"/>
      <c r="F64" s="70"/>
      <c r="G64" s="70"/>
      <c r="H64" s="70"/>
      <c r="I64" s="70"/>
      <c r="J64" s="77"/>
      <c r="K64" s="77"/>
      <c r="L64" s="9"/>
      <c r="M64" s="42"/>
      <c r="N64" s="42"/>
      <c r="O64" s="9"/>
      <c r="P64" s="9"/>
      <c r="Q64" s="9"/>
      <c r="R64" s="33"/>
      <c r="S64" s="9"/>
      <c r="U64" s="8"/>
      <c r="V64" s="9"/>
      <c r="W64" s="9"/>
      <c r="X64" s="9"/>
      <c r="Y64" s="9"/>
      <c r="Z64" s="9"/>
      <c r="AA64" s="9"/>
      <c r="AB64" s="9"/>
      <c r="AC64" s="9"/>
      <c r="AD64" s="9"/>
    </row>
    <row r="65" spans="1:30" ht="18.75" x14ac:dyDescent="0.3">
      <c r="A65" s="42"/>
      <c r="B65" s="42"/>
      <c r="C65" s="74"/>
      <c r="D65" s="74"/>
      <c r="E65" s="70"/>
      <c r="F65" s="70"/>
      <c r="G65" s="70"/>
      <c r="H65" s="70"/>
      <c r="I65" s="70"/>
      <c r="J65" s="77"/>
      <c r="K65" s="77"/>
      <c r="L65" s="9"/>
      <c r="M65" s="42"/>
      <c r="N65" s="42"/>
      <c r="O65" s="9"/>
      <c r="P65" s="9"/>
      <c r="Q65" s="9"/>
      <c r="R65" s="33"/>
      <c r="S65" s="9"/>
      <c r="U65" s="8"/>
      <c r="V65" s="9"/>
      <c r="W65" s="9"/>
      <c r="X65" s="9"/>
      <c r="Y65" s="9"/>
      <c r="Z65" s="9"/>
      <c r="AA65" s="9"/>
      <c r="AB65" s="9"/>
      <c r="AC65" s="9"/>
      <c r="AD65" s="9"/>
    </row>
    <row r="66" spans="1:30" ht="18.75" x14ac:dyDescent="0.3">
      <c r="A66" s="42"/>
      <c r="B66" s="42"/>
      <c r="C66" s="74"/>
      <c r="D66" s="74"/>
      <c r="E66" s="70"/>
      <c r="F66" s="70"/>
      <c r="G66" s="70"/>
      <c r="H66" s="70"/>
      <c r="I66" s="70"/>
      <c r="J66" s="77"/>
      <c r="K66" s="77"/>
      <c r="L66" s="9"/>
      <c r="M66" s="42"/>
      <c r="N66" s="42"/>
      <c r="O66" s="9"/>
      <c r="P66" s="9"/>
      <c r="Q66" s="9"/>
      <c r="R66" s="33"/>
      <c r="S66" s="9"/>
      <c r="U66" s="8"/>
      <c r="V66" s="9"/>
      <c r="W66" s="9"/>
      <c r="X66" s="9"/>
      <c r="Y66" s="9"/>
      <c r="Z66" s="9"/>
      <c r="AA66" s="9"/>
      <c r="AB66" s="9"/>
      <c r="AC66" s="9"/>
      <c r="AD66" s="9"/>
    </row>
    <row r="67" spans="1:30" ht="18.75" x14ac:dyDescent="0.3">
      <c r="A67" s="42"/>
      <c r="B67" s="42"/>
      <c r="C67" s="74"/>
      <c r="D67" s="74"/>
      <c r="E67" s="70"/>
      <c r="F67" s="70"/>
      <c r="G67" s="70"/>
      <c r="H67" s="70"/>
      <c r="I67" s="70"/>
      <c r="J67" s="77"/>
      <c r="K67" s="77"/>
      <c r="L67" s="9"/>
      <c r="M67" s="42"/>
      <c r="N67" s="42"/>
      <c r="O67" s="9"/>
      <c r="P67" s="9"/>
      <c r="Q67" s="9"/>
      <c r="R67" s="33"/>
      <c r="S67" s="9"/>
      <c r="U67" s="8"/>
      <c r="V67" s="9"/>
      <c r="W67" s="9"/>
      <c r="X67" s="9"/>
      <c r="Y67" s="9"/>
      <c r="Z67" s="9"/>
      <c r="AA67" s="9"/>
      <c r="AB67" s="9"/>
      <c r="AC67" s="9"/>
      <c r="AD67" s="9"/>
    </row>
    <row r="68" spans="1:30" ht="18.75" x14ac:dyDescent="0.3">
      <c r="A68" s="42"/>
      <c r="B68" s="42"/>
      <c r="C68" s="74"/>
      <c r="D68" s="74"/>
      <c r="E68" s="70"/>
      <c r="F68" s="70"/>
      <c r="G68" s="70"/>
      <c r="H68" s="70"/>
      <c r="I68" s="70"/>
      <c r="J68" s="77"/>
      <c r="K68" s="77"/>
      <c r="L68" s="9"/>
      <c r="M68" s="42"/>
      <c r="N68" s="42"/>
      <c r="O68" s="9"/>
      <c r="P68" s="9"/>
      <c r="Q68" s="9"/>
      <c r="R68" s="33"/>
      <c r="S68" s="9"/>
      <c r="U68" s="8"/>
      <c r="V68" s="9"/>
      <c r="W68" s="9"/>
      <c r="X68" s="9"/>
      <c r="Y68" s="9"/>
      <c r="Z68" s="9"/>
      <c r="AA68" s="9"/>
      <c r="AB68" s="9"/>
      <c r="AC68" s="9"/>
      <c r="AD68" s="9"/>
    </row>
    <row r="69" spans="1:30" ht="18.75" x14ac:dyDescent="0.3">
      <c r="A69" s="42"/>
      <c r="B69" s="42"/>
      <c r="C69" s="74"/>
      <c r="D69" s="74"/>
      <c r="E69" s="70"/>
      <c r="F69" s="70"/>
      <c r="G69" s="70"/>
      <c r="H69" s="70"/>
      <c r="I69" s="70"/>
      <c r="J69" s="77"/>
      <c r="K69" s="77"/>
      <c r="L69" s="9"/>
      <c r="M69" s="42"/>
      <c r="N69" s="42"/>
      <c r="O69" s="9"/>
      <c r="P69" s="9"/>
      <c r="Q69" s="9"/>
      <c r="R69" s="33"/>
      <c r="S69" s="9"/>
      <c r="U69" s="8"/>
      <c r="V69" s="9"/>
      <c r="W69" s="9"/>
      <c r="X69" s="9"/>
      <c r="Y69" s="9"/>
      <c r="Z69" s="9"/>
      <c r="AA69" s="9"/>
      <c r="AB69" s="9"/>
      <c r="AC69" s="9"/>
      <c r="AD69" s="9"/>
    </row>
    <row r="70" spans="1:30" ht="18.75" x14ac:dyDescent="0.3">
      <c r="A70" s="42"/>
      <c r="B70" s="42"/>
      <c r="C70" s="74"/>
      <c r="D70" s="74"/>
      <c r="E70" s="70"/>
      <c r="F70" s="70"/>
      <c r="G70" s="70"/>
      <c r="H70" s="70"/>
      <c r="I70" s="70"/>
      <c r="J70" s="77"/>
      <c r="K70" s="77"/>
      <c r="L70" s="9"/>
      <c r="M70" s="42"/>
      <c r="N70" s="42"/>
      <c r="O70" s="9"/>
      <c r="P70" s="9"/>
      <c r="Q70" s="9"/>
      <c r="R70" s="33"/>
      <c r="S70" s="9"/>
      <c r="U70" s="8"/>
      <c r="V70" s="9"/>
      <c r="W70" s="9"/>
      <c r="X70" s="9"/>
      <c r="Y70" s="9"/>
      <c r="Z70" s="9"/>
      <c r="AA70" s="9"/>
      <c r="AB70" s="9"/>
      <c r="AC70" s="9"/>
      <c r="AD70" s="9"/>
    </row>
    <row r="71" spans="1:30" ht="18.75" x14ac:dyDescent="0.3">
      <c r="A71" s="42"/>
      <c r="B71" s="42"/>
      <c r="C71" s="74"/>
      <c r="D71" s="74"/>
      <c r="E71" s="70"/>
      <c r="F71" s="70"/>
      <c r="G71" s="70"/>
      <c r="H71" s="70"/>
      <c r="I71" s="70"/>
      <c r="J71" s="77"/>
      <c r="K71" s="77"/>
      <c r="L71" s="9"/>
      <c r="M71" s="42"/>
      <c r="N71" s="42"/>
      <c r="O71" s="9"/>
      <c r="P71" s="9"/>
      <c r="Q71" s="9"/>
      <c r="R71" s="33"/>
      <c r="S71" s="9"/>
      <c r="U71" s="8"/>
      <c r="V71" s="9"/>
      <c r="W71" s="9"/>
      <c r="X71" s="9"/>
      <c r="Y71" s="9"/>
      <c r="Z71" s="9"/>
      <c r="AA71" s="9"/>
      <c r="AB71" s="9"/>
      <c r="AC71" s="9"/>
      <c r="AD71" s="9"/>
    </row>
    <row r="72" spans="1:30" ht="18.75" x14ac:dyDescent="0.3">
      <c r="A72" s="42"/>
      <c r="B72" s="42"/>
      <c r="C72" s="74"/>
      <c r="D72" s="74"/>
      <c r="E72" s="70"/>
      <c r="F72" s="70"/>
      <c r="G72" s="70"/>
      <c r="H72" s="70"/>
      <c r="I72" s="70"/>
      <c r="J72" s="77"/>
      <c r="K72" s="77"/>
      <c r="L72" s="9"/>
      <c r="M72" s="42"/>
      <c r="N72" s="42"/>
      <c r="O72" s="9"/>
      <c r="P72" s="9"/>
      <c r="Q72" s="9"/>
      <c r="R72" s="33"/>
      <c r="S72" s="9"/>
      <c r="U72" s="8"/>
      <c r="V72" s="9"/>
      <c r="W72" s="9"/>
      <c r="X72" s="9"/>
      <c r="Y72" s="9"/>
      <c r="Z72" s="9"/>
      <c r="AA72" s="9"/>
      <c r="AB72" s="9"/>
      <c r="AC72" s="9"/>
      <c r="AD72" s="9"/>
    </row>
    <row r="73" spans="1:30" ht="18.75" x14ac:dyDescent="0.3">
      <c r="A73" s="42"/>
      <c r="B73" s="42"/>
      <c r="C73" s="74"/>
      <c r="D73" s="74"/>
      <c r="E73" s="70"/>
      <c r="F73" s="70"/>
      <c r="G73" s="70"/>
      <c r="H73" s="70"/>
      <c r="I73" s="70"/>
      <c r="J73" s="77"/>
      <c r="K73" s="77"/>
      <c r="L73" s="9"/>
      <c r="M73" s="42"/>
      <c r="N73" s="42"/>
      <c r="O73" s="9"/>
      <c r="P73" s="9"/>
      <c r="Q73" s="9"/>
      <c r="R73" s="33"/>
      <c r="S73" s="9"/>
      <c r="U73" s="8"/>
      <c r="V73" s="9"/>
      <c r="W73" s="9"/>
      <c r="X73" s="9"/>
      <c r="Y73" s="9"/>
      <c r="Z73" s="9"/>
      <c r="AA73" s="9"/>
      <c r="AB73" s="9"/>
      <c r="AC73" s="9"/>
      <c r="AD73" s="9"/>
    </row>
    <row r="74" spans="1:30" ht="18.75" x14ac:dyDescent="0.3">
      <c r="A74" s="42"/>
      <c r="B74" s="42"/>
      <c r="C74" s="74"/>
      <c r="D74" s="74"/>
      <c r="E74" s="70"/>
      <c r="F74" s="70"/>
      <c r="G74" s="70"/>
      <c r="H74" s="70"/>
      <c r="I74" s="70"/>
      <c r="J74" s="77"/>
      <c r="K74" s="77"/>
      <c r="L74" s="9"/>
      <c r="M74" s="42"/>
      <c r="N74" s="42"/>
      <c r="O74" s="9"/>
      <c r="P74" s="9"/>
      <c r="Q74" s="9"/>
      <c r="R74" s="33"/>
      <c r="S74" s="9"/>
      <c r="U74" s="8"/>
      <c r="V74" s="9"/>
      <c r="W74" s="9"/>
      <c r="X74" s="9"/>
      <c r="Y74" s="9"/>
      <c r="Z74" s="9"/>
      <c r="AA74" s="9"/>
      <c r="AB74" s="9"/>
      <c r="AC74" s="9"/>
      <c r="AD74" s="9"/>
    </row>
    <row r="75" spans="1:30" ht="18.75" x14ac:dyDescent="0.3">
      <c r="A75" s="42"/>
      <c r="B75" s="42"/>
      <c r="C75" s="74"/>
      <c r="D75" s="74"/>
      <c r="E75" s="70"/>
      <c r="F75" s="70"/>
      <c r="G75" s="70"/>
      <c r="H75" s="70"/>
      <c r="I75" s="70"/>
      <c r="J75" s="77"/>
      <c r="K75" s="77"/>
      <c r="L75" s="9"/>
      <c r="M75" s="42"/>
      <c r="N75" s="42"/>
      <c r="O75" s="9"/>
      <c r="P75" s="9"/>
      <c r="Q75" s="9"/>
      <c r="R75" s="33"/>
      <c r="S75" s="9"/>
      <c r="U75" s="8"/>
      <c r="V75" s="9"/>
      <c r="W75" s="9"/>
      <c r="X75" s="9"/>
      <c r="Y75" s="9"/>
      <c r="Z75" s="9"/>
      <c r="AA75" s="9"/>
      <c r="AB75" s="9"/>
      <c r="AC75" s="9"/>
      <c r="AD75" s="9"/>
    </row>
    <row r="76" spans="1:30" ht="18.75" x14ac:dyDescent="0.3">
      <c r="A76" s="42"/>
      <c r="B76" s="42"/>
      <c r="C76" s="74"/>
      <c r="D76" s="74"/>
      <c r="E76" s="70"/>
      <c r="F76" s="70"/>
      <c r="G76" s="70"/>
      <c r="H76" s="70"/>
      <c r="I76" s="70"/>
      <c r="J76" s="77"/>
      <c r="K76" s="77"/>
      <c r="L76" s="9"/>
      <c r="M76" s="42"/>
      <c r="N76" s="42"/>
      <c r="O76" s="9"/>
      <c r="P76" s="9"/>
      <c r="Q76" s="9"/>
      <c r="R76" s="33"/>
      <c r="S76" s="9"/>
      <c r="U76" s="8"/>
      <c r="V76" s="9"/>
      <c r="W76" s="9"/>
      <c r="X76" s="9"/>
      <c r="Y76" s="9"/>
      <c r="Z76" s="9"/>
      <c r="AA76" s="9"/>
      <c r="AB76" s="9"/>
      <c r="AC76" s="9"/>
      <c r="AD76" s="9"/>
    </row>
    <row r="77" spans="1:30" ht="18.75" x14ac:dyDescent="0.3">
      <c r="A77" s="42"/>
      <c r="B77" s="42"/>
      <c r="C77" s="74"/>
      <c r="D77" s="74"/>
      <c r="E77" s="70"/>
      <c r="F77" s="70"/>
      <c r="G77" s="70"/>
      <c r="H77" s="70"/>
      <c r="I77" s="77"/>
      <c r="J77" s="77"/>
      <c r="K77" s="9"/>
      <c r="L77" s="42"/>
      <c r="M77" s="42"/>
      <c r="N77" s="9"/>
      <c r="O77" s="9"/>
      <c r="P77" s="9"/>
      <c r="Q77" s="33"/>
      <c r="R77" s="9"/>
      <c r="T77" s="8"/>
      <c r="U77" s="9"/>
      <c r="V77" s="9"/>
      <c r="W77" s="9"/>
      <c r="X77" s="9"/>
      <c r="Y77" s="9"/>
      <c r="Z77" s="9"/>
      <c r="AA77" s="9"/>
      <c r="AB77" s="9"/>
      <c r="AC77" s="9"/>
    </row>
    <row r="78" spans="1:30" ht="18.75" x14ac:dyDescent="0.3">
      <c r="A78" s="42"/>
      <c r="B78" s="42"/>
      <c r="C78" s="74"/>
      <c r="D78" s="74"/>
      <c r="E78" s="70"/>
      <c r="F78" s="70"/>
      <c r="G78" s="70"/>
      <c r="H78" s="70"/>
      <c r="I78" s="77"/>
      <c r="J78" s="77"/>
      <c r="K78" s="9"/>
      <c r="L78" s="42"/>
      <c r="M78" s="42"/>
      <c r="N78" s="9"/>
      <c r="O78" s="9"/>
      <c r="P78" s="9"/>
      <c r="Q78" s="33"/>
      <c r="R78" s="9"/>
      <c r="T78" s="8"/>
      <c r="U78" s="9"/>
      <c r="V78" s="9"/>
      <c r="W78" s="9"/>
      <c r="X78" s="9"/>
      <c r="Y78" s="9"/>
      <c r="Z78" s="9"/>
      <c r="AA78" s="9"/>
      <c r="AB78" s="9"/>
      <c r="AC78" s="9"/>
    </row>
    <row r="79" spans="1:30" ht="18.75" x14ac:dyDescent="0.3">
      <c r="A79" s="42"/>
      <c r="B79" s="42"/>
      <c r="C79" s="74"/>
      <c r="D79" s="74"/>
      <c r="E79" s="70"/>
      <c r="F79" s="70"/>
      <c r="G79" s="70"/>
      <c r="H79" s="70"/>
      <c r="I79" s="77"/>
      <c r="J79" s="77"/>
      <c r="K79" s="9"/>
      <c r="L79" s="42"/>
      <c r="M79" s="42"/>
      <c r="N79" s="9"/>
      <c r="O79" s="9"/>
      <c r="P79" s="9"/>
      <c r="Q79" s="33"/>
      <c r="R79" s="9"/>
      <c r="T79" s="8"/>
      <c r="U79" s="9"/>
      <c r="V79" s="9"/>
      <c r="W79" s="9"/>
      <c r="X79" s="9"/>
      <c r="Y79" s="9"/>
      <c r="Z79" s="9"/>
      <c r="AA79" s="9"/>
      <c r="AB79" s="9"/>
      <c r="AC79" s="9"/>
    </row>
    <row r="80" spans="1:30" ht="18.75" x14ac:dyDescent="0.3">
      <c r="A80" s="42"/>
      <c r="B80" s="42"/>
      <c r="C80" s="74"/>
      <c r="D80" s="74"/>
      <c r="E80" s="70"/>
      <c r="F80" s="70"/>
      <c r="G80" s="70"/>
      <c r="H80" s="70"/>
      <c r="I80" s="77"/>
      <c r="J80" s="77"/>
      <c r="K80" s="9"/>
      <c r="L80" s="42"/>
      <c r="M80" s="42"/>
      <c r="N80" s="9"/>
      <c r="O80" s="9"/>
      <c r="P80" s="9"/>
      <c r="Q80" s="33"/>
      <c r="R80" s="9"/>
      <c r="T80" s="8"/>
      <c r="U80" s="9"/>
      <c r="V80" s="9"/>
      <c r="W80" s="9"/>
      <c r="X80" s="9"/>
      <c r="Y80" s="9"/>
      <c r="Z80" s="9"/>
      <c r="AA80" s="9"/>
      <c r="AB80" s="9"/>
      <c r="AC80" s="9"/>
    </row>
    <row r="81" spans="1:30" ht="18.75" x14ac:dyDescent="0.3">
      <c r="A81" s="42"/>
      <c r="B81" s="42"/>
      <c r="C81" s="74"/>
      <c r="D81" s="74"/>
      <c r="E81" s="70"/>
      <c r="F81" s="70"/>
      <c r="G81" s="70"/>
      <c r="H81" s="70"/>
      <c r="I81" s="77"/>
      <c r="J81" s="77"/>
      <c r="K81" s="9"/>
      <c r="L81" s="42"/>
      <c r="M81" s="42"/>
      <c r="N81" s="9"/>
      <c r="O81" s="9"/>
      <c r="P81" s="9"/>
      <c r="Q81" s="33"/>
      <c r="R81" s="9"/>
      <c r="T81" s="8"/>
      <c r="U81" s="9"/>
      <c r="V81" s="9"/>
      <c r="W81" s="9"/>
      <c r="X81" s="9"/>
      <c r="Y81" s="9"/>
      <c r="Z81" s="9"/>
      <c r="AA81" s="9"/>
      <c r="AB81" s="9"/>
      <c r="AC81" s="9"/>
    </row>
    <row r="82" spans="1:30" ht="18.75" x14ac:dyDescent="0.3">
      <c r="A82" s="42"/>
      <c r="B82" s="42"/>
      <c r="C82" s="74"/>
      <c r="D82" s="74"/>
      <c r="E82" s="70"/>
      <c r="F82" s="70"/>
      <c r="G82" s="70"/>
      <c r="H82" s="70"/>
      <c r="I82" s="77"/>
      <c r="J82" s="77"/>
      <c r="K82" s="9"/>
      <c r="L82" s="42"/>
      <c r="M82" s="42"/>
      <c r="N82" s="9"/>
      <c r="O82" s="9"/>
      <c r="P82" s="9"/>
      <c r="Q82" s="33"/>
      <c r="R82" s="9"/>
      <c r="T82" s="8"/>
      <c r="U82" s="9"/>
      <c r="V82" s="9"/>
      <c r="W82" s="9"/>
      <c r="X82" s="9"/>
      <c r="Y82" s="9"/>
      <c r="Z82" s="9"/>
      <c r="AA82" s="9"/>
      <c r="AB82" s="9"/>
      <c r="AC82" s="9"/>
    </row>
    <row r="83" spans="1:30" ht="18.75" x14ac:dyDescent="0.3">
      <c r="A83" s="42"/>
      <c r="B83" s="42"/>
      <c r="C83" s="74"/>
      <c r="D83" s="74"/>
      <c r="E83" s="70"/>
      <c r="F83" s="70"/>
      <c r="G83" s="70"/>
      <c r="H83" s="70"/>
      <c r="I83" s="77"/>
      <c r="J83" s="77"/>
      <c r="K83" s="9"/>
      <c r="L83" s="42"/>
      <c r="M83" s="42"/>
      <c r="N83" s="9"/>
      <c r="O83" s="9"/>
      <c r="P83" s="9"/>
      <c r="Q83" s="33"/>
      <c r="R83" s="9"/>
      <c r="T83" s="8"/>
      <c r="U83" s="9"/>
      <c r="V83" s="9"/>
      <c r="W83" s="9"/>
      <c r="X83" s="9"/>
      <c r="Y83" s="9"/>
      <c r="Z83" s="9"/>
      <c r="AA83" s="9"/>
      <c r="AB83" s="9"/>
      <c r="AC83" s="9"/>
    </row>
    <row r="84" spans="1:30" ht="18.75" x14ac:dyDescent="0.3">
      <c r="A84" s="42"/>
      <c r="B84" s="42"/>
      <c r="C84" s="74"/>
      <c r="D84" s="74"/>
      <c r="E84" s="70"/>
      <c r="F84" s="70"/>
      <c r="G84" s="70"/>
      <c r="H84" s="70"/>
      <c r="I84" s="77"/>
      <c r="J84" s="77"/>
      <c r="K84" s="9"/>
      <c r="L84" s="42"/>
      <c r="M84" s="42"/>
      <c r="N84" s="9"/>
      <c r="O84" s="9"/>
      <c r="P84" s="9"/>
      <c r="Q84" s="33"/>
      <c r="R84" s="9"/>
      <c r="T84" s="8"/>
      <c r="U84" s="9"/>
      <c r="V84" s="9"/>
      <c r="W84" s="9"/>
      <c r="X84" s="9"/>
      <c r="Y84" s="9"/>
      <c r="Z84" s="9"/>
      <c r="AA84" s="9"/>
      <c r="AB84" s="9"/>
      <c r="AC84" s="9"/>
    </row>
    <row r="85" spans="1:30" ht="18.75" x14ac:dyDescent="0.3">
      <c r="A85" s="42"/>
      <c r="B85" s="42"/>
      <c r="C85" s="74"/>
      <c r="D85" s="74"/>
      <c r="E85" s="70"/>
      <c r="F85" s="70"/>
      <c r="G85" s="70"/>
      <c r="H85" s="70"/>
      <c r="I85" s="77"/>
      <c r="J85" s="77"/>
      <c r="K85" s="9"/>
      <c r="L85" s="42"/>
      <c r="M85" s="42"/>
      <c r="N85" s="9"/>
      <c r="O85" s="9"/>
      <c r="P85" s="9"/>
      <c r="Q85" s="33"/>
      <c r="R85" s="9"/>
      <c r="T85" s="8"/>
      <c r="U85" s="9"/>
      <c r="V85" s="9"/>
      <c r="W85" s="9"/>
      <c r="X85" s="9"/>
      <c r="Y85" s="9"/>
      <c r="Z85" s="9"/>
      <c r="AA85" s="9"/>
      <c r="AB85" s="9"/>
      <c r="AC85" s="9"/>
    </row>
    <row r="86" spans="1:30" ht="18.75" x14ac:dyDescent="0.3">
      <c r="A86" s="42"/>
      <c r="B86" s="42"/>
      <c r="C86" s="74"/>
      <c r="D86" s="74"/>
      <c r="E86" s="70"/>
      <c r="F86" s="70"/>
      <c r="G86" s="70"/>
      <c r="H86" s="70"/>
      <c r="I86" s="70"/>
      <c r="J86" s="77"/>
      <c r="K86" s="77"/>
      <c r="L86" s="9"/>
      <c r="M86" s="42"/>
      <c r="N86" s="42"/>
      <c r="O86" s="9"/>
      <c r="P86" s="9"/>
      <c r="Q86" s="9"/>
      <c r="R86" s="33"/>
      <c r="S86" s="9"/>
      <c r="U86" s="8"/>
      <c r="V86" s="9"/>
      <c r="W86" s="9"/>
      <c r="X86" s="9"/>
      <c r="Y86" s="9"/>
      <c r="Z86" s="9"/>
      <c r="AA86" s="9"/>
      <c r="AB86" s="9"/>
      <c r="AC86" s="9"/>
      <c r="AD86" s="9"/>
    </row>
    <row r="87" spans="1:30" ht="18.75" x14ac:dyDescent="0.3">
      <c r="A87" s="42"/>
      <c r="B87" s="42"/>
      <c r="C87" s="74"/>
      <c r="D87" s="74"/>
      <c r="E87" s="70"/>
      <c r="F87" s="70"/>
      <c r="G87" s="70"/>
      <c r="H87" s="70"/>
      <c r="I87" s="70"/>
      <c r="J87" s="77"/>
      <c r="K87" s="77"/>
      <c r="L87" s="9"/>
      <c r="M87" s="42"/>
      <c r="N87" s="42"/>
      <c r="O87" s="9"/>
      <c r="P87" s="9"/>
      <c r="Q87" s="9"/>
      <c r="R87" s="33"/>
      <c r="S87" s="9"/>
      <c r="U87" s="8"/>
      <c r="V87" s="9"/>
      <c r="W87" s="9"/>
      <c r="X87" s="9"/>
      <c r="Y87" s="9"/>
      <c r="Z87" s="9"/>
      <c r="AA87" s="9"/>
      <c r="AB87" s="9"/>
      <c r="AC87" s="9"/>
      <c r="AD87" s="9"/>
    </row>
    <row r="88" spans="1:30" ht="18.75" x14ac:dyDescent="0.3">
      <c r="A88" s="42"/>
      <c r="B88" s="42"/>
      <c r="C88" s="74"/>
      <c r="D88" s="74"/>
      <c r="E88" s="70"/>
      <c r="F88" s="70"/>
      <c r="G88" s="70"/>
      <c r="H88" s="70"/>
      <c r="I88" s="70"/>
      <c r="J88" s="77"/>
      <c r="K88" s="77"/>
      <c r="L88" s="9"/>
      <c r="M88" s="42"/>
      <c r="N88" s="42"/>
      <c r="O88" s="9"/>
      <c r="P88" s="9"/>
      <c r="Q88" s="9"/>
      <c r="R88" s="33"/>
      <c r="S88" s="9"/>
      <c r="U88" s="8"/>
      <c r="V88" s="9"/>
      <c r="W88" s="9"/>
      <c r="X88" s="9"/>
      <c r="Y88" s="9"/>
      <c r="Z88" s="9"/>
      <c r="AA88" s="9"/>
      <c r="AB88" s="9"/>
      <c r="AC88" s="9"/>
      <c r="AD88" s="9"/>
    </row>
    <row r="89" spans="1:30" ht="18.75" x14ac:dyDescent="0.3">
      <c r="A89" s="42"/>
      <c r="B89" s="42"/>
      <c r="C89" s="74"/>
      <c r="D89" s="74"/>
      <c r="E89" s="70"/>
      <c r="F89" s="70"/>
      <c r="G89" s="70"/>
      <c r="H89" s="70"/>
      <c r="I89" s="70"/>
      <c r="J89" s="77"/>
      <c r="K89" s="77"/>
      <c r="L89" s="9"/>
      <c r="M89" s="42"/>
      <c r="N89" s="42"/>
      <c r="O89" s="9"/>
      <c r="P89" s="9"/>
      <c r="Q89" s="9"/>
      <c r="R89" s="33"/>
      <c r="S89" s="9"/>
      <c r="U89" s="8"/>
      <c r="V89" s="9"/>
      <c r="W89" s="9"/>
      <c r="X89" s="9"/>
      <c r="Y89" s="9"/>
      <c r="Z89" s="9"/>
      <c r="AA89" s="9"/>
      <c r="AB89" s="9"/>
      <c r="AC89" s="9"/>
      <c r="AD89" s="9"/>
    </row>
    <row r="90" spans="1:30" ht="18.75" x14ac:dyDescent="0.3">
      <c r="A90" s="42"/>
      <c r="B90" s="42"/>
      <c r="C90" s="74"/>
      <c r="D90" s="74"/>
      <c r="E90" s="70"/>
      <c r="F90" s="70"/>
      <c r="G90" s="70"/>
      <c r="H90" s="70"/>
      <c r="I90" s="70"/>
      <c r="J90" s="77"/>
      <c r="K90" s="77"/>
      <c r="L90" s="9"/>
      <c r="M90" s="42"/>
      <c r="N90" s="42"/>
      <c r="O90" s="9"/>
      <c r="P90" s="9"/>
      <c r="Q90" s="9"/>
      <c r="R90" s="33"/>
      <c r="S90" s="9"/>
      <c r="U90" s="8"/>
      <c r="V90" s="9"/>
      <c r="W90" s="9"/>
      <c r="X90" s="9"/>
      <c r="Y90" s="9"/>
      <c r="Z90" s="9"/>
      <c r="AA90" s="9"/>
      <c r="AB90" s="9"/>
      <c r="AC90" s="9"/>
      <c r="AD90" s="9"/>
    </row>
    <row r="91" spans="1:30" ht="18.75" x14ac:dyDescent="0.3">
      <c r="A91" s="42"/>
      <c r="B91" s="42"/>
      <c r="C91" s="74"/>
      <c r="D91" s="74"/>
      <c r="E91" s="70"/>
      <c r="F91" s="70"/>
      <c r="G91" s="70"/>
      <c r="H91" s="70"/>
      <c r="I91" s="70"/>
      <c r="J91" s="77"/>
      <c r="K91" s="77"/>
      <c r="L91" s="9"/>
      <c r="M91" s="42"/>
      <c r="N91" s="42"/>
      <c r="O91" s="9"/>
      <c r="P91" s="9"/>
      <c r="Q91" s="9"/>
      <c r="R91" s="33"/>
      <c r="S91" s="9"/>
      <c r="U91" s="8"/>
      <c r="V91" s="9"/>
      <c r="W91" s="9"/>
      <c r="X91" s="9"/>
      <c r="Y91" s="9"/>
      <c r="Z91" s="9"/>
      <c r="AA91" s="9"/>
      <c r="AB91" s="9"/>
      <c r="AC91" s="9"/>
      <c r="AD91" s="9"/>
    </row>
    <row r="92" spans="1:30" ht="18.75" x14ac:dyDescent="0.3">
      <c r="A92" s="42"/>
      <c r="B92" s="42"/>
      <c r="C92" s="74"/>
      <c r="D92" s="74"/>
      <c r="E92" s="70"/>
      <c r="F92" s="70"/>
      <c r="G92" s="70"/>
      <c r="H92" s="70"/>
      <c r="I92" s="70"/>
      <c r="J92" s="77"/>
      <c r="K92" s="77"/>
      <c r="L92" s="9"/>
      <c r="M92" s="42"/>
      <c r="N92" s="42"/>
      <c r="O92" s="9"/>
      <c r="P92" s="9"/>
      <c r="Q92" s="9"/>
      <c r="R92" s="33"/>
      <c r="S92" s="9"/>
      <c r="U92" s="8"/>
      <c r="V92" s="9"/>
      <c r="W92" s="9"/>
      <c r="X92" s="9"/>
      <c r="Y92" s="9"/>
      <c r="Z92" s="9"/>
      <c r="AA92" s="9"/>
      <c r="AB92" s="9"/>
      <c r="AC92" s="9"/>
      <c r="AD92" s="9"/>
    </row>
    <row r="93" spans="1:30" ht="18.75" x14ac:dyDescent="0.3">
      <c r="A93" s="42"/>
      <c r="B93" s="42"/>
      <c r="C93" s="74"/>
      <c r="D93" s="74"/>
      <c r="E93" s="70"/>
      <c r="F93" s="70"/>
      <c r="G93" s="70"/>
      <c r="H93" s="70"/>
      <c r="I93" s="70"/>
      <c r="J93" s="77"/>
      <c r="K93" s="77"/>
      <c r="L93" s="9"/>
      <c r="M93" s="42"/>
      <c r="N93" s="42"/>
      <c r="O93" s="9"/>
      <c r="P93" s="9"/>
      <c r="Q93" s="9"/>
      <c r="R93" s="33"/>
      <c r="S93" s="9"/>
      <c r="U93" s="8"/>
      <c r="V93" s="9"/>
      <c r="W93" s="9"/>
      <c r="X93" s="9"/>
      <c r="Y93" s="9"/>
      <c r="Z93" s="9"/>
      <c r="AA93" s="9"/>
      <c r="AB93" s="9"/>
      <c r="AC93" s="9"/>
      <c r="AD93" s="9"/>
    </row>
    <row r="94" spans="1:30" ht="18.75" x14ac:dyDescent="0.3">
      <c r="A94" s="42"/>
      <c r="B94" s="42"/>
      <c r="C94" s="74"/>
      <c r="D94" s="74"/>
      <c r="E94" s="70"/>
      <c r="F94" s="70"/>
      <c r="G94" s="70"/>
      <c r="H94" s="70"/>
      <c r="I94" s="70"/>
      <c r="J94" s="77"/>
      <c r="K94" s="77"/>
      <c r="L94" s="9"/>
      <c r="M94" s="42"/>
      <c r="N94" s="42"/>
      <c r="O94" s="9"/>
      <c r="P94" s="9"/>
      <c r="Q94" s="9"/>
      <c r="R94" s="33"/>
      <c r="S94" s="9"/>
      <c r="U94" s="8"/>
      <c r="V94" s="9"/>
      <c r="W94" s="9"/>
      <c r="X94" s="9"/>
      <c r="Y94" s="9"/>
      <c r="Z94" s="9"/>
      <c r="AA94" s="9"/>
      <c r="AB94" s="9"/>
      <c r="AC94" s="9"/>
      <c r="AD94" s="9"/>
    </row>
    <row r="95" spans="1:30" ht="18.75" x14ac:dyDescent="0.3">
      <c r="A95" s="42"/>
      <c r="B95" s="42"/>
      <c r="C95" s="74"/>
      <c r="D95" s="74"/>
      <c r="E95" s="70"/>
      <c r="F95" s="70"/>
      <c r="G95" s="70"/>
      <c r="H95" s="70"/>
      <c r="I95" s="70"/>
      <c r="J95" s="77"/>
      <c r="K95" s="77"/>
      <c r="L95" s="9"/>
      <c r="M95" s="42"/>
      <c r="N95" s="42"/>
      <c r="O95" s="9"/>
      <c r="P95" s="9"/>
      <c r="Q95" s="9"/>
      <c r="R95" s="33"/>
      <c r="S95" s="9"/>
      <c r="U95" s="8"/>
      <c r="V95" s="9"/>
      <c r="W95" s="9"/>
      <c r="X95" s="9"/>
      <c r="Y95" s="9"/>
      <c r="Z95" s="9"/>
      <c r="AA95" s="9"/>
      <c r="AB95" s="9"/>
      <c r="AC95" s="9"/>
      <c r="AD95" s="9"/>
    </row>
    <row r="96" spans="1:30" ht="18.75" x14ac:dyDescent="0.3">
      <c r="A96" s="42"/>
      <c r="B96" s="42"/>
      <c r="C96" s="74"/>
      <c r="D96" s="74"/>
      <c r="E96" s="70"/>
      <c r="F96" s="70"/>
      <c r="G96" s="70"/>
      <c r="H96" s="70"/>
      <c r="I96" s="70"/>
      <c r="J96" s="77"/>
      <c r="K96" s="77"/>
      <c r="L96" s="9"/>
      <c r="M96" s="42"/>
      <c r="N96" s="42"/>
      <c r="O96" s="9"/>
      <c r="P96" s="9"/>
      <c r="Q96" s="9"/>
      <c r="R96" s="33"/>
      <c r="S96" s="9"/>
      <c r="U96" s="8"/>
      <c r="V96" s="9"/>
      <c r="W96" s="9"/>
      <c r="X96" s="9"/>
      <c r="Y96" s="9"/>
      <c r="Z96" s="9"/>
      <c r="AA96" s="9"/>
      <c r="AB96" s="9"/>
      <c r="AC96" s="9"/>
      <c r="AD96" s="9"/>
    </row>
    <row r="97" spans="1:30" ht="18.75" x14ac:dyDescent="0.3">
      <c r="A97" s="42"/>
      <c r="B97" s="42"/>
      <c r="C97" s="74"/>
      <c r="D97" s="74"/>
      <c r="E97" s="70"/>
      <c r="F97" s="70"/>
      <c r="G97" s="70"/>
      <c r="H97" s="70"/>
      <c r="I97" s="70"/>
      <c r="J97" s="77"/>
      <c r="K97" s="77"/>
      <c r="L97" s="9"/>
      <c r="M97" s="42"/>
      <c r="N97" s="42"/>
      <c r="O97" s="9"/>
      <c r="P97" s="9"/>
      <c r="Q97" s="9"/>
      <c r="R97" s="33"/>
      <c r="S97" s="9"/>
      <c r="U97" s="8"/>
      <c r="V97" s="9"/>
      <c r="W97" s="9"/>
      <c r="X97" s="9"/>
      <c r="Y97" s="9"/>
      <c r="Z97" s="9"/>
      <c r="AA97" s="9"/>
      <c r="AB97" s="9"/>
      <c r="AC97" s="9"/>
      <c r="AD97" s="9"/>
    </row>
    <row r="98" spans="1:30" ht="18.75" x14ac:dyDescent="0.3">
      <c r="A98" s="42"/>
      <c r="B98" s="42"/>
      <c r="C98" s="74"/>
      <c r="D98" s="74"/>
      <c r="E98" s="70"/>
      <c r="F98" s="70"/>
      <c r="G98" s="70"/>
      <c r="H98" s="70"/>
      <c r="I98" s="70"/>
      <c r="J98" s="77"/>
      <c r="K98" s="77"/>
      <c r="L98" s="9"/>
      <c r="M98" s="42"/>
      <c r="N98" s="42"/>
      <c r="O98" s="9"/>
      <c r="P98" s="9"/>
      <c r="Q98" s="9"/>
      <c r="R98" s="33"/>
      <c r="S98" s="9"/>
      <c r="U98" s="8"/>
      <c r="V98" s="9"/>
      <c r="W98" s="9"/>
      <c r="X98" s="9"/>
      <c r="Y98" s="9"/>
      <c r="Z98" s="9"/>
      <c r="AA98" s="9"/>
      <c r="AB98" s="9"/>
      <c r="AC98" s="9"/>
      <c r="AD98" s="9"/>
    </row>
    <row r="99" spans="1:30" ht="18.75" x14ac:dyDescent="0.3">
      <c r="A99" s="42"/>
      <c r="B99" s="42"/>
      <c r="C99" s="74"/>
      <c r="D99" s="74"/>
      <c r="E99" s="70"/>
      <c r="F99" s="70"/>
      <c r="G99" s="70"/>
      <c r="H99" s="70"/>
      <c r="I99" s="70"/>
      <c r="J99" s="77"/>
      <c r="K99" s="77"/>
      <c r="L99" s="9"/>
      <c r="M99" s="42"/>
      <c r="N99" s="42"/>
      <c r="O99" s="9"/>
      <c r="P99" s="9"/>
      <c r="Q99" s="9"/>
      <c r="R99" s="33"/>
      <c r="S99" s="9"/>
      <c r="U99" s="8"/>
      <c r="V99" s="9"/>
      <c r="W99" s="9"/>
      <c r="X99" s="9"/>
      <c r="Y99" s="9"/>
      <c r="Z99" s="9"/>
      <c r="AA99" s="9"/>
      <c r="AB99" s="9"/>
      <c r="AC99" s="9"/>
      <c r="AD99" s="9"/>
    </row>
    <row r="100" spans="1:30" ht="18.75" x14ac:dyDescent="0.3">
      <c r="A100" s="42"/>
      <c r="B100" s="42"/>
      <c r="C100" s="74"/>
      <c r="D100" s="74"/>
      <c r="E100" s="70"/>
      <c r="F100" s="70"/>
      <c r="G100" s="70"/>
      <c r="H100" s="70"/>
      <c r="I100" s="70"/>
      <c r="J100" s="77"/>
      <c r="K100" s="77"/>
      <c r="L100" s="9"/>
      <c r="M100" s="42"/>
      <c r="N100" s="42"/>
      <c r="O100" s="9"/>
      <c r="P100" s="9"/>
      <c r="Q100" s="9"/>
      <c r="R100" s="33"/>
      <c r="S100" s="9"/>
      <c r="U100" s="8"/>
      <c r="V100" s="9"/>
      <c r="W100" s="9"/>
      <c r="X100" s="9"/>
      <c r="Y100" s="9"/>
      <c r="Z100" s="9"/>
      <c r="AA100" s="9"/>
      <c r="AB100" s="9"/>
      <c r="AC100" s="9"/>
      <c r="AD100" s="9"/>
    </row>
    <row r="101" spans="1:30" ht="18.75" x14ac:dyDescent="0.3">
      <c r="A101" s="42"/>
      <c r="B101" s="42"/>
      <c r="C101" s="74"/>
      <c r="D101" s="74"/>
      <c r="E101" s="70"/>
      <c r="F101" s="70"/>
      <c r="G101" s="70"/>
      <c r="H101" s="70"/>
      <c r="I101" s="70"/>
      <c r="J101" s="77"/>
      <c r="K101" s="77"/>
      <c r="L101" s="9"/>
      <c r="M101" s="42"/>
      <c r="N101" s="42"/>
      <c r="O101" s="9"/>
      <c r="P101" s="9"/>
      <c r="Q101" s="9"/>
      <c r="R101" s="33"/>
      <c r="S101" s="9"/>
      <c r="U101" s="8"/>
      <c r="V101" s="9"/>
      <c r="W101" s="9"/>
      <c r="X101" s="9"/>
      <c r="Y101" s="9"/>
      <c r="Z101" s="9"/>
      <c r="AA101" s="9"/>
      <c r="AB101" s="9"/>
      <c r="AC101" s="9"/>
      <c r="AD101" s="9"/>
    </row>
    <row r="102" spans="1:30" ht="18.75" x14ac:dyDescent="0.3">
      <c r="A102" s="42"/>
      <c r="B102" s="42"/>
      <c r="C102" s="74"/>
      <c r="D102" s="74"/>
      <c r="E102" s="70"/>
      <c r="F102" s="70"/>
      <c r="G102" s="70"/>
      <c r="H102" s="70"/>
      <c r="I102" s="70"/>
      <c r="J102" s="77"/>
      <c r="K102" s="77"/>
      <c r="L102" s="9"/>
      <c r="M102" s="42"/>
      <c r="N102" s="42"/>
      <c r="O102" s="9"/>
      <c r="P102" s="9"/>
      <c r="Q102" s="9"/>
      <c r="R102" s="33"/>
      <c r="S102" s="9"/>
      <c r="U102" s="8"/>
      <c r="V102" s="9"/>
      <c r="W102" s="9"/>
      <c r="X102" s="9"/>
      <c r="Y102" s="9"/>
      <c r="Z102" s="9"/>
      <c r="AA102" s="9"/>
      <c r="AB102" s="9"/>
      <c r="AC102" s="9"/>
      <c r="AD102" s="9"/>
    </row>
    <row r="103" spans="1:30" ht="18.75" x14ac:dyDescent="0.3">
      <c r="A103" s="42"/>
      <c r="B103" s="42"/>
      <c r="C103" s="74"/>
      <c r="D103" s="74"/>
      <c r="E103" s="70"/>
      <c r="F103" s="70"/>
      <c r="G103" s="70"/>
      <c r="H103" s="70"/>
      <c r="I103" s="70"/>
      <c r="J103" s="77"/>
      <c r="K103" s="77"/>
      <c r="L103" s="9"/>
      <c r="M103" s="42"/>
      <c r="N103" s="42"/>
      <c r="O103" s="9"/>
      <c r="P103" s="9"/>
      <c r="Q103" s="9"/>
      <c r="R103" s="33"/>
      <c r="S103" s="9"/>
      <c r="U103" s="8"/>
      <c r="V103" s="9"/>
      <c r="W103" s="9"/>
      <c r="X103" s="9"/>
      <c r="Y103" s="9"/>
      <c r="Z103" s="9"/>
      <c r="AA103" s="9"/>
      <c r="AB103" s="9"/>
      <c r="AC103" s="9"/>
      <c r="AD103" s="9"/>
    </row>
    <row r="104" spans="1:30" ht="18.75" x14ac:dyDescent="0.3">
      <c r="A104" s="42"/>
      <c r="B104" s="42"/>
      <c r="C104" s="74"/>
      <c r="D104" s="74"/>
      <c r="E104" s="70"/>
      <c r="F104" s="70"/>
      <c r="G104" s="70"/>
      <c r="H104" s="70"/>
      <c r="I104" s="70"/>
      <c r="J104" s="77"/>
      <c r="K104" s="77"/>
      <c r="L104" s="9"/>
      <c r="M104" s="42"/>
      <c r="N104" s="42"/>
      <c r="O104" s="9"/>
      <c r="P104" s="9"/>
      <c r="Q104" s="9"/>
      <c r="R104" s="33"/>
      <c r="S104" s="9"/>
      <c r="U104" s="8"/>
      <c r="V104" s="9"/>
      <c r="W104" s="9"/>
      <c r="X104" s="9"/>
      <c r="Y104" s="9"/>
      <c r="Z104" s="9"/>
      <c r="AA104" s="9"/>
      <c r="AB104" s="9"/>
      <c r="AC104" s="9"/>
      <c r="AD104" s="9"/>
    </row>
    <row r="105" spans="1:30" ht="18.75" x14ac:dyDescent="0.3">
      <c r="A105" s="42"/>
      <c r="B105" s="42"/>
      <c r="C105" s="74"/>
      <c r="D105" s="74"/>
      <c r="E105" s="70"/>
      <c r="F105" s="70"/>
      <c r="G105" s="70"/>
      <c r="H105" s="70"/>
      <c r="I105" s="70"/>
      <c r="J105" s="77"/>
      <c r="K105" s="77"/>
      <c r="L105" s="9"/>
      <c r="M105" s="42"/>
      <c r="N105" s="42"/>
      <c r="O105" s="9"/>
      <c r="P105" s="9"/>
      <c r="Q105" s="9"/>
      <c r="R105" s="33"/>
      <c r="S105" s="9"/>
      <c r="U105" s="8"/>
      <c r="V105" s="9"/>
      <c r="W105" s="9"/>
      <c r="X105" s="9"/>
      <c r="Y105" s="9"/>
      <c r="Z105" s="9"/>
      <c r="AA105" s="9"/>
      <c r="AB105" s="9"/>
      <c r="AC105" s="9"/>
      <c r="AD105" s="9"/>
    </row>
    <row r="106" spans="1:30" ht="18.75" x14ac:dyDescent="0.3">
      <c r="A106" s="42"/>
      <c r="B106" s="42"/>
      <c r="C106" s="74"/>
      <c r="D106" s="74"/>
      <c r="E106" s="70"/>
      <c r="F106" s="70"/>
      <c r="G106" s="70"/>
      <c r="H106" s="70"/>
      <c r="I106" s="70"/>
      <c r="J106" s="77"/>
      <c r="K106" s="77"/>
      <c r="L106" s="9"/>
      <c r="M106" s="42"/>
      <c r="N106" s="42"/>
      <c r="O106" s="9"/>
      <c r="P106" s="9"/>
      <c r="Q106" s="9"/>
      <c r="R106" s="33"/>
      <c r="S106" s="9"/>
      <c r="U106" s="8"/>
      <c r="V106" s="9"/>
      <c r="W106" s="9"/>
      <c r="X106" s="9"/>
      <c r="Y106" s="9"/>
      <c r="Z106" s="9"/>
      <c r="AA106" s="9"/>
      <c r="AB106" s="9"/>
      <c r="AC106" s="9"/>
      <c r="AD106" s="9"/>
    </row>
    <row r="107" spans="1:30" ht="18.75" x14ac:dyDescent="0.3">
      <c r="A107" s="42"/>
      <c r="B107" s="42"/>
      <c r="C107" s="74"/>
      <c r="D107" s="74"/>
      <c r="E107" s="70"/>
      <c r="F107" s="70"/>
      <c r="G107" s="70"/>
      <c r="H107" s="70"/>
      <c r="I107" s="70"/>
      <c r="J107" s="77"/>
      <c r="K107" s="77"/>
      <c r="L107" s="9"/>
      <c r="M107" s="42"/>
      <c r="N107" s="42"/>
      <c r="O107" s="9"/>
      <c r="P107" s="9"/>
      <c r="Q107" s="9"/>
      <c r="R107" s="33"/>
      <c r="S107" s="9"/>
      <c r="U107" s="8"/>
      <c r="V107" s="9"/>
      <c r="W107" s="9"/>
      <c r="X107" s="9"/>
      <c r="Y107" s="9"/>
      <c r="Z107" s="9"/>
      <c r="AA107" s="9"/>
      <c r="AB107" s="9"/>
      <c r="AC107" s="9"/>
      <c r="AD107" s="9"/>
    </row>
    <row r="108" spans="1:30" ht="18.75" x14ac:dyDescent="0.3">
      <c r="A108" s="42"/>
      <c r="B108" s="42"/>
      <c r="C108" s="74"/>
      <c r="D108" s="74"/>
      <c r="E108" s="70"/>
      <c r="F108" s="70"/>
      <c r="G108" s="70"/>
      <c r="H108" s="70"/>
      <c r="I108" s="70"/>
      <c r="J108" s="77"/>
      <c r="K108" s="77"/>
      <c r="L108" s="9"/>
      <c r="M108" s="42"/>
      <c r="N108" s="42"/>
      <c r="O108" s="9"/>
      <c r="P108" s="9"/>
      <c r="Q108" s="9"/>
      <c r="R108" s="33"/>
      <c r="S108" s="9"/>
      <c r="U108" s="8"/>
      <c r="V108" s="9"/>
      <c r="W108" s="9"/>
      <c r="X108" s="9"/>
      <c r="Y108" s="9"/>
      <c r="Z108" s="9"/>
      <c r="AA108" s="9"/>
      <c r="AB108" s="9"/>
      <c r="AC108" s="9"/>
      <c r="AD108" s="9"/>
    </row>
    <row r="109" spans="1:30" ht="18.75" x14ac:dyDescent="0.3">
      <c r="A109" s="42"/>
      <c r="B109" s="42"/>
      <c r="C109" s="74"/>
      <c r="D109" s="74"/>
      <c r="E109" s="70"/>
      <c r="F109" s="70"/>
      <c r="G109" s="70"/>
      <c r="H109" s="70"/>
      <c r="I109" s="70"/>
      <c r="J109" s="77"/>
      <c r="K109" s="77"/>
      <c r="L109" s="9"/>
      <c r="M109" s="42"/>
      <c r="N109" s="42"/>
      <c r="O109" s="9"/>
      <c r="P109" s="9"/>
      <c r="Q109" s="9"/>
      <c r="R109" s="33"/>
      <c r="S109" s="9"/>
      <c r="U109" s="8"/>
      <c r="V109" s="9"/>
      <c r="W109" s="9"/>
      <c r="X109" s="9"/>
      <c r="Y109" s="9"/>
      <c r="Z109" s="9"/>
      <c r="AA109" s="9"/>
      <c r="AB109" s="9"/>
      <c r="AC109" s="9"/>
      <c r="AD109" s="9"/>
    </row>
    <row r="110" spans="1:30" ht="18.75" x14ac:dyDescent="0.3">
      <c r="A110" s="42"/>
      <c r="B110" s="42"/>
      <c r="C110" s="74"/>
      <c r="D110" s="74"/>
      <c r="E110" s="70"/>
      <c r="F110" s="70"/>
      <c r="G110" s="70"/>
      <c r="H110" s="70"/>
      <c r="I110" s="70"/>
      <c r="J110" s="77"/>
      <c r="K110" s="77"/>
      <c r="L110" s="9"/>
      <c r="M110" s="42"/>
      <c r="N110" s="42"/>
      <c r="O110" s="9"/>
      <c r="P110" s="9"/>
      <c r="Q110" s="9"/>
      <c r="R110" s="33"/>
      <c r="S110" s="9"/>
      <c r="U110" s="8"/>
      <c r="V110" s="9"/>
      <c r="W110" s="9"/>
      <c r="X110" s="9"/>
      <c r="Y110" s="9"/>
      <c r="Z110" s="9"/>
      <c r="AA110" s="9"/>
      <c r="AB110" s="9"/>
      <c r="AC110" s="9"/>
      <c r="AD110" s="9"/>
    </row>
    <row r="111" spans="1:30" ht="18.75" x14ac:dyDescent="0.3">
      <c r="A111" s="42"/>
      <c r="B111" s="42"/>
      <c r="C111" s="74"/>
      <c r="D111" s="74"/>
      <c r="E111" s="70"/>
      <c r="F111" s="70"/>
      <c r="G111" s="70"/>
      <c r="H111" s="70"/>
      <c r="I111" s="70"/>
      <c r="J111" s="77"/>
      <c r="K111" s="77"/>
      <c r="L111" s="9"/>
      <c r="M111" s="42"/>
      <c r="N111" s="42"/>
      <c r="O111" s="9"/>
      <c r="P111" s="9"/>
      <c r="Q111" s="9"/>
      <c r="R111" s="33"/>
      <c r="S111" s="9"/>
      <c r="U111" s="8"/>
      <c r="V111" s="9"/>
      <c r="W111" s="9"/>
      <c r="X111" s="9"/>
      <c r="Y111" s="9"/>
      <c r="Z111" s="9"/>
      <c r="AA111" s="9"/>
      <c r="AB111" s="9"/>
      <c r="AC111" s="9"/>
      <c r="AD111" s="9"/>
    </row>
    <row r="112" spans="1:30" ht="18.75" x14ac:dyDescent="0.3">
      <c r="A112" s="42"/>
      <c r="B112" s="42"/>
      <c r="C112" s="74"/>
      <c r="D112" s="74"/>
      <c r="E112" s="70"/>
      <c r="F112" s="70"/>
      <c r="G112" s="70"/>
      <c r="H112" s="70"/>
      <c r="I112" s="70"/>
      <c r="J112" s="77"/>
      <c r="K112" s="77"/>
      <c r="L112" s="9"/>
      <c r="M112" s="42"/>
      <c r="N112" s="42"/>
      <c r="O112" s="9"/>
      <c r="P112" s="9"/>
      <c r="Q112" s="9"/>
      <c r="R112" s="33"/>
      <c r="S112" s="9"/>
      <c r="U112" s="8"/>
      <c r="V112" s="9"/>
      <c r="W112" s="9"/>
      <c r="X112" s="9"/>
      <c r="Y112" s="9"/>
      <c r="Z112" s="9"/>
      <c r="AA112" s="9"/>
      <c r="AB112" s="9"/>
      <c r="AC112" s="9"/>
      <c r="AD112" s="9"/>
    </row>
    <row r="113" spans="1:30" ht="18.75" x14ac:dyDescent="0.3">
      <c r="A113" s="42"/>
      <c r="B113" s="42"/>
      <c r="C113" s="74"/>
      <c r="D113" s="74"/>
      <c r="E113" s="70"/>
      <c r="F113" s="70"/>
      <c r="G113" s="70"/>
      <c r="H113" s="70"/>
      <c r="I113" s="70"/>
      <c r="J113" s="77"/>
      <c r="K113" s="77"/>
      <c r="L113" s="9"/>
      <c r="M113" s="42"/>
      <c r="N113" s="42"/>
      <c r="O113" s="9"/>
      <c r="P113" s="9"/>
      <c r="Q113" s="9"/>
      <c r="R113" s="33"/>
      <c r="S113" s="9"/>
      <c r="U113" s="8"/>
      <c r="V113" s="9"/>
      <c r="W113" s="9"/>
      <c r="X113" s="9"/>
      <c r="Y113" s="9"/>
      <c r="Z113" s="9"/>
      <c r="AA113" s="9"/>
      <c r="AB113" s="9"/>
      <c r="AC113" s="9"/>
      <c r="AD113" s="9"/>
    </row>
    <row r="114" spans="1:30" ht="18.75" x14ac:dyDescent="0.3">
      <c r="A114" s="42"/>
      <c r="B114" s="42"/>
      <c r="C114" s="74"/>
      <c r="D114" s="74"/>
      <c r="E114" s="70"/>
      <c r="F114" s="70"/>
      <c r="G114" s="70"/>
      <c r="H114" s="70"/>
      <c r="I114" s="70"/>
      <c r="J114" s="77"/>
      <c r="K114" s="77"/>
      <c r="L114" s="9"/>
      <c r="M114" s="42"/>
      <c r="N114" s="42"/>
      <c r="O114" s="9"/>
      <c r="P114" s="9"/>
      <c r="Q114" s="9"/>
      <c r="R114" s="33"/>
      <c r="S114" s="9"/>
      <c r="U114" s="8"/>
      <c r="V114" s="9"/>
      <c r="W114" s="9"/>
      <c r="X114" s="9"/>
      <c r="Y114" s="9"/>
      <c r="Z114" s="9"/>
      <c r="AA114" s="9"/>
      <c r="AB114" s="9"/>
      <c r="AC114" s="9"/>
      <c r="AD114" s="9"/>
    </row>
    <row r="115" spans="1:30" ht="18.75" x14ac:dyDescent="0.3">
      <c r="A115" s="42"/>
      <c r="B115" s="42"/>
      <c r="C115" s="74"/>
      <c r="D115" s="74"/>
      <c r="E115" s="70"/>
      <c r="F115" s="70"/>
      <c r="G115" s="70"/>
      <c r="H115" s="70"/>
      <c r="I115" s="70"/>
      <c r="J115" s="77"/>
      <c r="K115" s="77"/>
      <c r="L115" s="9"/>
      <c r="M115" s="42"/>
      <c r="N115" s="42"/>
      <c r="O115" s="9"/>
      <c r="P115" s="9"/>
      <c r="Q115" s="9"/>
      <c r="R115" s="33"/>
      <c r="S115" s="9"/>
      <c r="U115" s="8"/>
      <c r="V115" s="9"/>
      <c r="W115" s="9"/>
      <c r="X115" s="9"/>
      <c r="Y115" s="9"/>
      <c r="Z115" s="9"/>
      <c r="AA115" s="9"/>
      <c r="AB115" s="9"/>
      <c r="AC115" s="9"/>
      <c r="AD115" s="9"/>
    </row>
    <row r="116" spans="1:30" ht="18.75" x14ac:dyDescent="0.3">
      <c r="A116" s="42"/>
      <c r="B116" s="42"/>
      <c r="C116" s="74"/>
      <c r="D116" s="74"/>
      <c r="E116" s="70"/>
      <c r="F116" s="70"/>
      <c r="G116" s="70"/>
      <c r="H116" s="70"/>
      <c r="I116" s="70"/>
      <c r="J116" s="77"/>
      <c r="K116" s="77"/>
      <c r="L116" s="9"/>
      <c r="M116" s="42"/>
      <c r="N116" s="42"/>
      <c r="O116" s="9"/>
      <c r="P116" s="9"/>
      <c r="Q116" s="9"/>
      <c r="R116" s="33"/>
      <c r="S116" s="9"/>
      <c r="U116" s="8"/>
      <c r="V116" s="9"/>
      <c r="W116" s="9"/>
      <c r="X116" s="9"/>
      <c r="Y116" s="9"/>
      <c r="Z116" s="9"/>
      <c r="AA116" s="9"/>
      <c r="AB116" s="9"/>
      <c r="AC116" s="9"/>
      <c r="AD116" s="9"/>
    </row>
    <row r="117" spans="1:30" ht="18.75" x14ac:dyDescent="0.3">
      <c r="A117" s="42"/>
      <c r="B117" s="42"/>
      <c r="C117" s="74"/>
      <c r="D117" s="74"/>
      <c r="E117" s="70"/>
      <c r="F117" s="70"/>
      <c r="G117" s="70"/>
      <c r="H117" s="70"/>
      <c r="I117" s="70"/>
      <c r="J117" s="77"/>
      <c r="K117" s="77"/>
      <c r="L117" s="9"/>
      <c r="M117" s="42"/>
      <c r="N117" s="42"/>
      <c r="O117" s="9"/>
      <c r="P117" s="9"/>
      <c r="Q117" s="9"/>
      <c r="R117" s="33"/>
      <c r="S117" s="9"/>
      <c r="U117" s="8"/>
      <c r="V117" s="9"/>
      <c r="W117" s="9"/>
      <c r="X117" s="9"/>
      <c r="Y117" s="9"/>
      <c r="Z117" s="9"/>
      <c r="AA117" s="9"/>
      <c r="AB117" s="9"/>
      <c r="AC117" s="9"/>
      <c r="AD117" s="9"/>
    </row>
    <row r="118" spans="1:30" ht="18.75" x14ac:dyDescent="0.3">
      <c r="A118" s="42"/>
      <c r="B118" s="42"/>
      <c r="C118" s="74"/>
      <c r="D118" s="74"/>
      <c r="E118" s="70"/>
      <c r="F118" s="70"/>
      <c r="G118" s="70"/>
      <c r="H118" s="70"/>
      <c r="I118" s="70"/>
      <c r="J118" s="77"/>
      <c r="K118" s="77"/>
      <c r="L118" s="9"/>
      <c r="M118" s="42"/>
      <c r="N118" s="42"/>
      <c r="O118" s="9"/>
      <c r="P118" s="9"/>
      <c r="Q118" s="9"/>
      <c r="R118" s="33"/>
      <c r="S118" s="9"/>
      <c r="U118" s="8"/>
      <c r="V118" s="9"/>
      <c r="W118" s="9"/>
      <c r="X118" s="9"/>
      <c r="Y118" s="9"/>
      <c r="Z118" s="9"/>
      <c r="AA118" s="9"/>
      <c r="AB118" s="9"/>
      <c r="AC118" s="9"/>
      <c r="AD118" s="9"/>
    </row>
    <row r="119" spans="1:30" ht="18.75" x14ac:dyDescent="0.3">
      <c r="A119" s="42"/>
      <c r="B119" s="42"/>
      <c r="C119" s="74"/>
      <c r="D119" s="74"/>
      <c r="E119" s="70"/>
      <c r="F119" s="70"/>
      <c r="G119" s="70"/>
      <c r="H119" s="70"/>
      <c r="I119" s="70"/>
      <c r="J119" s="77"/>
      <c r="K119" s="77"/>
      <c r="L119" s="9"/>
      <c r="M119" s="42"/>
      <c r="N119" s="42"/>
      <c r="O119" s="9"/>
      <c r="P119" s="9"/>
      <c r="Q119" s="9"/>
      <c r="R119" s="33"/>
      <c r="S119" s="9"/>
      <c r="U119" s="8"/>
      <c r="V119" s="9"/>
      <c r="W119" s="9"/>
      <c r="X119" s="9"/>
      <c r="Y119" s="9"/>
      <c r="Z119" s="9"/>
      <c r="AA119" s="9"/>
      <c r="AB119" s="9"/>
      <c r="AC119" s="9"/>
      <c r="AD119" s="9"/>
    </row>
    <row r="120" spans="1:30" ht="18.75" x14ac:dyDescent="0.3">
      <c r="A120" s="42"/>
      <c r="B120" s="42"/>
      <c r="C120" s="74"/>
      <c r="D120" s="74"/>
      <c r="E120" s="70"/>
      <c r="F120" s="70"/>
      <c r="G120" s="70"/>
      <c r="H120" s="70"/>
      <c r="I120" s="70"/>
      <c r="J120" s="77"/>
      <c r="K120" s="77"/>
      <c r="L120" s="9"/>
      <c r="M120" s="42"/>
      <c r="N120" s="42"/>
      <c r="O120" s="9"/>
      <c r="P120" s="9"/>
      <c r="Q120" s="9"/>
      <c r="R120" s="33"/>
      <c r="S120" s="9"/>
      <c r="U120" s="8"/>
      <c r="V120" s="9"/>
      <c r="W120" s="9"/>
      <c r="X120" s="9"/>
      <c r="Y120" s="9"/>
      <c r="Z120" s="9"/>
      <c r="AA120" s="9"/>
      <c r="AB120" s="9"/>
      <c r="AC120" s="9"/>
      <c r="AD120" s="9"/>
    </row>
    <row r="121" spans="1:30" ht="18.75" x14ac:dyDescent="0.3">
      <c r="A121" s="42"/>
      <c r="B121" s="42"/>
      <c r="C121" s="74"/>
      <c r="D121" s="74"/>
      <c r="E121" s="70"/>
      <c r="F121" s="70"/>
      <c r="G121" s="70"/>
      <c r="H121" s="70"/>
      <c r="I121" s="70"/>
      <c r="J121" s="77"/>
      <c r="K121" s="77"/>
      <c r="L121" s="9"/>
      <c r="M121" s="42"/>
      <c r="N121" s="42"/>
      <c r="O121" s="9"/>
      <c r="P121" s="9"/>
      <c r="Q121" s="9"/>
      <c r="R121" s="33"/>
      <c r="S121" s="9"/>
      <c r="U121" s="8"/>
      <c r="V121" s="9"/>
      <c r="W121" s="9"/>
      <c r="X121" s="9"/>
      <c r="Y121" s="9"/>
      <c r="Z121" s="9"/>
      <c r="AA121" s="9"/>
      <c r="AB121" s="9"/>
      <c r="AC121" s="9"/>
      <c r="AD121" s="9"/>
    </row>
    <row r="122" spans="1:30" ht="18.75" x14ac:dyDescent="0.3">
      <c r="A122" s="42"/>
      <c r="B122" s="42"/>
      <c r="C122" s="74"/>
      <c r="D122" s="74"/>
      <c r="E122" s="70"/>
      <c r="F122" s="70"/>
      <c r="G122" s="70"/>
      <c r="H122" s="70"/>
      <c r="I122" s="70"/>
      <c r="J122" s="77"/>
      <c r="K122" s="77"/>
      <c r="L122" s="9"/>
      <c r="M122" s="42"/>
      <c r="N122" s="42"/>
      <c r="O122" s="9"/>
      <c r="P122" s="9"/>
      <c r="Q122" s="9"/>
      <c r="R122" s="33"/>
      <c r="S122" s="9"/>
      <c r="U122" s="8"/>
      <c r="V122" s="9"/>
      <c r="W122" s="9"/>
      <c r="X122" s="9"/>
      <c r="Y122" s="9"/>
      <c r="Z122" s="9"/>
      <c r="AA122" s="9"/>
      <c r="AB122" s="9"/>
      <c r="AC122" s="9"/>
      <c r="AD122" s="9"/>
    </row>
    <row r="123" spans="1:30" ht="18.75" x14ac:dyDescent="0.3">
      <c r="A123" s="42"/>
      <c r="B123" s="42"/>
      <c r="C123" s="74"/>
      <c r="D123" s="74"/>
      <c r="E123" s="70"/>
      <c r="F123" s="70"/>
      <c r="G123" s="70"/>
      <c r="H123" s="70"/>
      <c r="I123" s="70"/>
      <c r="J123" s="77"/>
      <c r="K123" s="77"/>
      <c r="L123" s="9"/>
      <c r="M123" s="42"/>
      <c r="N123" s="42"/>
      <c r="O123" s="9"/>
      <c r="P123" s="9"/>
      <c r="Q123" s="9"/>
      <c r="R123" s="33"/>
      <c r="S123" s="9"/>
      <c r="U123" s="8"/>
      <c r="V123" s="9"/>
      <c r="W123" s="9"/>
      <c r="X123" s="9"/>
      <c r="Y123" s="9"/>
      <c r="Z123" s="9"/>
      <c r="AA123" s="9"/>
      <c r="AB123" s="9"/>
      <c r="AC123" s="9"/>
      <c r="AD123" s="9"/>
    </row>
    <row r="124" spans="1:30" ht="18.75" x14ac:dyDescent="0.3">
      <c r="A124" s="42"/>
      <c r="B124" s="42"/>
      <c r="C124" s="74"/>
      <c r="D124" s="74"/>
      <c r="E124" s="70"/>
      <c r="F124" s="70"/>
      <c r="G124" s="70"/>
      <c r="H124" s="70"/>
      <c r="I124" s="70"/>
      <c r="J124" s="77"/>
      <c r="K124" s="77"/>
      <c r="L124" s="9"/>
      <c r="M124" s="42"/>
      <c r="N124" s="42"/>
      <c r="O124" s="9"/>
      <c r="P124" s="9"/>
      <c r="Q124" s="9"/>
      <c r="R124" s="33"/>
      <c r="S124" s="9"/>
      <c r="U124" s="8"/>
      <c r="V124" s="9"/>
      <c r="W124" s="9"/>
      <c r="X124" s="9"/>
      <c r="Y124" s="9"/>
      <c r="Z124" s="9"/>
      <c r="AA124" s="9"/>
      <c r="AB124" s="9"/>
      <c r="AC124" s="9"/>
      <c r="AD124" s="9"/>
    </row>
    <row r="125" spans="1:30" ht="18.75" x14ac:dyDescent="0.3">
      <c r="A125" s="42"/>
      <c r="B125" s="42"/>
      <c r="C125" s="74"/>
      <c r="D125" s="74"/>
      <c r="E125" s="70"/>
      <c r="F125" s="70"/>
      <c r="G125" s="70"/>
      <c r="H125" s="70"/>
      <c r="I125" s="70"/>
      <c r="J125" s="77"/>
      <c r="K125" s="77"/>
      <c r="L125" s="9"/>
      <c r="M125" s="42"/>
      <c r="N125" s="42"/>
      <c r="O125" s="9"/>
      <c r="P125" s="9"/>
      <c r="Q125" s="9"/>
      <c r="R125" s="33"/>
      <c r="S125" s="9"/>
      <c r="U125" s="8"/>
      <c r="V125" s="9"/>
      <c r="W125" s="9"/>
      <c r="X125" s="9"/>
      <c r="Y125" s="9"/>
      <c r="Z125" s="9"/>
      <c r="AA125" s="9"/>
      <c r="AB125" s="9"/>
      <c r="AC125" s="9"/>
      <c r="AD125" s="9"/>
    </row>
    <row r="126" spans="1:30" ht="18.75" x14ac:dyDescent="0.3">
      <c r="A126" s="42"/>
      <c r="B126" s="42"/>
      <c r="C126" s="74"/>
      <c r="D126" s="74"/>
      <c r="E126" s="70"/>
      <c r="F126" s="70"/>
      <c r="G126" s="70"/>
      <c r="H126" s="70"/>
      <c r="I126" s="70"/>
      <c r="J126" s="77"/>
      <c r="K126" s="77"/>
      <c r="L126" s="9"/>
      <c r="M126" s="42"/>
      <c r="N126" s="42"/>
      <c r="O126" s="9"/>
      <c r="P126" s="9"/>
      <c r="Q126" s="9"/>
      <c r="R126" s="33"/>
      <c r="S126" s="9"/>
      <c r="U126" s="8"/>
      <c r="V126" s="9"/>
      <c r="W126" s="9"/>
      <c r="X126" s="9"/>
      <c r="Y126" s="9"/>
      <c r="Z126" s="9"/>
      <c r="AA126" s="9"/>
      <c r="AB126" s="9"/>
      <c r="AC126" s="9"/>
      <c r="AD126" s="9"/>
    </row>
    <row r="127" spans="1:30" ht="18.75" x14ac:dyDescent="0.3">
      <c r="A127" s="42"/>
      <c r="B127" s="42"/>
      <c r="C127" s="74"/>
      <c r="D127" s="74"/>
      <c r="E127" s="70"/>
      <c r="F127" s="70"/>
      <c r="G127" s="70"/>
      <c r="H127" s="70"/>
      <c r="I127" s="70"/>
      <c r="J127" s="77"/>
      <c r="K127" s="77"/>
      <c r="L127" s="9"/>
      <c r="M127" s="42"/>
      <c r="N127" s="42"/>
      <c r="O127" s="9"/>
      <c r="P127" s="9"/>
      <c r="Q127" s="9"/>
      <c r="R127" s="33"/>
      <c r="S127" s="9"/>
      <c r="U127" s="8"/>
      <c r="V127" s="9"/>
      <c r="W127" s="9"/>
      <c r="X127" s="9"/>
      <c r="Y127" s="9"/>
      <c r="Z127" s="9"/>
      <c r="AA127" s="9"/>
      <c r="AB127" s="9"/>
      <c r="AC127" s="9"/>
      <c r="AD127" s="9"/>
    </row>
    <row r="128" spans="1:30" ht="18.75" x14ac:dyDescent="0.3">
      <c r="A128" s="42"/>
      <c r="B128" s="42"/>
      <c r="C128" s="74"/>
      <c r="D128" s="74"/>
      <c r="E128" s="70"/>
      <c r="F128" s="70"/>
      <c r="G128" s="70"/>
      <c r="H128" s="70"/>
      <c r="I128" s="70"/>
      <c r="J128" s="77"/>
      <c r="K128" s="77"/>
      <c r="L128" s="9"/>
      <c r="M128" s="42"/>
      <c r="N128" s="42"/>
      <c r="O128" s="9"/>
      <c r="P128" s="9"/>
      <c r="Q128" s="9"/>
      <c r="R128" s="33"/>
      <c r="S128" s="9"/>
      <c r="U128" s="8"/>
      <c r="V128" s="9"/>
      <c r="W128" s="9"/>
      <c r="X128" s="9"/>
      <c r="Y128" s="9"/>
      <c r="Z128" s="9"/>
      <c r="AA128" s="9"/>
      <c r="AB128" s="9"/>
      <c r="AC128" s="9"/>
      <c r="AD128" s="9"/>
    </row>
    <row r="129" spans="1:30" ht="18.75" x14ac:dyDescent="0.3">
      <c r="A129" s="42"/>
      <c r="B129" s="42"/>
      <c r="C129" s="74"/>
      <c r="D129" s="74"/>
      <c r="E129" s="70"/>
      <c r="F129" s="70"/>
      <c r="G129" s="70"/>
      <c r="H129" s="70"/>
      <c r="I129" s="70"/>
      <c r="J129" s="77"/>
      <c r="K129" s="77"/>
      <c r="L129" s="9"/>
      <c r="M129" s="42"/>
      <c r="N129" s="42"/>
      <c r="O129" s="9"/>
      <c r="P129" s="9"/>
      <c r="Q129" s="9"/>
      <c r="R129" s="33"/>
      <c r="S129" s="9"/>
      <c r="U129" s="8"/>
      <c r="V129" s="9"/>
      <c r="W129" s="9"/>
      <c r="X129" s="9"/>
      <c r="Y129" s="9"/>
      <c r="Z129" s="9"/>
      <c r="AA129" s="9"/>
      <c r="AB129" s="9"/>
      <c r="AC129" s="9"/>
      <c r="AD129" s="9"/>
    </row>
    <row r="130" spans="1:30" ht="18.75" x14ac:dyDescent="0.3">
      <c r="A130" s="42"/>
      <c r="B130" s="42"/>
      <c r="C130" s="74"/>
      <c r="D130" s="74"/>
      <c r="E130" s="70"/>
      <c r="F130" s="70"/>
      <c r="G130" s="70"/>
      <c r="H130" s="70"/>
      <c r="I130" s="70"/>
      <c r="J130" s="77"/>
      <c r="K130" s="77"/>
      <c r="L130" s="9"/>
      <c r="M130" s="42"/>
      <c r="N130" s="42"/>
      <c r="O130" s="9"/>
      <c r="P130" s="9"/>
      <c r="Q130" s="9"/>
      <c r="R130" s="33"/>
      <c r="S130" s="9"/>
      <c r="U130" s="8"/>
      <c r="V130" s="9"/>
      <c r="W130" s="9"/>
      <c r="X130" s="9"/>
      <c r="Y130" s="9"/>
      <c r="Z130" s="9"/>
      <c r="AA130" s="9"/>
      <c r="AB130" s="9"/>
      <c r="AC130" s="9"/>
      <c r="AD130" s="9"/>
    </row>
    <row r="131" spans="1:30" ht="18.75" x14ac:dyDescent="0.3">
      <c r="A131" s="42"/>
      <c r="B131" s="42"/>
      <c r="C131" s="74"/>
      <c r="D131" s="74"/>
      <c r="E131" s="70"/>
      <c r="F131" s="70"/>
      <c r="G131" s="70"/>
      <c r="H131" s="70"/>
      <c r="I131" s="70"/>
      <c r="J131" s="77"/>
      <c r="K131" s="77"/>
      <c r="L131" s="9"/>
      <c r="M131" s="42"/>
      <c r="N131" s="42"/>
      <c r="O131" s="9"/>
      <c r="P131" s="9"/>
      <c r="Q131" s="9"/>
      <c r="R131" s="33"/>
      <c r="S131" s="9"/>
      <c r="U131" s="8"/>
      <c r="V131" s="9"/>
      <c r="W131" s="9"/>
      <c r="X131" s="9"/>
      <c r="Y131" s="9"/>
      <c r="Z131" s="9"/>
      <c r="AA131" s="9"/>
      <c r="AB131" s="9"/>
      <c r="AC131" s="9"/>
      <c r="AD131" s="9"/>
    </row>
    <row r="132" spans="1:30" ht="18.75" x14ac:dyDescent="0.3">
      <c r="A132" s="42"/>
      <c r="B132" s="42"/>
      <c r="C132" s="74"/>
      <c r="D132" s="74"/>
      <c r="E132" s="70"/>
      <c r="F132" s="70"/>
      <c r="G132" s="70"/>
      <c r="H132" s="70"/>
      <c r="I132" s="70"/>
      <c r="J132" s="77"/>
      <c r="K132" s="77"/>
      <c r="L132" s="9"/>
      <c r="M132" s="42"/>
      <c r="N132" s="42"/>
      <c r="O132" s="9"/>
      <c r="P132" s="9"/>
      <c r="Q132" s="9"/>
      <c r="R132" s="33"/>
      <c r="S132" s="9"/>
      <c r="U132" s="8"/>
      <c r="V132" s="9"/>
      <c r="W132" s="9"/>
      <c r="X132" s="9"/>
      <c r="Y132" s="9"/>
      <c r="Z132" s="9"/>
      <c r="AA132" s="9"/>
      <c r="AB132" s="9"/>
      <c r="AC132" s="9"/>
      <c r="AD132" s="9"/>
    </row>
    <row r="133" spans="1:30" ht="18.75" x14ac:dyDescent="0.3">
      <c r="A133" s="42"/>
      <c r="B133" s="42"/>
      <c r="C133" s="74"/>
      <c r="D133" s="74"/>
      <c r="E133" s="70"/>
      <c r="F133" s="70"/>
      <c r="G133" s="70"/>
      <c r="H133" s="70"/>
      <c r="I133" s="70"/>
      <c r="J133" s="77"/>
      <c r="K133" s="77"/>
      <c r="L133" s="9"/>
      <c r="M133" s="42"/>
      <c r="N133" s="42"/>
      <c r="O133" s="9"/>
      <c r="P133" s="9"/>
      <c r="Q133" s="9"/>
      <c r="R133" s="33"/>
      <c r="S133" s="9"/>
      <c r="U133" s="8"/>
      <c r="V133" s="9"/>
      <c r="W133" s="9"/>
      <c r="X133" s="9"/>
      <c r="Y133" s="9"/>
      <c r="Z133" s="9"/>
      <c r="AA133" s="9"/>
      <c r="AB133" s="9"/>
      <c r="AC133" s="9"/>
      <c r="AD133" s="9"/>
    </row>
    <row r="134" spans="1:30" ht="18.75" x14ac:dyDescent="0.3">
      <c r="A134" s="42"/>
      <c r="B134" s="42"/>
      <c r="C134" s="74"/>
      <c r="D134" s="74"/>
      <c r="E134" s="70"/>
      <c r="F134" s="70"/>
      <c r="G134" s="70"/>
      <c r="H134" s="70"/>
      <c r="I134" s="70"/>
      <c r="J134" s="77"/>
      <c r="K134" s="77"/>
      <c r="L134" s="9"/>
      <c r="M134" s="42"/>
      <c r="N134" s="42"/>
      <c r="O134" s="9"/>
      <c r="P134" s="9"/>
      <c r="Q134" s="9"/>
      <c r="R134" s="33"/>
      <c r="S134" s="9"/>
      <c r="U134" s="8"/>
      <c r="V134" s="9"/>
      <c r="W134" s="9"/>
      <c r="X134" s="9"/>
      <c r="Y134" s="9"/>
      <c r="Z134" s="9"/>
      <c r="AA134" s="9"/>
      <c r="AB134" s="9"/>
      <c r="AC134" s="9"/>
      <c r="AD134" s="9"/>
    </row>
    <row r="135" spans="1:30" ht="18.75" x14ac:dyDescent="0.3">
      <c r="A135" s="42"/>
      <c r="B135" s="42"/>
      <c r="C135" s="74"/>
      <c r="D135" s="74"/>
      <c r="E135" s="70"/>
      <c r="F135" s="70"/>
      <c r="G135" s="70"/>
      <c r="H135" s="70"/>
      <c r="I135" s="70"/>
      <c r="J135" s="77"/>
      <c r="K135" s="77"/>
      <c r="L135" s="9"/>
      <c r="M135" s="42"/>
      <c r="N135" s="42"/>
      <c r="O135" s="9"/>
      <c r="P135" s="9"/>
      <c r="Q135" s="9"/>
      <c r="R135" s="33"/>
      <c r="S135" s="9"/>
      <c r="U135" s="8"/>
      <c r="V135" s="9"/>
      <c r="W135" s="9"/>
      <c r="X135" s="9"/>
      <c r="Y135" s="9"/>
      <c r="Z135" s="9"/>
      <c r="AA135" s="9"/>
      <c r="AB135" s="9"/>
      <c r="AC135" s="9"/>
      <c r="AD135" s="9"/>
    </row>
    <row r="136" spans="1:30" ht="18.75" x14ac:dyDescent="0.3">
      <c r="A136" s="42"/>
      <c r="B136" s="42"/>
      <c r="C136" s="74"/>
      <c r="D136" s="74"/>
      <c r="E136" s="70"/>
      <c r="F136" s="70"/>
      <c r="G136" s="70"/>
      <c r="H136" s="70"/>
      <c r="I136" s="70"/>
      <c r="J136" s="77"/>
      <c r="K136" s="77"/>
      <c r="L136" s="9"/>
      <c r="M136" s="42"/>
      <c r="N136" s="42"/>
      <c r="O136" s="9"/>
      <c r="P136" s="9"/>
      <c r="Q136" s="9"/>
      <c r="R136" s="33"/>
      <c r="S136" s="9"/>
      <c r="U136" s="8"/>
      <c r="V136" s="9"/>
      <c r="W136" s="9"/>
      <c r="X136" s="9"/>
      <c r="Y136" s="9"/>
      <c r="Z136" s="9"/>
      <c r="AA136" s="9"/>
      <c r="AB136" s="9"/>
      <c r="AC136" s="9"/>
      <c r="AD136" s="9"/>
    </row>
    <row r="137" spans="1:30" ht="18.75" x14ac:dyDescent="0.3">
      <c r="A137" s="42"/>
      <c r="B137" s="42"/>
      <c r="C137" s="74"/>
      <c r="D137" s="74"/>
      <c r="E137" s="70"/>
      <c r="F137" s="70"/>
      <c r="G137" s="70"/>
      <c r="H137" s="70"/>
      <c r="I137" s="70"/>
      <c r="J137" s="77"/>
      <c r="K137" s="77"/>
      <c r="L137" s="9"/>
      <c r="M137" s="42"/>
      <c r="N137" s="42"/>
      <c r="O137" s="9"/>
      <c r="P137" s="9"/>
      <c r="Q137" s="9"/>
      <c r="R137" s="33"/>
      <c r="S137" s="9"/>
      <c r="U137" s="8"/>
      <c r="V137" s="9"/>
      <c r="W137" s="9"/>
      <c r="X137" s="9"/>
      <c r="Y137" s="9"/>
      <c r="Z137" s="9"/>
      <c r="AA137" s="9"/>
      <c r="AB137" s="9"/>
      <c r="AC137" s="9"/>
      <c r="AD137" s="9"/>
    </row>
    <row r="138" spans="1:30" ht="18.75" x14ac:dyDescent="0.3">
      <c r="A138" s="42"/>
      <c r="B138" s="42"/>
      <c r="C138" s="74"/>
      <c r="D138" s="74"/>
      <c r="E138" s="70"/>
      <c r="F138" s="70"/>
      <c r="G138" s="70"/>
      <c r="H138" s="70"/>
      <c r="I138" s="70"/>
      <c r="J138" s="77"/>
      <c r="K138" s="77"/>
      <c r="L138" s="9"/>
      <c r="M138" s="42"/>
      <c r="N138" s="42"/>
      <c r="O138" s="9"/>
      <c r="P138" s="9"/>
      <c r="Q138" s="9"/>
      <c r="R138" s="33"/>
      <c r="S138" s="9"/>
      <c r="U138" s="8"/>
      <c r="V138" s="9"/>
      <c r="W138" s="9"/>
      <c r="X138" s="9"/>
      <c r="Y138" s="9"/>
      <c r="Z138" s="9"/>
      <c r="AA138" s="9"/>
      <c r="AB138" s="9"/>
      <c r="AC138" s="9"/>
      <c r="AD138" s="9"/>
    </row>
    <row r="139" spans="1:30" ht="18.75" x14ac:dyDescent="0.3">
      <c r="A139" s="42"/>
      <c r="B139" s="42"/>
      <c r="C139" s="74"/>
      <c r="D139" s="74"/>
      <c r="E139" s="70"/>
      <c r="F139" s="70"/>
      <c r="G139" s="70"/>
      <c r="H139" s="70"/>
      <c r="I139" s="70"/>
      <c r="J139" s="77"/>
      <c r="K139" s="77"/>
      <c r="L139" s="9"/>
      <c r="M139" s="42"/>
      <c r="N139" s="42"/>
      <c r="O139" s="9"/>
      <c r="P139" s="9"/>
      <c r="Q139" s="9"/>
      <c r="R139" s="33"/>
      <c r="S139" s="9"/>
      <c r="U139" s="8"/>
      <c r="V139" s="9"/>
      <c r="W139" s="9"/>
      <c r="X139" s="9"/>
      <c r="Y139" s="9"/>
      <c r="Z139" s="9"/>
      <c r="AA139" s="9"/>
      <c r="AB139" s="9"/>
      <c r="AC139" s="9"/>
      <c r="AD139" s="9"/>
    </row>
    <row r="140" spans="1:30" ht="18.75" x14ac:dyDescent="0.3">
      <c r="A140" s="42"/>
      <c r="B140" s="42"/>
      <c r="C140" s="74"/>
      <c r="D140" s="74"/>
      <c r="E140" s="70"/>
      <c r="F140" s="70"/>
      <c r="G140" s="70"/>
      <c r="H140" s="70"/>
      <c r="I140" s="70"/>
      <c r="J140" s="77"/>
      <c r="K140" s="77"/>
      <c r="L140" s="9"/>
      <c r="M140" s="42"/>
      <c r="N140" s="42"/>
      <c r="O140" s="9"/>
      <c r="P140" s="9"/>
      <c r="Q140" s="9"/>
      <c r="R140" s="33"/>
      <c r="S140" s="9"/>
      <c r="U140" s="8"/>
      <c r="V140" s="9"/>
      <c r="W140" s="9"/>
      <c r="X140" s="9"/>
      <c r="Y140" s="9"/>
      <c r="Z140" s="9"/>
      <c r="AA140" s="9"/>
      <c r="AB140" s="9"/>
      <c r="AC140" s="9"/>
      <c r="AD140" s="9"/>
    </row>
    <row r="141" spans="1:30" ht="18.75" x14ac:dyDescent="0.3">
      <c r="A141" s="42"/>
      <c r="B141" s="42"/>
      <c r="C141" s="74"/>
      <c r="D141" s="74"/>
      <c r="E141" s="70"/>
      <c r="F141" s="70"/>
      <c r="G141" s="70"/>
      <c r="H141" s="70"/>
      <c r="I141" s="70"/>
      <c r="J141" s="77"/>
      <c r="K141" s="77"/>
      <c r="L141" s="9"/>
      <c r="M141" s="42"/>
      <c r="N141" s="42"/>
      <c r="O141" s="9"/>
      <c r="P141" s="9"/>
      <c r="Q141" s="9"/>
      <c r="R141" s="33"/>
      <c r="S141" s="9"/>
      <c r="U141" s="8"/>
      <c r="V141" s="9"/>
      <c r="W141" s="9"/>
      <c r="X141" s="9"/>
      <c r="Y141" s="9"/>
      <c r="Z141" s="9"/>
      <c r="AA141" s="9"/>
      <c r="AB141" s="9"/>
      <c r="AC141" s="9"/>
      <c r="AD141" s="9"/>
    </row>
    <row r="142" spans="1:30" ht="18.75" x14ac:dyDescent="0.3">
      <c r="A142" s="42"/>
      <c r="B142" s="42"/>
      <c r="C142" s="74"/>
      <c r="D142" s="74"/>
      <c r="E142" s="70"/>
      <c r="F142" s="70"/>
      <c r="G142" s="70"/>
      <c r="H142" s="70"/>
      <c r="I142" s="70"/>
      <c r="J142" s="77"/>
      <c r="K142" s="77"/>
      <c r="L142" s="9"/>
      <c r="M142" s="42"/>
      <c r="N142" s="42"/>
      <c r="O142" s="9"/>
      <c r="P142" s="9"/>
      <c r="Q142" s="9"/>
      <c r="R142" s="33"/>
      <c r="S142" s="9"/>
      <c r="U142" s="8"/>
      <c r="V142" s="9"/>
      <c r="W142" s="9"/>
      <c r="X142" s="9"/>
      <c r="Y142" s="9"/>
      <c r="Z142" s="9"/>
      <c r="AA142" s="9"/>
      <c r="AB142" s="9"/>
      <c r="AC142" s="9"/>
      <c r="AD142" s="9"/>
    </row>
    <row r="143" spans="1:30" ht="18.75" x14ac:dyDescent="0.3">
      <c r="A143" s="42"/>
      <c r="B143" s="42"/>
      <c r="C143" s="74"/>
      <c r="D143" s="74"/>
      <c r="E143" s="70"/>
      <c r="F143" s="70"/>
      <c r="G143" s="70"/>
      <c r="H143" s="70"/>
      <c r="I143" s="70"/>
      <c r="J143" s="77"/>
      <c r="K143" s="77"/>
      <c r="L143" s="9"/>
      <c r="M143" s="42"/>
      <c r="N143" s="42"/>
      <c r="O143" s="9"/>
      <c r="P143" s="9"/>
      <c r="Q143" s="9"/>
      <c r="R143" s="33"/>
      <c r="S143" s="9"/>
      <c r="U143" s="8"/>
      <c r="V143" s="9"/>
      <c r="W143" s="9"/>
      <c r="X143" s="9"/>
      <c r="Y143" s="9"/>
      <c r="Z143" s="9"/>
      <c r="AA143" s="9"/>
      <c r="AB143" s="9"/>
      <c r="AC143" s="9"/>
      <c r="AD143" s="9"/>
    </row>
    <row r="144" spans="1:30" ht="18.75" x14ac:dyDescent="0.3">
      <c r="A144" s="42"/>
      <c r="B144" s="42"/>
      <c r="C144" s="74"/>
      <c r="D144" s="74"/>
      <c r="E144" s="70"/>
      <c r="F144" s="70"/>
      <c r="G144" s="70"/>
      <c r="H144" s="70"/>
      <c r="I144" s="70"/>
      <c r="J144" s="77"/>
      <c r="K144" s="77"/>
      <c r="L144" s="9"/>
      <c r="M144" s="42"/>
      <c r="N144" s="42"/>
      <c r="O144" s="9"/>
      <c r="P144" s="9"/>
      <c r="Q144" s="9"/>
      <c r="R144" s="33"/>
      <c r="S144" s="9"/>
      <c r="U144" s="8"/>
      <c r="V144" s="9"/>
      <c r="W144" s="9"/>
      <c r="X144" s="9"/>
      <c r="Y144" s="9"/>
      <c r="Z144" s="9"/>
      <c r="AA144" s="9"/>
      <c r="AB144" s="9"/>
      <c r="AC144" s="9"/>
      <c r="AD144" s="9"/>
    </row>
    <row r="145" spans="1:30" ht="18.75" x14ac:dyDescent="0.3">
      <c r="A145" s="42"/>
      <c r="B145" s="42"/>
      <c r="C145" s="74"/>
      <c r="D145" s="74"/>
      <c r="E145" s="70"/>
      <c r="F145" s="70"/>
      <c r="G145" s="70"/>
      <c r="H145" s="70"/>
      <c r="I145" s="70"/>
      <c r="J145" s="77"/>
      <c r="K145" s="77"/>
      <c r="L145" s="9"/>
      <c r="M145" s="42"/>
      <c r="N145" s="42"/>
      <c r="O145" s="9"/>
      <c r="P145" s="9"/>
      <c r="Q145" s="9"/>
      <c r="R145" s="33"/>
      <c r="S145" s="9"/>
      <c r="U145" s="8"/>
      <c r="V145" s="9"/>
      <c r="W145" s="9"/>
      <c r="X145" s="9"/>
      <c r="Y145" s="9"/>
      <c r="Z145" s="9"/>
      <c r="AA145" s="9"/>
      <c r="AB145" s="9"/>
      <c r="AC145" s="9"/>
      <c r="AD145" s="9"/>
    </row>
    <row r="146" spans="1:30" ht="18.75" x14ac:dyDescent="0.3">
      <c r="A146" s="42"/>
      <c r="B146" s="42"/>
      <c r="C146" s="74"/>
      <c r="D146" s="74"/>
      <c r="E146" s="70"/>
      <c r="F146" s="70"/>
      <c r="G146" s="70"/>
      <c r="H146" s="70"/>
      <c r="I146" s="70"/>
      <c r="J146" s="77"/>
      <c r="K146" s="77"/>
      <c r="L146" s="9"/>
      <c r="M146" s="42"/>
      <c r="N146" s="42"/>
      <c r="O146" s="9"/>
      <c r="P146" s="9"/>
      <c r="Q146" s="9"/>
      <c r="R146" s="33"/>
      <c r="S146" s="9"/>
      <c r="U146" s="8"/>
      <c r="V146" s="9"/>
      <c r="W146" s="9"/>
      <c r="X146" s="9"/>
      <c r="Y146" s="9"/>
      <c r="Z146" s="9"/>
      <c r="AA146" s="9"/>
      <c r="AB146" s="9"/>
      <c r="AC146" s="9"/>
      <c r="AD146" s="9"/>
    </row>
    <row r="147" spans="1:30" ht="18.75" x14ac:dyDescent="0.3">
      <c r="A147" s="42"/>
      <c r="B147" s="42"/>
      <c r="C147" s="74"/>
      <c r="D147" s="74"/>
      <c r="E147" s="70"/>
      <c r="F147" s="70"/>
      <c r="G147" s="70"/>
      <c r="H147" s="70"/>
      <c r="I147" s="70"/>
      <c r="J147" s="77"/>
      <c r="K147" s="77"/>
      <c r="L147" s="9"/>
      <c r="M147" s="42"/>
      <c r="N147" s="42"/>
      <c r="O147" s="9"/>
      <c r="P147" s="9"/>
      <c r="Q147" s="9"/>
      <c r="R147" s="33"/>
      <c r="S147" s="9"/>
      <c r="U147" s="8"/>
      <c r="V147" s="9"/>
      <c r="W147" s="9"/>
      <c r="X147" s="9"/>
      <c r="Y147" s="9"/>
      <c r="Z147" s="9"/>
      <c r="AA147" s="9"/>
      <c r="AB147" s="9"/>
      <c r="AC147" s="9"/>
      <c r="AD147" s="9"/>
    </row>
    <row r="148" spans="1:30" ht="18.75" x14ac:dyDescent="0.3">
      <c r="A148" s="42"/>
      <c r="B148" s="42"/>
      <c r="C148" s="74"/>
      <c r="D148" s="74"/>
      <c r="E148" s="70"/>
      <c r="F148" s="70"/>
      <c r="G148" s="70"/>
      <c r="H148" s="70"/>
      <c r="I148" s="70"/>
      <c r="J148" s="77"/>
      <c r="K148" s="77"/>
      <c r="L148" s="9"/>
      <c r="M148" s="42"/>
      <c r="N148" s="42"/>
      <c r="O148" s="9"/>
      <c r="P148" s="9"/>
      <c r="Q148" s="9"/>
      <c r="R148" s="33"/>
      <c r="S148" s="9"/>
      <c r="U148" s="8"/>
      <c r="V148" s="9"/>
      <c r="W148" s="9"/>
      <c r="X148" s="9"/>
      <c r="Y148" s="9"/>
      <c r="Z148" s="9"/>
      <c r="AA148" s="9"/>
      <c r="AB148" s="9"/>
      <c r="AC148" s="9"/>
      <c r="AD148" s="9"/>
    </row>
    <row r="149" spans="1:30" ht="18.75" x14ac:dyDescent="0.3">
      <c r="A149" s="42"/>
      <c r="B149" s="42"/>
      <c r="C149" s="74"/>
      <c r="D149" s="74"/>
      <c r="E149" s="70"/>
      <c r="F149" s="70"/>
      <c r="G149" s="70"/>
      <c r="H149" s="70"/>
      <c r="I149" s="70"/>
      <c r="J149" s="77"/>
      <c r="K149" s="77"/>
      <c r="L149" s="9"/>
      <c r="M149" s="42"/>
      <c r="N149" s="42"/>
      <c r="O149" s="9"/>
      <c r="P149" s="9"/>
      <c r="Q149" s="9"/>
      <c r="R149" s="33"/>
      <c r="S149" s="9"/>
      <c r="U149" s="8"/>
      <c r="V149" s="9"/>
      <c r="W149" s="9"/>
      <c r="X149" s="9"/>
      <c r="Y149" s="9"/>
      <c r="Z149" s="9"/>
      <c r="AA149" s="9"/>
      <c r="AB149" s="9"/>
      <c r="AC149" s="9"/>
      <c r="AD149" s="9"/>
    </row>
    <row r="150" spans="1:30" ht="18.75" x14ac:dyDescent="0.3">
      <c r="A150" s="42"/>
      <c r="B150" s="42"/>
      <c r="C150" s="74"/>
      <c r="D150" s="74"/>
      <c r="E150" s="70"/>
      <c r="F150" s="70"/>
      <c r="G150" s="70"/>
      <c r="H150" s="70"/>
      <c r="I150" s="70"/>
      <c r="J150" s="77"/>
      <c r="K150" s="77"/>
      <c r="L150" s="9"/>
      <c r="M150" s="42"/>
      <c r="N150" s="42"/>
      <c r="O150" s="9"/>
      <c r="P150" s="9"/>
      <c r="Q150" s="9"/>
      <c r="R150" s="33"/>
      <c r="S150" s="9"/>
      <c r="U150" s="8"/>
      <c r="V150" s="9"/>
      <c r="W150" s="9"/>
      <c r="X150" s="9"/>
      <c r="Y150" s="9"/>
      <c r="Z150" s="9"/>
      <c r="AA150" s="9"/>
      <c r="AB150" s="9"/>
      <c r="AC150" s="9"/>
      <c r="AD150" s="9"/>
    </row>
    <row r="151" spans="1:30" ht="18.75" x14ac:dyDescent="0.3">
      <c r="A151" s="42"/>
      <c r="B151" s="42"/>
      <c r="C151" s="74"/>
      <c r="D151" s="74"/>
      <c r="E151" s="70"/>
      <c r="F151" s="70"/>
      <c r="G151" s="70"/>
      <c r="H151" s="70"/>
      <c r="I151" s="70"/>
      <c r="J151" s="77"/>
      <c r="K151" s="77"/>
      <c r="L151" s="9"/>
      <c r="M151" s="42"/>
      <c r="N151" s="42"/>
      <c r="O151" s="9"/>
      <c r="P151" s="9"/>
      <c r="Q151" s="9"/>
      <c r="R151" s="33"/>
      <c r="S151" s="9"/>
      <c r="U151" s="8"/>
      <c r="V151" s="9"/>
      <c r="W151" s="9"/>
      <c r="X151" s="9"/>
      <c r="Y151" s="9"/>
      <c r="Z151" s="9"/>
      <c r="AA151" s="9"/>
      <c r="AB151" s="9"/>
      <c r="AC151" s="9"/>
      <c r="AD151" s="9"/>
    </row>
    <row r="152" spans="1:30" ht="18.75" x14ac:dyDescent="0.3">
      <c r="A152" s="42"/>
      <c r="B152" s="42"/>
      <c r="C152" s="74"/>
      <c r="D152" s="74"/>
      <c r="E152" s="70"/>
      <c r="F152" s="70"/>
      <c r="G152" s="70"/>
      <c r="H152" s="70"/>
      <c r="I152" s="70"/>
      <c r="J152" s="77"/>
      <c r="K152" s="77"/>
      <c r="L152" s="9"/>
      <c r="M152" s="42"/>
      <c r="N152" s="42"/>
      <c r="O152" s="9"/>
      <c r="P152" s="9"/>
      <c r="Q152" s="9"/>
      <c r="R152" s="33"/>
      <c r="S152" s="9"/>
      <c r="U152" s="8"/>
      <c r="V152" s="9"/>
      <c r="W152" s="9"/>
      <c r="X152" s="9"/>
      <c r="Y152" s="9"/>
      <c r="Z152" s="9"/>
      <c r="AA152" s="9"/>
      <c r="AB152" s="9"/>
      <c r="AC152" s="9"/>
      <c r="AD152" s="9"/>
    </row>
    <row r="153" spans="1:30" ht="18.75" x14ac:dyDescent="0.3">
      <c r="A153" s="42"/>
      <c r="B153" s="42"/>
      <c r="C153" s="74"/>
      <c r="D153" s="74"/>
      <c r="E153" s="70"/>
      <c r="F153" s="70"/>
      <c r="G153" s="70"/>
      <c r="H153" s="70"/>
      <c r="I153" s="70"/>
      <c r="J153" s="77"/>
      <c r="K153" s="77"/>
      <c r="L153" s="9"/>
      <c r="M153" s="42"/>
      <c r="N153" s="42"/>
      <c r="O153" s="9"/>
      <c r="P153" s="9"/>
      <c r="Q153" s="9"/>
      <c r="R153" s="33"/>
      <c r="S153" s="9"/>
      <c r="U153" s="8"/>
      <c r="V153" s="9"/>
      <c r="W153" s="9"/>
      <c r="X153" s="9"/>
      <c r="Y153" s="9"/>
      <c r="Z153" s="9"/>
      <c r="AA153" s="9"/>
      <c r="AB153" s="9"/>
      <c r="AC153" s="9"/>
      <c r="AD153" s="9"/>
    </row>
    <row r="154" spans="1:30" ht="18.75" x14ac:dyDescent="0.3">
      <c r="A154" s="42"/>
      <c r="B154" s="42"/>
      <c r="C154" s="74"/>
      <c r="D154" s="74"/>
      <c r="E154" s="70"/>
      <c r="F154" s="70"/>
      <c r="G154" s="70"/>
      <c r="H154" s="70"/>
      <c r="I154" s="70"/>
      <c r="J154" s="77"/>
      <c r="K154" s="77"/>
      <c r="L154" s="9"/>
      <c r="M154" s="42"/>
      <c r="N154" s="42"/>
      <c r="O154" s="9"/>
      <c r="P154" s="9"/>
      <c r="Q154" s="9"/>
      <c r="R154" s="33"/>
      <c r="S154" s="9"/>
      <c r="U154" s="8"/>
      <c r="V154" s="9"/>
      <c r="W154" s="9"/>
      <c r="X154" s="9"/>
      <c r="Y154" s="9"/>
      <c r="Z154" s="9"/>
      <c r="AA154" s="9"/>
      <c r="AB154" s="9"/>
      <c r="AC154" s="9"/>
      <c r="AD154" s="9"/>
    </row>
    <row r="155" spans="1:30" ht="18.75" x14ac:dyDescent="0.3">
      <c r="A155" s="42"/>
      <c r="B155" s="42"/>
      <c r="C155" s="74"/>
      <c r="D155" s="74"/>
      <c r="E155" s="70"/>
      <c r="F155" s="70"/>
      <c r="G155" s="70"/>
      <c r="H155" s="70"/>
      <c r="I155" s="70"/>
      <c r="J155" s="77"/>
      <c r="K155" s="77"/>
      <c r="L155" s="9"/>
      <c r="M155" s="42"/>
      <c r="N155" s="42"/>
      <c r="O155" s="9"/>
      <c r="P155" s="9"/>
      <c r="Q155" s="9"/>
      <c r="R155" s="33"/>
      <c r="S155" s="9"/>
      <c r="U155" s="8"/>
      <c r="V155" s="9"/>
      <c r="W155" s="9"/>
      <c r="X155" s="9"/>
      <c r="Y155" s="9"/>
      <c r="Z155" s="9"/>
      <c r="AA155" s="9"/>
      <c r="AB155" s="9"/>
      <c r="AC155" s="9"/>
      <c r="AD155" s="9"/>
    </row>
    <row r="156" spans="1:30" ht="18.75" x14ac:dyDescent="0.3">
      <c r="A156" s="42"/>
      <c r="B156" s="42"/>
      <c r="C156" s="74"/>
      <c r="D156" s="74"/>
      <c r="E156" s="70"/>
      <c r="F156" s="70"/>
      <c r="G156" s="70"/>
      <c r="H156" s="70"/>
      <c r="I156" s="70"/>
      <c r="J156" s="77"/>
      <c r="K156" s="77"/>
      <c r="L156" s="9"/>
      <c r="M156" s="42"/>
      <c r="N156" s="42"/>
      <c r="O156" s="9"/>
      <c r="P156" s="9"/>
      <c r="Q156" s="9"/>
      <c r="R156" s="33"/>
      <c r="S156" s="9"/>
      <c r="U156" s="8"/>
      <c r="V156" s="9"/>
      <c r="W156" s="9"/>
      <c r="X156" s="9"/>
      <c r="Y156" s="9"/>
      <c r="Z156" s="9"/>
      <c r="AA156" s="9"/>
      <c r="AB156" s="9"/>
      <c r="AC156" s="9"/>
      <c r="AD156" s="9"/>
    </row>
    <row r="157" spans="1:30" ht="18.75" x14ac:dyDescent="0.3">
      <c r="A157" s="42"/>
      <c r="B157" s="42"/>
      <c r="C157" s="74"/>
      <c r="D157" s="74"/>
      <c r="E157" s="70"/>
      <c r="F157" s="70"/>
      <c r="G157" s="70"/>
      <c r="H157" s="70"/>
      <c r="I157" s="70"/>
      <c r="J157" s="77"/>
      <c r="K157" s="77"/>
      <c r="L157" s="9"/>
      <c r="M157" s="42"/>
      <c r="N157" s="42"/>
      <c r="O157" s="9"/>
      <c r="P157" s="9"/>
      <c r="Q157" s="9"/>
      <c r="R157" s="33"/>
      <c r="S157" s="9"/>
      <c r="U157" s="8"/>
      <c r="V157" s="9"/>
      <c r="W157" s="9"/>
      <c r="X157" s="9"/>
      <c r="Y157" s="9"/>
      <c r="Z157" s="9"/>
      <c r="AA157" s="9"/>
      <c r="AB157" s="9"/>
      <c r="AC157" s="9"/>
      <c r="AD157" s="9"/>
    </row>
    <row r="158" spans="1:30" ht="18.75" x14ac:dyDescent="0.3">
      <c r="A158" s="42"/>
      <c r="B158" s="42"/>
      <c r="C158" s="74"/>
      <c r="D158" s="74"/>
      <c r="E158" s="70"/>
      <c r="F158" s="70"/>
      <c r="G158" s="70"/>
      <c r="H158" s="70"/>
      <c r="I158" s="70"/>
      <c r="J158" s="77"/>
      <c r="K158" s="77"/>
      <c r="L158" s="9"/>
      <c r="M158" s="42"/>
      <c r="N158" s="42"/>
      <c r="O158" s="9"/>
      <c r="P158" s="9"/>
      <c r="Q158" s="9"/>
      <c r="R158" s="33"/>
      <c r="S158" s="9"/>
      <c r="U158" s="8"/>
      <c r="V158" s="9"/>
      <c r="W158" s="9"/>
      <c r="X158" s="9"/>
      <c r="Y158" s="9"/>
      <c r="Z158" s="9"/>
      <c r="AA158" s="9"/>
      <c r="AB158" s="9"/>
      <c r="AC158" s="9"/>
      <c r="AD158" s="9"/>
    </row>
    <row r="159" spans="1:30" ht="18.75" x14ac:dyDescent="0.3">
      <c r="A159" s="42"/>
      <c r="B159" s="42"/>
      <c r="C159" s="74"/>
      <c r="D159" s="74"/>
      <c r="E159" s="70"/>
      <c r="F159" s="70"/>
      <c r="G159" s="70"/>
      <c r="H159" s="70"/>
      <c r="I159" s="70"/>
      <c r="J159" s="77"/>
      <c r="K159" s="77"/>
      <c r="L159" s="9"/>
      <c r="M159" s="42"/>
      <c r="N159" s="42"/>
      <c r="O159" s="9"/>
      <c r="P159" s="9"/>
      <c r="Q159" s="9"/>
      <c r="R159" s="33"/>
      <c r="S159" s="9"/>
      <c r="U159" s="8"/>
      <c r="V159" s="9"/>
      <c r="W159" s="9"/>
      <c r="X159" s="9"/>
      <c r="Y159" s="9"/>
      <c r="Z159" s="9"/>
      <c r="AA159" s="9"/>
      <c r="AB159" s="9"/>
      <c r="AC159" s="9"/>
      <c r="AD159" s="9"/>
    </row>
    <row r="160" spans="1:30" ht="18.75" x14ac:dyDescent="0.3">
      <c r="A160" s="42"/>
      <c r="B160" s="42"/>
      <c r="C160" s="74"/>
      <c r="D160" s="74"/>
      <c r="E160" s="70"/>
      <c r="F160" s="70"/>
      <c r="G160" s="70"/>
      <c r="H160" s="70"/>
      <c r="I160" s="70"/>
      <c r="J160" s="77"/>
      <c r="K160" s="77"/>
      <c r="L160" s="9"/>
      <c r="M160" s="42"/>
      <c r="N160" s="42"/>
      <c r="O160" s="9"/>
      <c r="P160" s="9"/>
      <c r="Q160" s="9"/>
      <c r="R160" s="33"/>
      <c r="S160" s="9"/>
      <c r="U160" s="8"/>
      <c r="V160" s="9"/>
      <c r="W160" s="9"/>
      <c r="X160" s="9"/>
      <c r="Y160" s="9"/>
      <c r="Z160" s="9"/>
      <c r="AA160" s="9"/>
      <c r="AB160" s="9"/>
      <c r="AC160" s="9"/>
      <c r="AD160" s="9"/>
    </row>
    <row r="161" spans="1:30" ht="18.75" x14ac:dyDescent="0.3">
      <c r="A161" s="42"/>
      <c r="B161" s="42"/>
      <c r="C161" s="74"/>
      <c r="D161" s="74"/>
      <c r="E161" s="70"/>
      <c r="F161" s="70"/>
      <c r="G161" s="70"/>
      <c r="H161" s="70"/>
      <c r="I161" s="70"/>
      <c r="J161" s="77"/>
      <c r="K161" s="77"/>
      <c r="L161" s="9"/>
      <c r="M161" s="42"/>
      <c r="N161" s="42"/>
      <c r="O161" s="9"/>
      <c r="P161" s="9"/>
      <c r="Q161" s="9"/>
      <c r="R161" s="33"/>
      <c r="S161" s="9"/>
      <c r="U161" s="8"/>
      <c r="V161" s="9"/>
      <c r="W161" s="9"/>
      <c r="X161" s="9"/>
      <c r="Y161" s="9"/>
      <c r="Z161" s="9"/>
      <c r="AA161" s="9"/>
      <c r="AB161" s="9"/>
      <c r="AC161" s="9"/>
      <c r="AD161" s="9"/>
    </row>
    <row r="162" spans="1:30" ht="18.75" x14ac:dyDescent="0.3">
      <c r="A162" s="42"/>
      <c r="B162" s="42"/>
      <c r="C162" s="74"/>
      <c r="D162" s="74"/>
      <c r="E162" s="70"/>
      <c r="F162" s="70"/>
      <c r="G162" s="70"/>
      <c r="H162" s="70"/>
      <c r="I162" s="70"/>
      <c r="J162" s="77"/>
      <c r="K162" s="77"/>
      <c r="L162" s="9"/>
      <c r="M162" s="42"/>
      <c r="N162" s="42"/>
      <c r="O162" s="9"/>
      <c r="P162" s="9"/>
      <c r="Q162" s="9"/>
      <c r="R162" s="33"/>
      <c r="S162" s="9"/>
      <c r="U162" s="8"/>
      <c r="V162" s="9"/>
      <c r="W162" s="9"/>
      <c r="X162" s="9"/>
      <c r="Y162" s="9"/>
      <c r="Z162" s="9"/>
      <c r="AA162" s="9"/>
      <c r="AB162" s="9"/>
      <c r="AC162" s="9"/>
      <c r="AD162" s="9"/>
    </row>
    <row r="163" spans="1:30" ht="18.75" x14ac:dyDescent="0.3">
      <c r="A163" s="42"/>
      <c r="B163" s="42"/>
      <c r="C163" s="74"/>
      <c r="D163" s="74"/>
      <c r="E163" s="70"/>
      <c r="F163" s="70"/>
      <c r="G163" s="70"/>
      <c r="H163" s="70"/>
      <c r="I163" s="70"/>
      <c r="J163" s="77"/>
      <c r="K163" s="77"/>
      <c r="L163" s="9"/>
      <c r="M163" s="42"/>
      <c r="N163" s="42"/>
      <c r="O163" s="9"/>
      <c r="P163" s="9"/>
      <c r="Q163" s="9"/>
      <c r="R163" s="33"/>
      <c r="S163" s="9"/>
      <c r="U163" s="8"/>
      <c r="V163" s="9"/>
      <c r="W163" s="9"/>
      <c r="X163" s="9"/>
      <c r="Y163" s="9"/>
      <c r="Z163" s="9"/>
      <c r="AA163" s="9"/>
      <c r="AB163" s="9"/>
      <c r="AC163" s="9"/>
      <c r="AD163" s="9"/>
    </row>
    <row r="164" spans="1:30" ht="18.75" x14ac:dyDescent="0.3">
      <c r="A164" s="42"/>
      <c r="B164" s="42"/>
      <c r="C164" s="74"/>
      <c r="D164" s="74"/>
      <c r="E164" s="70"/>
      <c r="F164" s="70"/>
      <c r="G164" s="70"/>
      <c r="H164" s="70"/>
      <c r="I164" s="70"/>
      <c r="J164" s="77"/>
      <c r="K164" s="77"/>
      <c r="L164" s="9"/>
      <c r="M164" s="42"/>
      <c r="N164" s="42"/>
      <c r="O164" s="9"/>
      <c r="P164" s="9"/>
      <c r="Q164" s="9"/>
      <c r="R164" s="33"/>
      <c r="S164" s="9"/>
      <c r="U164" s="8"/>
      <c r="V164" s="9"/>
      <c r="W164" s="9"/>
      <c r="X164" s="9"/>
      <c r="Y164" s="9"/>
      <c r="Z164" s="9"/>
      <c r="AA164" s="9"/>
      <c r="AB164" s="9"/>
      <c r="AC164" s="9"/>
      <c r="AD164" s="9"/>
    </row>
    <row r="165" spans="1:30" ht="18.75" x14ac:dyDescent="0.3">
      <c r="A165" s="42"/>
      <c r="B165" s="42"/>
      <c r="C165" s="74"/>
      <c r="D165" s="74"/>
      <c r="E165" s="70"/>
      <c r="F165" s="70"/>
      <c r="G165" s="70"/>
      <c r="H165" s="70"/>
      <c r="I165" s="70"/>
      <c r="J165" s="77"/>
      <c r="K165" s="77"/>
      <c r="L165" s="9"/>
      <c r="M165" s="42"/>
      <c r="N165" s="42"/>
      <c r="O165" s="9"/>
      <c r="P165" s="9"/>
      <c r="Q165" s="9"/>
      <c r="R165" s="33"/>
      <c r="S165" s="9"/>
      <c r="U165" s="8"/>
      <c r="V165" s="9"/>
      <c r="W165" s="9"/>
      <c r="X165" s="9"/>
      <c r="Y165" s="9"/>
      <c r="Z165" s="9"/>
      <c r="AA165" s="9"/>
      <c r="AB165" s="9"/>
      <c r="AC165" s="9"/>
      <c r="AD165" s="9"/>
    </row>
    <row r="166" spans="1:30" ht="18.75" x14ac:dyDescent="0.3">
      <c r="A166" s="42"/>
      <c r="B166" s="42"/>
      <c r="C166" s="74"/>
      <c r="D166" s="74"/>
      <c r="E166" s="70"/>
      <c r="F166" s="70"/>
      <c r="G166" s="70"/>
      <c r="H166" s="70"/>
      <c r="I166" s="70"/>
      <c r="J166" s="77"/>
      <c r="K166" s="77"/>
      <c r="L166" s="9"/>
      <c r="M166" s="42"/>
      <c r="N166" s="42"/>
      <c r="O166" s="9"/>
      <c r="P166" s="9"/>
      <c r="Q166" s="9"/>
      <c r="R166" s="33"/>
      <c r="S166" s="9"/>
      <c r="U166" s="8"/>
      <c r="V166" s="9"/>
      <c r="W166" s="9"/>
      <c r="X166" s="9"/>
      <c r="Y166" s="9"/>
      <c r="Z166" s="9"/>
      <c r="AA166" s="9"/>
      <c r="AB166" s="9"/>
      <c r="AC166" s="9"/>
      <c r="AD166" s="9"/>
    </row>
    <row r="167" spans="1:30" ht="18.75" x14ac:dyDescent="0.3">
      <c r="A167" s="42"/>
      <c r="B167" s="42"/>
      <c r="C167" s="74"/>
      <c r="D167" s="74"/>
      <c r="E167" s="70"/>
      <c r="F167" s="70"/>
      <c r="G167" s="70"/>
      <c r="H167" s="70"/>
      <c r="I167" s="70"/>
      <c r="J167" s="77"/>
      <c r="K167" s="77"/>
      <c r="L167" s="9"/>
      <c r="M167" s="42"/>
      <c r="N167" s="42"/>
      <c r="O167" s="9"/>
      <c r="P167" s="9"/>
      <c r="Q167" s="9"/>
      <c r="R167" s="33"/>
      <c r="S167" s="9"/>
      <c r="U167" s="8"/>
      <c r="V167" s="9"/>
      <c r="W167" s="9"/>
      <c r="X167" s="9"/>
      <c r="Y167" s="9"/>
      <c r="Z167" s="9"/>
      <c r="AA167" s="9"/>
      <c r="AB167" s="9"/>
      <c r="AC167" s="9"/>
      <c r="AD167" s="9"/>
    </row>
    <row r="168" spans="1:30" ht="18.75" x14ac:dyDescent="0.3">
      <c r="A168" s="42"/>
      <c r="B168" s="42"/>
      <c r="C168" s="74"/>
      <c r="D168" s="74"/>
      <c r="E168" s="70"/>
      <c r="F168" s="70"/>
      <c r="G168" s="70"/>
      <c r="H168" s="70"/>
      <c r="I168" s="70"/>
      <c r="J168" s="77"/>
      <c r="K168" s="77"/>
      <c r="L168" s="9"/>
      <c r="M168" s="42"/>
      <c r="N168" s="42"/>
      <c r="O168" s="9"/>
      <c r="P168" s="9"/>
      <c r="Q168" s="9"/>
      <c r="R168" s="33"/>
      <c r="S168" s="9"/>
      <c r="U168" s="8"/>
      <c r="V168" s="9"/>
      <c r="W168" s="9"/>
      <c r="X168" s="9"/>
      <c r="Y168" s="9"/>
      <c r="Z168" s="9"/>
      <c r="AA168" s="9"/>
      <c r="AB168" s="9"/>
      <c r="AC168" s="9"/>
      <c r="AD168" s="9"/>
    </row>
    <row r="169" spans="1:30" ht="18.75" x14ac:dyDescent="0.3">
      <c r="A169" s="42"/>
      <c r="B169" s="42"/>
      <c r="C169" s="74"/>
      <c r="D169" s="74"/>
      <c r="E169" s="70"/>
      <c r="F169" s="70"/>
      <c r="G169" s="70"/>
      <c r="H169" s="70"/>
      <c r="I169" s="70"/>
      <c r="J169" s="77"/>
      <c r="K169" s="77"/>
      <c r="L169" s="9"/>
      <c r="M169" s="42"/>
      <c r="N169" s="42"/>
      <c r="O169" s="9"/>
      <c r="P169" s="9"/>
      <c r="Q169" s="9"/>
      <c r="R169" s="33"/>
      <c r="S169" s="9"/>
      <c r="U169" s="8"/>
      <c r="V169" s="9"/>
      <c r="W169" s="9"/>
      <c r="X169" s="9"/>
      <c r="Y169" s="9"/>
      <c r="Z169" s="9"/>
      <c r="AA169" s="9"/>
      <c r="AB169" s="9"/>
      <c r="AC169" s="9"/>
      <c r="AD169" s="9"/>
    </row>
    <row r="170" spans="1:30" ht="18.75" x14ac:dyDescent="0.3">
      <c r="A170" s="42"/>
      <c r="B170" s="42"/>
      <c r="C170" s="74"/>
      <c r="D170" s="74"/>
      <c r="E170" s="70"/>
      <c r="F170" s="70"/>
      <c r="G170" s="70"/>
      <c r="H170" s="70"/>
      <c r="I170" s="70"/>
      <c r="J170" s="77"/>
      <c r="K170" s="77"/>
      <c r="L170" s="9"/>
      <c r="M170" s="42"/>
      <c r="N170" s="42"/>
      <c r="O170" s="9"/>
      <c r="P170" s="9"/>
      <c r="Q170" s="9"/>
      <c r="R170" s="33"/>
      <c r="S170" s="9"/>
      <c r="U170" s="8"/>
      <c r="V170" s="9"/>
      <c r="W170" s="9"/>
      <c r="X170" s="9"/>
      <c r="Y170" s="9"/>
      <c r="Z170" s="9"/>
      <c r="AA170" s="9"/>
      <c r="AB170" s="9"/>
      <c r="AC170" s="9"/>
      <c r="AD170" s="9"/>
    </row>
    <row r="171" spans="1:30" ht="18.75" x14ac:dyDescent="0.3">
      <c r="A171" s="42"/>
      <c r="B171" s="42"/>
      <c r="C171" s="74"/>
      <c r="D171" s="74"/>
      <c r="E171" s="70"/>
      <c r="F171" s="70"/>
      <c r="G171" s="70"/>
      <c r="H171" s="70"/>
      <c r="I171" s="70"/>
      <c r="J171" s="77"/>
      <c r="K171" s="77"/>
      <c r="L171" s="9"/>
      <c r="M171" s="42"/>
      <c r="N171" s="42"/>
      <c r="O171" s="9"/>
      <c r="P171" s="9"/>
      <c r="Q171" s="9"/>
      <c r="R171" s="33"/>
      <c r="S171" s="9"/>
      <c r="U171" s="8"/>
      <c r="V171" s="9"/>
      <c r="W171" s="9"/>
      <c r="X171" s="9"/>
      <c r="Y171" s="9"/>
      <c r="Z171" s="9"/>
      <c r="AA171" s="9"/>
      <c r="AB171" s="9"/>
      <c r="AC171" s="9"/>
      <c r="AD171" s="9"/>
    </row>
    <row r="172" spans="1:30" ht="18.75" x14ac:dyDescent="0.3">
      <c r="A172" s="42"/>
      <c r="B172" s="42"/>
      <c r="C172" s="74"/>
      <c r="D172" s="74"/>
      <c r="E172" s="70"/>
      <c r="F172" s="70"/>
      <c r="G172" s="70"/>
      <c r="H172" s="70"/>
      <c r="I172" s="70"/>
      <c r="J172" s="77"/>
      <c r="K172" s="77"/>
      <c r="L172" s="9"/>
      <c r="M172" s="42"/>
      <c r="N172" s="42"/>
      <c r="O172" s="9"/>
      <c r="P172" s="9"/>
      <c r="Q172" s="9"/>
      <c r="R172" s="33"/>
      <c r="S172" s="9"/>
      <c r="U172" s="8"/>
      <c r="V172" s="9"/>
      <c r="W172" s="9"/>
      <c r="X172" s="9"/>
      <c r="Y172" s="9"/>
      <c r="Z172" s="9"/>
      <c r="AA172" s="9"/>
      <c r="AB172" s="9"/>
      <c r="AC172" s="9"/>
      <c r="AD172" s="9"/>
    </row>
    <row r="173" spans="1:30" ht="18.75" x14ac:dyDescent="0.3">
      <c r="A173" s="42"/>
      <c r="B173" s="42"/>
      <c r="C173" s="74"/>
      <c r="D173" s="74"/>
      <c r="E173" s="70"/>
      <c r="F173" s="70"/>
      <c r="G173" s="70"/>
      <c r="H173" s="70"/>
      <c r="I173" s="70"/>
      <c r="J173" s="77"/>
      <c r="K173" s="77"/>
      <c r="L173" s="9"/>
      <c r="M173" s="42"/>
      <c r="N173" s="42"/>
      <c r="O173" s="9"/>
      <c r="P173" s="9"/>
      <c r="Q173" s="9"/>
      <c r="R173" s="33"/>
      <c r="S173" s="9"/>
      <c r="U173" s="8"/>
      <c r="V173" s="9"/>
      <c r="W173" s="9"/>
      <c r="X173" s="9"/>
      <c r="Y173" s="9"/>
      <c r="Z173" s="9"/>
      <c r="AA173" s="9"/>
      <c r="AB173" s="9"/>
      <c r="AC173" s="9"/>
      <c r="AD173" s="9"/>
    </row>
    <row r="174" spans="1:30" ht="18.75" x14ac:dyDescent="0.3">
      <c r="A174" s="42"/>
      <c r="B174" s="42"/>
      <c r="C174" s="74"/>
      <c r="D174" s="74"/>
      <c r="E174" s="70"/>
      <c r="F174" s="70"/>
      <c r="G174" s="70"/>
      <c r="H174" s="70"/>
      <c r="I174" s="70"/>
      <c r="J174" s="77"/>
      <c r="K174" s="77"/>
      <c r="L174" s="9"/>
      <c r="M174" s="42"/>
      <c r="N174" s="42"/>
      <c r="O174" s="9"/>
      <c r="P174" s="9"/>
      <c r="Q174" s="9"/>
      <c r="R174" s="33"/>
      <c r="S174" s="9"/>
      <c r="U174" s="8"/>
      <c r="V174" s="9"/>
      <c r="W174" s="9"/>
      <c r="X174" s="9"/>
      <c r="Y174" s="9"/>
      <c r="Z174" s="9"/>
      <c r="AA174" s="9"/>
      <c r="AB174" s="9"/>
      <c r="AC174" s="9"/>
      <c r="AD174" s="9"/>
    </row>
    <row r="175" spans="1:30" ht="18.75" x14ac:dyDescent="0.3">
      <c r="A175" s="42"/>
      <c r="B175" s="42"/>
      <c r="C175" s="74"/>
      <c r="D175" s="74"/>
      <c r="E175" s="70"/>
      <c r="F175" s="70"/>
      <c r="G175" s="70"/>
      <c r="H175" s="70"/>
      <c r="I175" s="70"/>
      <c r="J175" s="77"/>
      <c r="K175" s="77"/>
      <c r="L175" s="9"/>
      <c r="M175" s="42"/>
      <c r="N175" s="42"/>
      <c r="O175" s="9"/>
      <c r="P175" s="9"/>
      <c r="Q175" s="9"/>
      <c r="R175" s="33"/>
      <c r="S175" s="9"/>
      <c r="U175" s="8"/>
      <c r="V175" s="9"/>
      <c r="W175" s="9"/>
      <c r="X175" s="9"/>
      <c r="Y175" s="9"/>
      <c r="Z175" s="9"/>
      <c r="AA175" s="9"/>
      <c r="AB175" s="9"/>
      <c r="AC175" s="9"/>
      <c r="AD175" s="9"/>
    </row>
    <row r="176" spans="1:30" ht="18.75" x14ac:dyDescent="0.3">
      <c r="A176" s="42"/>
      <c r="B176" s="42"/>
      <c r="C176" s="74"/>
      <c r="D176" s="74"/>
      <c r="E176" s="70"/>
      <c r="F176" s="70"/>
      <c r="G176" s="70"/>
      <c r="H176" s="70"/>
      <c r="I176" s="70"/>
      <c r="J176" s="77"/>
      <c r="K176" s="77"/>
      <c r="L176" s="9"/>
      <c r="M176" s="42"/>
      <c r="N176" s="42"/>
      <c r="O176" s="9"/>
      <c r="P176" s="9"/>
      <c r="Q176" s="9"/>
      <c r="R176" s="33"/>
      <c r="S176" s="9"/>
      <c r="U176" s="8"/>
      <c r="V176" s="9"/>
      <c r="W176" s="9"/>
      <c r="X176" s="9"/>
      <c r="Y176" s="9"/>
      <c r="Z176" s="9"/>
      <c r="AA176" s="9"/>
      <c r="AB176" s="9"/>
      <c r="AC176" s="9"/>
      <c r="AD176" s="9"/>
    </row>
    <row r="177" spans="1:30" ht="18.75" x14ac:dyDescent="0.3">
      <c r="A177" s="42"/>
      <c r="B177" s="42"/>
      <c r="C177" s="74"/>
      <c r="D177" s="74"/>
      <c r="E177" s="70"/>
      <c r="F177" s="70"/>
      <c r="G177" s="70"/>
      <c r="H177" s="70"/>
      <c r="I177" s="70"/>
      <c r="J177" s="77"/>
      <c r="K177" s="77"/>
      <c r="L177" s="9"/>
      <c r="M177" s="42"/>
      <c r="N177" s="42"/>
      <c r="O177" s="9"/>
      <c r="P177" s="9"/>
      <c r="Q177" s="9"/>
      <c r="R177" s="33"/>
      <c r="S177" s="9"/>
      <c r="U177" s="8"/>
      <c r="V177" s="9"/>
      <c r="W177" s="9"/>
      <c r="X177" s="9"/>
      <c r="Y177" s="9"/>
      <c r="Z177" s="9"/>
      <c r="AA177" s="9"/>
      <c r="AB177" s="9"/>
      <c r="AC177" s="9"/>
      <c r="AD177" s="9"/>
    </row>
    <row r="178" spans="1:30" ht="18.75" x14ac:dyDescent="0.3">
      <c r="A178" s="42"/>
      <c r="B178" s="42"/>
      <c r="C178" s="74"/>
      <c r="D178" s="74"/>
      <c r="E178" s="70"/>
      <c r="F178" s="70"/>
      <c r="G178" s="70"/>
      <c r="H178" s="70"/>
      <c r="I178" s="70"/>
      <c r="J178" s="77"/>
      <c r="K178" s="77"/>
      <c r="L178" s="9"/>
      <c r="M178" s="42"/>
      <c r="N178" s="42"/>
      <c r="O178" s="9"/>
      <c r="P178" s="9"/>
      <c r="Q178" s="9"/>
      <c r="R178" s="33"/>
      <c r="S178" s="9"/>
      <c r="U178" s="8"/>
      <c r="V178" s="9"/>
      <c r="W178" s="9"/>
      <c r="X178" s="9"/>
      <c r="Y178" s="9"/>
      <c r="Z178" s="9"/>
      <c r="AA178" s="9"/>
      <c r="AB178" s="9"/>
      <c r="AC178" s="9"/>
      <c r="AD178" s="9"/>
    </row>
    <row r="179" spans="1:30" ht="18.75" x14ac:dyDescent="0.3">
      <c r="A179" s="42"/>
      <c r="B179" s="42"/>
      <c r="C179" s="74"/>
      <c r="D179" s="74"/>
      <c r="E179" s="70"/>
      <c r="F179" s="70"/>
      <c r="G179" s="70"/>
      <c r="H179" s="70"/>
      <c r="I179" s="70"/>
      <c r="J179" s="77"/>
      <c r="K179" s="77"/>
      <c r="L179" s="9"/>
      <c r="M179" s="42"/>
      <c r="N179" s="42"/>
      <c r="O179" s="9"/>
      <c r="P179" s="9"/>
      <c r="Q179" s="9"/>
      <c r="R179" s="33"/>
      <c r="S179" s="9"/>
      <c r="U179" s="8"/>
      <c r="V179" s="9"/>
      <c r="W179" s="9"/>
      <c r="X179" s="9"/>
      <c r="Y179" s="9"/>
      <c r="Z179" s="9"/>
      <c r="AA179" s="9"/>
      <c r="AB179" s="9"/>
      <c r="AC179" s="9"/>
      <c r="AD179" s="9"/>
    </row>
    <row r="180" spans="1:30" ht="18.75" x14ac:dyDescent="0.3">
      <c r="A180" s="42"/>
      <c r="B180" s="42"/>
      <c r="C180" s="74"/>
      <c r="D180" s="74"/>
      <c r="E180" s="70"/>
      <c r="F180" s="70"/>
      <c r="G180" s="70"/>
      <c r="H180" s="70"/>
      <c r="I180" s="70"/>
      <c r="J180" s="77"/>
      <c r="K180" s="77"/>
      <c r="L180" s="9"/>
      <c r="M180" s="42"/>
      <c r="N180" s="42"/>
      <c r="O180" s="9"/>
      <c r="P180" s="9"/>
      <c r="Q180" s="9"/>
      <c r="R180" s="33"/>
      <c r="S180" s="9"/>
      <c r="U180" s="8"/>
      <c r="V180" s="9"/>
      <c r="W180" s="9"/>
      <c r="X180" s="9"/>
      <c r="Y180" s="9"/>
      <c r="Z180" s="9"/>
      <c r="AA180" s="9"/>
      <c r="AB180" s="9"/>
      <c r="AC180" s="9"/>
      <c r="AD180" s="9"/>
    </row>
    <row r="181" spans="1:30" ht="18.75" x14ac:dyDescent="0.3">
      <c r="A181" s="42"/>
      <c r="B181" s="42"/>
      <c r="C181" s="74"/>
      <c r="D181" s="74"/>
      <c r="E181" s="70"/>
      <c r="F181" s="70"/>
      <c r="G181" s="70"/>
      <c r="H181" s="70"/>
      <c r="I181" s="70"/>
      <c r="J181" s="77"/>
      <c r="K181" s="77"/>
      <c r="L181" s="9"/>
      <c r="M181" s="42"/>
      <c r="N181" s="42"/>
      <c r="O181" s="9"/>
      <c r="P181" s="9"/>
      <c r="Q181" s="9"/>
      <c r="R181" s="33"/>
      <c r="S181" s="9"/>
      <c r="U181" s="8"/>
      <c r="V181" s="9"/>
      <c r="W181" s="9"/>
      <c r="X181" s="9"/>
      <c r="Y181" s="9"/>
      <c r="Z181" s="9"/>
      <c r="AA181" s="9"/>
      <c r="AB181" s="9"/>
      <c r="AC181" s="9"/>
      <c r="AD181" s="9"/>
    </row>
    <row r="182" spans="1:30" ht="18.75" x14ac:dyDescent="0.3">
      <c r="A182" s="42"/>
      <c r="B182" s="42"/>
      <c r="C182" s="74"/>
      <c r="D182" s="74"/>
      <c r="E182" s="70"/>
      <c r="F182" s="70"/>
      <c r="G182" s="70"/>
      <c r="H182" s="70"/>
      <c r="I182" s="70"/>
      <c r="J182" s="77"/>
      <c r="K182" s="77"/>
      <c r="L182" s="9"/>
      <c r="M182" s="42"/>
      <c r="N182" s="42"/>
      <c r="O182" s="9"/>
      <c r="P182" s="9"/>
      <c r="Q182" s="9"/>
      <c r="R182" s="33"/>
      <c r="S182" s="9"/>
      <c r="U182" s="8"/>
      <c r="V182" s="9"/>
      <c r="W182" s="9"/>
      <c r="X182" s="9"/>
      <c r="Y182" s="9"/>
      <c r="Z182" s="9"/>
      <c r="AA182" s="9"/>
      <c r="AB182" s="9"/>
      <c r="AC182" s="9"/>
      <c r="AD182" s="9"/>
    </row>
    <row r="183" spans="1:30" ht="18.75" x14ac:dyDescent="0.3">
      <c r="A183" s="42"/>
      <c r="B183" s="42"/>
      <c r="C183" s="74"/>
      <c r="D183" s="74"/>
      <c r="E183" s="70"/>
      <c r="F183" s="70"/>
      <c r="G183" s="70"/>
      <c r="H183" s="70"/>
      <c r="I183" s="70"/>
      <c r="J183" s="77"/>
      <c r="K183" s="77"/>
      <c r="L183" s="9"/>
      <c r="M183" s="42"/>
      <c r="N183" s="42"/>
      <c r="O183" s="9"/>
      <c r="P183" s="9"/>
      <c r="Q183" s="9"/>
      <c r="R183" s="33"/>
      <c r="S183" s="9"/>
      <c r="U183" s="8"/>
      <c r="V183" s="9"/>
      <c r="W183" s="9"/>
      <c r="X183" s="9"/>
      <c r="Y183" s="9"/>
      <c r="Z183" s="9"/>
      <c r="AA183" s="9"/>
      <c r="AB183" s="9"/>
      <c r="AC183" s="9"/>
      <c r="AD183" s="9"/>
    </row>
    <row r="184" spans="1:30" ht="18.75" x14ac:dyDescent="0.3">
      <c r="A184" s="42"/>
      <c r="B184" s="42"/>
      <c r="C184" s="74"/>
      <c r="D184" s="74"/>
      <c r="E184" s="70"/>
      <c r="F184" s="70"/>
      <c r="G184" s="70"/>
      <c r="H184" s="70"/>
      <c r="I184" s="70"/>
      <c r="J184" s="77"/>
      <c r="K184" s="77"/>
      <c r="L184" s="9"/>
      <c r="M184" s="42"/>
      <c r="N184" s="42"/>
      <c r="O184" s="9"/>
      <c r="P184" s="9"/>
      <c r="Q184" s="9"/>
      <c r="R184" s="33"/>
      <c r="S184" s="9"/>
      <c r="U184" s="8"/>
      <c r="V184" s="9"/>
      <c r="W184" s="9"/>
      <c r="X184" s="9"/>
      <c r="Y184" s="9"/>
      <c r="Z184" s="9"/>
      <c r="AA184" s="9"/>
      <c r="AB184" s="9"/>
      <c r="AC184" s="9"/>
      <c r="AD184" s="9"/>
    </row>
    <row r="185" spans="1:30" ht="18.75" x14ac:dyDescent="0.3">
      <c r="A185" s="42"/>
      <c r="B185" s="42"/>
      <c r="C185" s="74"/>
      <c r="D185" s="74"/>
      <c r="E185" s="70"/>
      <c r="F185" s="70"/>
      <c r="G185" s="70"/>
      <c r="H185" s="70"/>
      <c r="I185" s="70"/>
      <c r="J185" s="77"/>
      <c r="K185" s="77"/>
      <c r="L185" s="9"/>
      <c r="M185" s="42"/>
      <c r="N185" s="42"/>
      <c r="O185" s="9"/>
      <c r="P185" s="9"/>
      <c r="Q185" s="9"/>
      <c r="R185" s="33"/>
      <c r="S185" s="9"/>
      <c r="U185" s="8"/>
      <c r="V185" s="9"/>
      <c r="W185" s="9"/>
      <c r="X185" s="9"/>
      <c r="Y185" s="9"/>
      <c r="Z185" s="9"/>
      <c r="AA185" s="9"/>
      <c r="AB185" s="9"/>
      <c r="AC185" s="9"/>
      <c r="AD185" s="9"/>
    </row>
    <row r="186" spans="1:30" ht="18.75" x14ac:dyDescent="0.3">
      <c r="A186" s="42"/>
      <c r="B186" s="42"/>
      <c r="C186" s="74"/>
      <c r="D186" s="74"/>
      <c r="E186" s="70"/>
      <c r="F186" s="70"/>
      <c r="G186" s="70"/>
      <c r="H186" s="70"/>
      <c r="I186" s="70"/>
      <c r="J186" s="77"/>
      <c r="K186" s="77"/>
      <c r="L186" s="9"/>
      <c r="M186" s="42"/>
      <c r="N186" s="42"/>
      <c r="O186" s="9"/>
      <c r="P186" s="9"/>
      <c r="Q186" s="9"/>
      <c r="R186" s="33"/>
      <c r="S186" s="9"/>
      <c r="U186" s="8"/>
      <c r="V186" s="9"/>
      <c r="W186" s="9"/>
      <c r="X186" s="9"/>
      <c r="Y186" s="9"/>
      <c r="Z186" s="9"/>
      <c r="AA186" s="9"/>
      <c r="AB186" s="9"/>
      <c r="AC186" s="9"/>
      <c r="AD186" s="9"/>
    </row>
    <row r="187" spans="1:30" ht="18.75" x14ac:dyDescent="0.3">
      <c r="A187" s="42"/>
      <c r="B187" s="42"/>
      <c r="C187" s="74"/>
      <c r="D187" s="74"/>
      <c r="E187" s="70"/>
      <c r="F187" s="70"/>
      <c r="G187" s="70"/>
      <c r="H187" s="70"/>
      <c r="I187" s="70"/>
      <c r="J187" s="77"/>
      <c r="K187" s="77"/>
      <c r="L187" s="9"/>
      <c r="M187" s="42"/>
      <c r="N187" s="42"/>
      <c r="O187" s="9"/>
      <c r="P187" s="9"/>
      <c r="Q187" s="9"/>
      <c r="R187" s="33"/>
      <c r="S187" s="9"/>
      <c r="U187" s="8"/>
      <c r="V187" s="9"/>
      <c r="W187" s="9"/>
      <c r="X187" s="9"/>
      <c r="Y187" s="9"/>
      <c r="Z187" s="9"/>
      <c r="AA187" s="9"/>
      <c r="AB187" s="9"/>
      <c r="AC187" s="9"/>
      <c r="AD187" s="9"/>
    </row>
    <row r="188" spans="1:30" ht="18.75" x14ac:dyDescent="0.3">
      <c r="A188" s="42"/>
      <c r="B188" s="42"/>
      <c r="C188" s="74"/>
      <c r="D188" s="74"/>
      <c r="E188" s="70"/>
      <c r="F188" s="70"/>
      <c r="G188" s="70"/>
      <c r="H188" s="70"/>
      <c r="I188" s="70"/>
      <c r="J188" s="77"/>
      <c r="K188" s="77"/>
      <c r="L188" s="9"/>
      <c r="M188" s="42"/>
      <c r="N188" s="42"/>
      <c r="O188" s="9"/>
      <c r="P188" s="9"/>
      <c r="Q188" s="9"/>
      <c r="R188" s="33"/>
      <c r="S188" s="9"/>
      <c r="U188" s="8"/>
      <c r="V188" s="9"/>
      <c r="W188" s="9"/>
      <c r="X188" s="9"/>
      <c r="Y188" s="9"/>
      <c r="Z188" s="9"/>
      <c r="AA188" s="9"/>
      <c r="AB188" s="9"/>
      <c r="AC188" s="9"/>
      <c r="AD188" s="9"/>
    </row>
    <row r="189" spans="1:30" ht="18.75" x14ac:dyDescent="0.3">
      <c r="A189" s="42"/>
      <c r="B189" s="42"/>
      <c r="C189" s="74"/>
      <c r="D189" s="74"/>
      <c r="E189" s="70"/>
      <c r="F189" s="70"/>
      <c r="G189" s="70"/>
      <c r="H189" s="70"/>
      <c r="I189" s="70"/>
      <c r="J189" s="77"/>
      <c r="K189" s="77"/>
      <c r="L189" s="9"/>
      <c r="M189" s="42"/>
      <c r="N189" s="42"/>
      <c r="O189" s="9"/>
      <c r="P189" s="9"/>
      <c r="Q189" s="9"/>
      <c r="R189" s="33"/>
      <c r="S189" s="9"/>
      <c r="U189" s="8"/>
      <c r="V189" s="9"/>
      <c r="W189" s="9"/>
      <c r="X189" s="9"/>
      <c r="Y189" s="9"/>
      <c r="Z189" s="9"/>
      <c r="AA189" s="9"/>
      <c r="AB189" s="9"/>
      <c r="AC189" s="9"/>
      <c r="AD189" s="9"/>
    </row>
    <row r="190" spans="1:30" ht="18.75" x14ac:dyDescent="0.3">
      <c r="A190" s="42"/>
      <c r="B190" s="42"/>
      <c r="C190" s="74"/>
      <c r="D190" s="74"/>
      <c r="E190" s="70"/>
      <c r="F190" s="70"/>
      <c r="G190" s="70"/>
      <c r="H190" s="70"/>
      <c r="I190" s="70"/>
      <c r="J190" s="77"/>
      <c r="K190" s="77"/>
      <c r="L190" s="9"/>
      <c r="M190" s="42"/>
      <c r="N190" s="42"/>
      <c r="O190" s="9"/>
      <c r="P190" s="9"/>
      <c r="Q190" s="9"/>
      <c r="R190" s="33"/>
      <c r="S190" s="9"/>
      <c r="U190" s="8"/>
      <c r="V190" s="9"/>
      <c r="W190" s="9"/>
      <c r="X190" s="9"/>
      <c r="Y190" s="9"/>
      <c r="Z190" s="9"/>
      <c r="AA190" s="9"/>
      <c r="AB190" s="9"/>
      <c r="AC190" s="9"/>
      <c r="AD190" s="9"/>
    </row>
    <row r="191" spans="1:30" ht="18.75" x14ac:dyDescent="0.3">
      <c r="A191" s="42"/>
      <c r="B191" s="42"/>
      <c r="C191" s="74"/>
      <c r="D191" s="74"/>
      <c r="E191" s="70"/>
      <c r="F191" s="70"/>
      <c r="G191" s="70"/>
      <c r="H191" s="70"/>
      <c r="I191" s="70"/>
      <c r="J191" s="77"/>
      <c r="K191" s="77"/>
      <c r="L191" s="9"/>
      <c r="M191" s="42"/>
      <c r="N191" s="42"/>
      <c r="O191" s="9"/>
      <c r="P191" s="9"/>
      <c r="Q191" s="9"/>
      <c r="R191" s="33"/>
      <c r="S191" s="9"/>
      <c r="U191" s="8"/>
      <c r="V191" s="9"/>
      <c r="W191" s="9"/>
      <c r="X191" s="9"/>
      <c r="Y191" s="9"/>
      <c r="Z191" s="9"/>
      <c r="AA191" s="9"/>
      <c r="AB191" s="9"/>
      <c r="AC191" s="9"/>
      <c r="AD191" s="9"/>
    </row>
    <row r="192" spans="1:30" ht="18.75" x14ac:dyDescent="0.3">
      <c r="A192" s="42"/>
      <c r="B192" s="42"/>
      <c r="C192" s="74"/>
      <c r="D192" s="74"/>
      <c r="E192" s="70"/>
      <c r="F192" s="70"/>
      <c r="G192" s="70"/>
      <c r="H192" s="70"/>
      <c r="I192" s="70"/>
      <c r="J192" s="77"/>
      <c r="K192" s="77"/>
      <c r="L192" s="9"/>
      <c r="M192" s="42"/>
      <c r="N192" s="42"/>
      <c r="O192" s="9"/>
      <c r="P192" s="9"/>
      <c r="Q192" s="9"/>
      <c r="R192" s="33"/>
      <c r="S192" s="9"/>
      <c r="U192" s="8"/>
      <c r="V192" s="9"/>
      <c r="W192" s="9"/>
      <c r="X192" s="9"/>
      <c r="Y192" s="9"/>
      <c r="Z192" s="9"/>
      <c r="AA192" s="9"/>
      <c r="AB192" s="9"/>
      <c r="AC192" s="9"/>
      <c r="AD192" s="9"/>
    </row>
    <row r="193" spans="1:30" ht="18.75" x14ac:dyDescent="0.3">
      <c r="A193" s="42"/>
      <c r="B193" s="42"/>
      <c r="C193" s="74"/>
      <c r="D193" s="74"/>
      <c r="E193" s="70"/>
      <c r="F193" s="70"/>
      <c r="G193" s="70"/>
      <c r="H193" s="70"/>
      <c r="I193" s="70"/>
      <c r="J193" s="77"/>
      <c r="K193" s="77"/>
      <c r="L193" s="9"/>
      <c r="M193" s="42"/>
      <c r="N193" s="42"/>
      <c r="O193" s="9"/>
      <c r="P193" s="9"/>
      <c r="Q193" s="9"/>
      <c r="R193" s="33"/>
      <c r="S193" s="9"/>
      <c r="U193" s="8"/>
      <c r="V193" s="9"/>
      <c r="W193" s="9"/>
      <c r="X193" s="9"/>
      <c r="Y193" s="9"/>
      <c r="Z193" s="9"/>
      <c r="AA193" s="9"/>
      <c r="AB193" s="9"/>
      <c r="AC193" s="9"/>
      <c r="AD193" s="9"/>
    </row>
    <row r="194" spans="1:30" ht="18.75" x14ac:dyDescent="0.3">
      <c r="A194" s="42"/>
      <c r="B194" s="42"/>
      <c r="C194" s="74"/>
      <c r="D194" s="74"/>
      <c r="E194" s="70"/>
      <c r="F194" s="70"/>
      <c r="G194" s="70"/>
      <c r="H194" s="70"/>
      <c r="I194" s="70"/>
      <c r="J194" s="77"/>
      <c r="K194" s="77"/>
      <c r="L194" s="9"/>
      <c r="M194" s="42"/>
      <c r="N194" s="42"/>
      <c r="O194" s="9"/>
      <c r="P194" s="9"/>
      <c r="Q194" s="9"/>
      <c r="R194" s="33"/>
      <c r="S194" s="9"/>
      <c r="U194" s="8"/>
      <c r="V194" s="9"/>
      <c r="W194" s="9"/>
      <c r="X194" s="9"/>
      <c r="Y194" s="9"/>
      <c r="Z194" s="9"/>
      <c r="AA194" s="9"/>
      <c r="AB194" s="9"/>
      <c r="AC194" s="9"/>
      <c r="AD194" s="9"/>
    </row>
    <row r="195" spans="1:30" ht="18.75" x14ac:dyDescent="0.3">
      <c r="A195" s="42"/>
      <c r="B195" s="42"/>
      <c r="C195" s="74"/>
      <c r="D195" s="74"/>
      <c r="E195" s="70"/>
      <c r="F195" s="70"/>
      <c r="G195" s="70"/>
      <c r="H195" s="70"/>
      <c r="I195" s="70"/>
      <c r="J195" s="77"/>
      <c r="K195" s="77"/>
      <c r="L195" s="9"/>
      <c r="M195" s="42"/>
      <c r="N195" s="42"/>
      <c r="O195" s="9"/>
      <c r="P195" s="9"/>
      <c r="Q195" s="9"/>
      <c r="R195" s="33"/>
      <c r="S195" s="9"/>
      <c r="U195" s="8"/>
      <c r="V195" s="9"/>
      <c r="W195" s="9"/>
      <c r="X195" s="9"/>
      <c r="Y195" s="9"/>
      <c r="Z195" s="9"/>
      <c r="AA195" s="9"/>
      <c r="AB195" s="9"/>
      <c r="AC195" s="9"/>
      <c r="AD195" s="9"/>
    </row>
    <row r="196" spans="1:30" ht="18.75" x14ac:dyDescent="0.3">
      <c r="A196" s="42"/>
      <c r="B196" s="42"/>
      <c r="C196" s="74"/>
      <c r="D196" s="74"/>
      <c r="E196" s="70"/>
      <c r="F196" s="70"/>
      <c r="G196" s="70"/>
      <c r="H196" s="70"/>
      <c r="I196" s="70"/>
      <c r="J196" s="77"/>
      <c r="K196" s="77"/>
      <c r="L196" s="9"/>
      <c r="M196" s="42"/>
      <c r="N196" s="42"/>
      <c r="O196" s="9"/>
      <c r="P196" s="9"/>
      <c r="Q196" s="9"/>
      <c r="R196" s="33"/>
      <c r="S196" s="9"/>
      <c r="U196" s="8"/>
      <c r="V196" s="9"/>
      <c r="W196" s="9"/>
      <c r="X196" s="9"/>
      <c r="Y196" s="9"/>
      <c r="Z196" s="9"/>
      <c r="AA196" s="9"/>
      <c r="AB196" s="9"/>
      <c r="AC196" s="9"/>
      <c r="AD196" s="9"/>
    </row>
    <row r="197" spans="1:30" ht="18.75" x14ac:dyDescent="0.3">
      <c r="A197" s="42"/>
      <c r="B197" s="42"/>
      <c r="C197" s="74"/>
      <c r="D197" s="74"/>
      <c r="E197" s="70"/>
      <c r="F197" s="70"/>
      <c r="G197" s="70"/>
      <c r="H197" s="70"/>
      <c r="I197" s="70"/>
      <c r="J197" s="77"/>
      <c r="K197" s="77"/>
      <c r="L197" s="9"/>
      <c r="M197" s="42"/>
      <c r="N197" s="42"/>
      <c r="O197" s="9"/>
      <c r="P197" s="9"/>
      <c r="Q197" s="9"/>
      <c r="R197" s="33"/>
      <c r="S197" s="9"/>
      <c r="U197" s="8"/>
      <c r="V197" s="9"/>
      <c r="W197" s="9"/>
      <c r="X197" s="9"/>
      <c r="Y197" s="9"/>
      <c r="Z197" s="9"/>
      <c r="AA197" s="9"/>
      <c r="AB197" s="9"/>
      <c r="AC197" s="9"/>
      <c r="AD197" s="9"/>
    </row>
    <row r="198" spans="1:30" ht="18.75" x14ac:dyDescent="0.3">
      <c r="A198" s="42"/>
      <c r="B198" s="42"/>
      <c r="C198" s="74"/>
      <c r="D198" s="74"/>
      <c r="E198" s="70"/>
      <c r="F198" s="70"/>
      <c r="G198" s="70"/>
      <c r="H198" s="70"/>
      <c r="I198" s="70"/>
      <c r="J198" s="77"/>
      <c r="K198" s="77"/>
      <c r="L198" s="9"/>
      <c r="M198" s="42"/>
      <c r="N198" s="42"/>
      <c r="O198" s="9"/>
      <c r="P198" s="9"/>
      <c r="Q198" s="9"/>
      <c r="R198" s="33"/>
      <c r="S198" s="9"/>
      <c r="U198" s="8"/>
      <c r="V198" s="9"/>
      <c r="W198" s="9"/>
      <c r="X198" s="9"/>
      <c r="Y198" s="9"/>
      <c r="Z198" s="9"/>
      <c r="AA198" s="9"/>
      <c r="AB198" s="9"/>
      <c r="AC198" s="9"/>
      <c r="AD198" s="9"/>
    </row>
    <row r="199" spans="1:30" ht="18.75" x14ac:dyDescent="0.3">
      <c r="A199" s="42"/>
      <c r="B199" s="42"/>
      <c r="C199" s="74"/>
      <c r="D199" s="74"/>
      <c r="E199" s="70"/>
      <c r="F199" s="70"/>
      <c r="G199" s="70"/>
      <c r="H199" s="70"/>
      <c r="I199" s="70"/>
      <c r="J199" s="77"/>
      <c r="K199" s="77"/>
      <c r="L199" s="9"/>
      <c r="M199" s="42"/>
      <c r="N199" s="42"/>
      <c r="O199" s="9"/>
      <c r="P199" s="9"/>
      <c r="Q199" s="9"/>
      <c r="R199" s="33"/>
      <c r="S199" s="9"/>
      <c r="U199" s="8"/>
      <c r="V199" s="9"/>
      <c r="W199" s="9"/>
      <c r="X199" s="9"/>
      <c r="Y199" s="9"/>
      <c r="Z199" s="9"/>
      <c r="AA199" s="9"/>
      <c r="AB199" s="9"/>
      <c r="AC199" s="9"/>
      <c r="AD199" s="9"/>
    </row>
    <row r="200" spans="1:30" ht="18.75" x14ac:dyDescent="0.3">
      <c r="A200" s="42"/>
      <c r="B200" s="42"/>
      <c r="C200" s="74"/>
      <c r="D200" s="74"/>
      <c r="E200" s="70"/>
      <c r="F200" s="70"/>
      <c r="G200" s="70"/>
      <c r="H200" s="70"/>
      <c r="I200" s="70"/>
      <c r="J200" s="77"/>
      <c r="K200" s="77"/>
      <c r="L200" s="9"/>
      <c r="M200" s="42"/>
      <c r="N200" s="42"/>
      <c r="O200" s="9"/>
      <c r="P200" s="9"/>
      <c r="Q200" s="9"/>
      <c r="R200" s="33"/>
      <c r="S200" s="9"/>
      <c r="U200" s="8"/>
      <c r="V200" s="9"/>
      <c r="W200" s="9"/>
      <c r="X200" s="9"/>
      <c r="Y200" s="9"/>
      <c r="Z200" s="9"/>
      <c r="AA200" s="9"/>
      <c r="AB200" s="9"/>
      <c r="AC200" s="9"/>
      <c r="AD200" s="9"/>
    </row>
    <row r="201" spans="1:30" ht="18.75" x14ac:dyDescent="0.3">
      <c r="A201" s="42"/>
      <c r="B201" s="42"/>
      <c r="C201" s="74"/>
      <c r="D201" s="74"/>
      <c r="E201" s="70"/>
      <c r="F201" s="70"/>
      <c r="G201" s="70"/>
      <c r="H201" s="70"/>
      <c r="I201" s="70"/>
      <c r="J201" s="77"/>
      <c r="K201" s="77"/>
      <c r="L201" s="9"/>
      <c r="M201" s="42"/>
      <c r="N201" s="42"/>
      <c r="O201" s="9"/>
      <c r="P201" s="9"/>
      <c r="Q201" s="9"/>
      <c r="R201" s="33"/>
      <c r="S201" s="9"/>
      <c r="U201" s="8"/>
      <c r="V201" s="9"/>
      <c r="W201" s="9"/>
      <c r="X201" s="9"/>
      <c r="Y201" s="9"/>
      <c r="Z201" s="9"/>
      <c r="AA201" s="9"/>
      <c r="AB201" s="9"/>
      <c r="AC201" s="9"/>
      <c r="AD201" s="9"/>
    </row>
    <row r="202" spans="1:30" ht="18.75" x14ac:dyDescent="0.3">
      <c r="A202" s="42"/>
      <c r="B202" s="42"/>
      <c r="C202" s="74"/>
      <c r="D202" s="74"/>
      <c r="E202" s="70"/>
      <c r="F202" s="70"/>
      <c r="G202" s="70"/>
      <c r="H202" s="70"/>
      <c r="I202" s="70"/>
      <c r="J202" s="77"/>
      <c r="K202" s="77"/>
      <c r="L202" s="9"/>
      <c r="M202" s="42"/>
      <c r="N202" s="42"/>
      <c r="O202" s="9"/>
      <c r="P202" s="9"/>
      <c r="Q202" s="9"/>
      <c r="R202" s="33"/>
      <c r="S202" s="9"/>
      <c r="U202" s="8"/>
      <c r="V202" s="9"/>
      <c r="W202" s="9"/>
      <c r="X202" s="9"/>
      <c r="Y202" s="9"/>
      <c r="Z202" s="9"/>
      <c r="AA202" s="9"/>
      <c r="AB202" s="9"/>
      <c r="AC202" s="9"/>
      <c r="AD202" s="9"/>
    </row>
    <row r="203" spans="1:30" ht="18.75" x14ac:dyDescent="0.3">
      <c r="A203" s="42"/>
      <c r="B203" s="42"/>
      <c r="C203" s="74"/>
      <c r="D203" s="74"/>
      <c r="E203" s="70"/>
      <c r="F203" s="70"/>
      <c r="G203" s="70"/>
      <c r="H203" s="70"/>
      <c r="I203" s="70"/>
      <c r="J203" s="77"/>
      <c r="K203" s="77"/>
      <c r="L203" s="9"/>
      <c r="M203" s="42"/>
      <c r="N203" s="42"/>
      <c r="O203" s="9"/>
      <c r="P203" s="9"/>
      <c r="Q203" s="9"/>
      <c r="R203" s="33"/>
      <c r="S203" s="9"/>
      <c r="U203" s="8"/>
      <c r="V203" s="9"/>
      <c r="W203" s="9"/>
      <c r="X203" s="9"/>
      <c r="Y203" s="9"/>
      <c r="Z203" s="9"/>
      <c r="AA203" s="9"/>
      <c r="AB203" s="9"/>
      <c r="AC203" s="9"/>
      <c r="AD203" s="9"/>
    </row>
    <row r="204" spans="1:30" ht="18.75" x14ac:dyDescent="0.3">
      <c r="A204" s="42"/>
      <c r="B204" s="42"/>
      <c r="C204" s="74"/>
      <c r="D204" s="74"/>
      <c r="E204" s="70"/>
      <c r="F204" s="70"/>
      <c r="G204" s="70"/>
      <c r="H204" s="70"/>
      <c r="I204" s="70"/>
      <c r="J204" s="77"/>
      <c r="K204" s="77"/>
      <c r="L204" s="9"/>
      <c r="M204" s="42"/>
      <c r="N204" s="42"/>
      <c r="O204" s="9"/>
      <c r="P204" s="9"/>
      <c r="Q204" s="9"/>
      <c r="R204" s="33"/>
      <c r="S204" s="9"/>
      <c r="U204" s="8"/>
      <c r="V204" s="9"/>
      <c r="W204" s="9"/>
      <c r="X204" s="9"/>
      <c r="Y204" s="9"/>
      <c r="Z204" s="9"/>
      <c r="AA204" s="9"/>
      <c r="AB204" s="9"/>
      <c r="AC204" s="9"/>
      <c r="AD204" s="9"/>
    </row>
    <row r="205" spans="1:30" ht="18.75" x14ac:dyDescent="0.3">
      <c r="A205" s="42"/>
      <c r="B205" s="42"/>
      <c r="C205" s="74"/>
      <c r="D205" s="74"/>
      <c r="E205" s="70"/>
      <c r="F205" s="70"/>
      <c r="G205" s="70"/>
      <c r="H205" s="70"/>
      <c r="I205" s="70"/>
      <c r="J205" s="77"/>
      <c r="K205" s="77"/>
      <c r="L205" s="9"/>
      <c r="M205" s="42"/>
      <c r="N205" s="42"/>
      <c r="O205" s="9"/>
      <c r="P205" s="9"/>
      <c r="Q205" s="9"/>
      <c r="R205" s="33"/>
      <c r="S205" s="9"/>
      <c r="U205" s="8"/>
      <c r="V205" s="9"/>
      <c r="W205" s="9"/>
      <c r="X205" s="9"/>
      <c r="Y205" s="9"/>
      <c r="Z205" s="9"/>
      <c r="AA205" s="9"/>
      <c r="AB205" s="9"/>
      <c r="AC205" s="9"/>
      <c r="AD205" s="9"/>
    </row>
    <row r="206" spans="1:30" ht="18.75" x14ac:dyDescent="0.3">
      <c r="A206" s="42"/>
      <c r="B206" s="42"/>
      <c r="C206" s="74"/>
      <c r="D206" s="74"/>
      <c r="E206" s="70"/>
      <c r="F206" s="70"/>
      <c r="G206" s="70"/>
      <c r="H206" s="70"/>
      <c r="I206" s="70"/>
      <c r="J206" s="77"/>
      <c r="K206" s="77"/>
      <c r="L206" s="9"/>
      <c r="M206" s="42"/>
      <c r="N206" s="42"/>
      <c r="O206" s="9"/>
      <c r="P206" s="9"/>
      <c r="Q206" s="9"/>
      <c r="R206" s="33"/>
      <c r="S206" s="9"/>
      <c r="U206" s="8"/>
      <c r="V206" s="9"/>
      <c r="W206" s="9"/>
      <c r="X206" s="9"/>
      <c r="Y206" s="9"/>
      <c r="Z206" s="9"/>
      <c r="AA206" s="9"/>
      <c r="AB206" s="9"/>
      <c r="AC206" s="9"/>
      <c r="AD206" s="9"/>
    </row>
    <row r="207" spans="1:30" ht="18.75" x14ac:dyDescent="0.3">
      <c r="A207" s="42"/>
      <c r="B207" s="42"/>
      <c r="C207" s="74"/>
      <c r="D207" s="74"/>
      <c r="E207" s="70"/>
      <c r="F207" s="70"/>
      <c r="G207" s="70"/>
      <c r="H207" s="70"/>
      <c r="I207" s="70"/>
      <c r="J207" s="77"/>
      <c r="K207" s="77"/>
      <c r="L207" s="9"/>
      <c r="M207" s="42"/>
      <c r="N207" s="42"/>
      <c r="O207" s="9"/>
      <c r="P207" s="9"/>
      <c r="Q207" s="9"/>
      <c r="R207" s="33"/>
      <c r="S207" s="9"/>
      <c r="U207" s="8"/>
      <c r="V207" s="9"/>
      <c r="W207" s="9"/>
      <c r="X207" s="9"/>
      <c r="Y207" s="9"/>
      <c r="Z207" s="9"/>
      <c r="AA207" s="9"/>
      <c r="AB207" s="9"/>
      <c r="AC207" s="9"/>
      <c r="AD207" s="9"/>
    </row>
    <row r="208" spans="1:30" ht="18.75" x14ac:dyDescent="0.3">
      <c r="A208" s="42"/>
      <c r="B208" s="42"/>
      <c r="C208" s="74"/>
      <c r="D208" s="74"/>
      <c r="E208" s="70"/>
      <c r="F208" s="70"/>
      <c r="G208" s="70"/>
      <c r="H208" s="70"/>
      <c r="I208" s="70"/>
      <c r="J208" s="77"/>
      <c r="K208" s="77"/>
      <c r="L208" s="9"/>
      <c r="M208" s="42"/>
      <c r="N208" s="42"/>
      <c r="O208" s="9"/>
      <c r="P208" s="9"/>
      <c r="Q208" s="9"/>
      <c r="R208" s="33"/>
      <c r="S208" s="9"/>
      <c r="U208" s="8"/>
      <c r="V208" s="9"/>
      <c r="W208" s="9"/>
      <c r="X208" s="9"/>
      <c r="Y208" s="9"/>
      <c r="Z208" s="9"/>
      <c r="AA208" s="9"/>
      <c r="AB208" s="9"/>
      <c r="AC208" s="9"/>
      <c r="AD208" s="9"/>
    </row>
    <row r="209" spans="1:30" ht="18.75" x14ac:dyDescent="0.3">
      <c r="A209" s="42"/>
      <c r="B209" s="42"/>
      <c r="C209" s="74"/>
      <c r="D209" s="74"/>
      <c r="E209" s="70"/>
      <c r="F209" s="70"/>
      <c r="G209" s="70"/>
      <c r="H209" s="70"/>
      <c r="I209" s="70"/>
      <c r="J209" s="77"/>
      <c r="K209" s="77"/>
      <c r="L209" s="9"/>
      <c r="M209" s="42"/>
      <c r="N209" s="42"/>
      <c r="O209" s="9"/>
      <c r="P209" s="9"/>
      <c r="Q209" s="9"/>
      <c r="R209" s="33"/>
      <c r="S209" s="9"/>
      <c r="U209" s="8"/>
      <c r="V209" s="9"/>
      <c r="W209" s="9"/>
      <c r="X209" s="9"/>
      <c r="Y209" s="9"/>
      <c r="Z209" s="9"/>
      <c r="AA209" s="9"/>
      <c r="AB209" s="9"/>
      <c r="AC209" s="9"/>
      <c r="AD209" s="9"/>
    </row>
    <row r="210" spans="1:30" ht="18.75" x14ac:dyDescent="0.3">
      <c r="A210" s="42"/>
      <c r="B210" s="42"/>
      <c r="C210" s="74"/>
      <c r="D210" s="74"/>
      <c r="E210" s="70"/>
      <c r="F210" s="70"/>
      <c r="G210" s="70"/>
      <c r="H210" s="70"/>
      <c r="I210" s="70"/>
      <c r="J210" s="77"/>
      <c r="K210" s="77"/>
      <c r="L210" s="9"/>
      <c r="M210" s="42"/>
      <c r="N210" s="42"/>
      <c r="O210" s="9"/>
      <c r="P210" s="9"/>
      <c r="Q210" s="9"/>
      <c r="R210" s="33"/>
      <c r="S210" s="9"/>
      <c r="U210" s="8"/>
      <c r="V210" s="9"/>
      <c r="W210" s="9"/>
      <c r="X210" s="9"/>
      <c r="Y210" s="9"/>
      <c r="Z210" s="9"/>
      <c r="AA210" s="9"/>
      <c r="AB210" s="9"/>
      <c r="AC210" s="9"/>
      <c r="AD210" s="9"/>
    </row>
    <row r="211" spans="1:30" ht="18.75" x14ac:dyDescent="0.3">
      <c r="A211" s="42"/>
      <c r="B211" s="42"/>
      <c r="C211" s="74"/>
      <c r="D211" s="74"/>
      <c r="E211" s="70"/>
      <c r="F211" s="70"/>
      <c r="G211" s="70"/>
      <c r="H211" s="70"/>
      <c r="I211" s="70"/>
      <c r="J211" s="77"/>
      <c r="K211" s="77"/>
      <c r="L211" s="9"/>
      <c r="M211" s="42"/>
      <c r="N211" s="42"/>
      <c r="O211" s="9"/>
      <c r="P211" s="9"/>
      <c r="Q211" s="9"/>
      <c r="R211" s="33"/>
      <c r="S211" s="9"/>
      <c r="U211" s="8"/>
      <c r="V211" s="9"/>
      <c r="W211" s="9"/>
      <c r="X211" s="9"/>
      <c r="Y211" s="9"/>
      <c r="Z211" s="9"/>
      <c r="AA211" s="9"/>
      <c r="AB211" s="9"/>
      <c r="AC211" s="9"/>
      <c r="AD211" s="9"/>
    </row>
    <row r="212" spans="1:30" ht="18.75" x14ac:dyDescent="0.3">
      <c r="A212" s="42"/>
      <c r="B212" s="42"/>
      <c r="C212" s="74"/>
      <c r="D212" s="74"/>
      <c r="E212" s="70"/>
      <c r="F212" s="70"/>
      <c r="G212" s="70"/>
      <c r="H212" s="70"/>
      <c r="I212" s="70"/>
      <c r="J212" s="77"/>
      <c r="K212" s="77"/>
      <c r="L212" s="9"/>
      <c r="M212" s="42"/>
      <c r="N212" s="42"/>
      <c r="O212" s="9"/>
      <c r="P212" s="9"/>
      <c r="Q212" s="9"/>
      <c r="R212" s="33"/>
      <c r="S212" s="9"/>
      <c r="U212" s="8"/>
      <c r="V212" s="9"/>
      <c r="W212" s="9"/>
      <c r="X212" s="9"/>
      <c r="Y212" s="9"/>
      <c r="Z212" s="9"/>
      <c r="AA212" s="9"/>
      <c r="AB212" s="9"/>
      <c r="AC212" s="9"/>
      <c r="AD212" s="9"/>
    </row>
    <row r="213" spans="1:30" ht="18.75" x14ac:dyDescent="0.3">
      <c r="A213" s="42"/>
      <c r="B213" s="42"/>
      <c r="C213" s="74"/>
      <c r="D213" s="74"/>
      <c r="E213" s="70"/>
      <c r="F213" s="70"/>
      <c r="G213" s="70"/>
      <c r="H213" s="70"/>
      <c r="I213" s="70"/>
      <c r="J213" s="77"/>
      <c r="K213" s="77"/>
      <c r="L213" s="9"/>
      <c r="M213" s="42"/>
      <c r="N213" s="42"/>
      <c r="O213" s="9"/>
      <c r="P213" s="9"/>
      <c r="Q213" s="9"/>
      <c r="R213" s="33"/>
      <c r="S213" s="9"/>
      <c r="U213" s="8"/>
      <c r="V213" s="9"/>
      <c r="W213" s="9"/>
      <c r="X213" s="9"/>
      <c r="Y213" s="9"/>
      <c r="Z213" s="9"/>
      <c r="AA213" s="9"/>
      <c r="AB213" s="9"/>
      <c r="AC213" s="9"/>
      <c r="AD213" s="9"/>
    </row>
    <row r="214" spans="1:30" ht="18.75" x14ac:dyDescent="0.3">
      <c r="A214" s="42"/>
      <c r="B214" s="42"/>
      <c r="C214" s="74"/>
      <c r="D214" s="74"/>
      <c r="E214" s="70"/>
      <c r="F214" s="70"/>
      <c r="G214" s="70"/>
      <c r="H214" s="70"/>
      <c r="I214" s="70"/>
      <c r="J214" s="77"/>
      <c r="K214" s="77"/>
      <c r="L214" s="9"/>
      <c r="M214" s="42"/>
      <c r="N214" s="42"/>
      <c r="O214" s="9"/>
      <c r="P214" s="9"/>
      <c r="Q214" s="9"/>
      <c r="R214" s="33"/>
      <c r="S214" s="9"/>
      <c r="U214" s="8"/>
      <c r="V214" s="9"/>
      <c r="W214" s="9"/>
      <c r="X214" s="9"/>
      <c r="Y214" s="9"/>
      <c r="Z214" s="9"/>
      <c r="AA214" s="9"/>
      <c r="AB214" s="9"/>
      <c r="AC214" s="9"/>
      <c r="AD214" s="9"/>
    </row>
    <row r="215" spans="1:30" ht="18.75" x14ac:dyDescent="0.3">
      <c r="A215" s="42"/>
      <c r="B215" s="42"/>
      <c r="C215" s="74"/>
      <c r="D215" s="74"/>
      <c r="E215" s="70"/>
      <c r="F215" s="70"/>
      <c r="G215" s="70"/>
      <c r="H215" s="70"/>
      <c r="I215" s="70"/>
      <c r="J215" s="77"/>
      <c r="K215" s="77"/>
      <c r="L215" s="9"/>
      <c r="M215" s="42"/>
      <c r="N215" s="42"/>
      <c r="O215" s="9"/>
      <c r="P215" s="9"/>
      <c r="Q215" s="9"/>
      <c r="R215" s="33"/>
      <c r="S215" s="9"/>
      <c r="U215" s="8"/>
      <c r="V215" s="9"/>
      <c r="W215" s="9"/>
      <c r="X215" s="9"/>
      <c r="Y215" s="9"/>
      <c r="Z215" s="9"/>
      <c r="AA215" s="9"/>
      <c r="AB215" s="9"/>
      <c r="AC215" s="9"/>
      <c r="AD215" s="9"/>
    </row>
    <row r="216" spans="1:30" ht="18.75" x14ac:dyDescent="0.3">
      <c r="A216" s="42"/>
      <c r="B216" s="42"/>
      <c r="C216" s="74"/>
      <c r="D216" s="74"/>
      <c r="E216" s="70"/>
      <c r="F216" s="70"/>
      <c r="G216" s="70"/>
      <c r="H216" s="70"/>
      <c r="I216" s="70"/>
      <c r="J216" s="77"/>
      <c r="K216" s="77"/>
      <c r="L216" s="9"/>
      <c r="M216" s="42"/>
      <c r="N216" s="42"/>
      <c r="O216" s="9"/>
      <c r="P216" s="9"/>
      <c r="Q216" s="9"/>
      <c r="R216" s="33"/>
      <c r="S216" s="9"/>
      <c r="U216" s="8"/>
      <c r="V216" s="9"/>
      <c r="W216" s="9"/>
      <c r="X216" s="9"/>
      <c r="Y216" s="9"/>
      <c r="Z216" s="9"/>
      <c r="AA216" s="9"/>
      <c r="AB216" s="9"/>
      <c r="AC216" s="9"/>
      <c r="AD216" s="9"/>
    </row>
    <row r="217" spans="1:30" ht="18.75" x14ac:dyDescent="0.3">
      <c r="A217" s="42"/>
      <c r="B217" s="42"/>
      <c r="C217" s="74"/>
      <c r="D217" s="74"/>
      <c r="E217" s="70"/>
      <c r="F217" s="70"/>
      <c r="G217" s="70"/>
      <c r="H217" s="70"/>
      <c r="I217" s="70"/>
      <c r="J217" s="77"/>
      <c r="K217" s="77"/>
      <c r="L217" s="9"/>
      <c r="M217" s="42"/>
      <c r="N217" s="42"/>
      <c r="O217" s="9"/>
      <c r="P217" s="9"/>
      <c r="Q217" s="9"/>
      <c r="R217" s="33"/>
      <c r="S217" s="9"/>
      <c r="U217" s="8"/>
      <c r="V217" s="9"/>
      <c r="W217" s="9"/>
      <c r="X217" s="9"/>
      <c r="Y217" s="9"/>
      <c r="Z217" s="9"/>
      <c r="AA217" s="9"/>
      <c r="AB217" s="9"/>
      <c r="AC217" s="9"/>
      <c r="AD217" s="9"/>
    </row>
    <row r="218" spans="1:30" ht="18.75" x14ac:dyDescent="0.3">
      <c r="A218" s="42"/>
      <c r="B218" s="42"/>
      <c r="C218" s="74"/>
      <c r="D218" s="74"/>
      <c r="E218" s="70"/>
      <c r="F218" s="70"/>
      <c r="G218" s="70"/>
      <c r="H218" s="70"/>
      <c r="I218" s="70"/>
      <c r="J218" s="77"/>
      <c r="K218" s="77"/>
      <c r="L218" s="9"/>
      <c r="M218" s="42"/>
      <c r="N218" s="42"/>
      <c r="O218" s="9"/>
      <c r="P218" s="9"/>
      <c r="Q218" s="9"/>
      <c r="R218" s="33"/>
      <c r="S218" s="9"/>
      <c r="U218" s="8"/>
      <c r="V218" s="9"/>
      <c r="W218" s="9"/>
      <c r="X218" s="9"/>
      <c r="Y218" s="9"/>
      <c r="Z218" s="9"/>
      <c r="AA218" s="9"/>
      <c r="AB218" s="9"/>
      <c r="AC218" s="9"/>
      <c r="AD218" s="9"/>
    </row>
    <row r="219" spans="1:30" ht="18.75" x14ac:dyDescent="0.3">
      <c r="A219" s="42"/>
      <c r="B219" s="42"/>
      <c r="C219" s="74"/>
      <c r="D219" s="74"/>
      <c r="E219" s="70"/>
      <c r="F219" s="70"/>
      <c r="G219" s="70"/>
      <c r="H219" s="70"/>
      <c r="I219" s="70"/>
      <c r="J219" s="77"/>
      <c r="K219" s="77"/>
      <c r="L219" s="9"/>
      <c r="M219" s="42"/>
      <c r="N219" s="42"/>
      <c r="O219" s="9"/>
      <c r="P219" s="9"/>
      <c r="Q219" s="9"/>
      <c r="R219" s="33"/>
      <c r="S219" s="9"/>
      <c r="U219" s="8"/>
      <c r="V219" s="9"/>
      <c r="W219" s="9"/>
      <c r="X219" s="9"/>
      <c r="Y219" s="9"/>
      <c r="Z219" s="9"/>
      <c r="AA219" s="9"/>
      <c r="AB219" s="9"/>
      <c r="AC219" s="9"/>
      <c r="AD219" s="9"/>
    </row>
    <row r="220" spans="1:30" ht="18.75" x14ac:dyDescent="0.3">
      <c r="A220" s="42"/>
      <c r="B220" s="42"/>
      <c r="C220" s="74"/>
      <c r="D220" s="74"/>
      <c r="E220" s="70"/>
      <c r="F220" s="70"/>
      <c r="G220" s="70"/>
      <c r="H220" s="70"/>
      <c r="I220" s="70"/>
      <c r="J220" s="77"/>
      <c r="K220" s="77"/>
      <c r="L220" s="9"/>
      <c r="M220" s="42"/>
      <c r="N220" s="42"/>
      <c r="O220" s="9"/>
      <c r="P220" s="9"/>
      <c r="Q220" s="9"/>
      <c r="R220" s="33"/>
      <c r="S220" s="9"/>
      <c r="U220" s="8"/>
      <c r="V220" s="9"/>
      <c r="W220" s="9"/>
      <c r="X220" s="9"/>
      <c r="Y220" s="9"/>
      <c r="Z220" s="9"/>
      <c r="AA220" s="9"/>
      <c r="AB220" s="9"/>
      <c r="AC220" s="9"/>
      <c r="AD220" s="9"/>
    </row>
    <row r="221" spans="1:30" ht="18.75" x14ac:dyDescent="0.3">
      <c r="A221" s="42"/>
      <c r="B221" s="42"/>
      <c r="C221" s="74"/>
      <c r="D221" s="74"/>
      <c r="E221" s="70"/>
      <c r="F221" s="70"/>
      <c r="G221" s="70"/>
      <c r="H221" s="70"/>
      <c r="I221" s="70"/>
      <c r="J221" s="77"/>
      <c r="K221" s="77"/>
      <c r="L221" s="9"/>
      <c r="M221" s="42"/>
      <c r="N221" s="42"/>
      <c r="O221" s="9"/>
      <c r="P221" s="9"/>
      <c r="Q221" s="9"/>
      <c r="R221" s="33"/>
      <c r="S221" s="9"/>
      <c r="U221" s="8"/>
      <c r="V221" s="9"/>
      <c r="W221" s="9"/>
      <c r="X221" s="9"/>
      <c r="Y221" s="9"/>
      <c r="Z221" s="9"/>
      <c r="AA221" s="9"/>
      <c r="AB221" s="9"/>
      <c r="AC221" s="9"/>
      <c r="AD221" s="9"/>
    </row>
    <row r="222" spans="1:30" ht="18.75" x14ac:dyDescent="0.3">
      <c r="A222" s="42"/>
      <c r="B222" s="42"/>
      <c r="C222" s="74"/>
      <c r="D222" s="74"/>
      <c r="E222" s="70"/>
      <c r="F222" s="70"/>
      <c r="G222" s="70"/>
      <c r="H222" s="70"/>
      <c r="I222" s="70"/>
      <c r="J222" s="77"/>
      <c r="K222" s="77"/>
      <c r="L222" s="9"/>
      <c r="M222" s="42"/>
      <c r="N222" s="42"/>
      <c r="O222" s="9"/>
      <c r="P222" s="9"/>
      <c r="Q222" s="9"/>
      <c r="R222" s="33"/>
      <c r="S222" s="9"/>
      <c r="U222" s="8"/>
      <c r="V222" s="9"/>
      <c r="W222" s="9"/>
      <c r="X222" s="9"/>
      <c r="Y222" s="9"/>
      <c r="Z222" s="9"/>
      <c r="AA222" s="9"/>
      <c r="AB222" s="9"/>
      <c r="AC222" s="9"/>
      <c r="AD222" s="9"/>
    </row>
    <row r="223" spans="1:30" ht="18.75" x14ac:dyDescent="0.3">
      <c r="A223" s="42"/>
      <c r="B223" s="42"/>
      <c r="C223" s="74"/>
      <c r="D223" s="74"/>
      <c r="E223" s="70"/>
      <c r="F223" s="70"/>
      <c r="G223" s="70"/>
      <c r="H223" s="70"/>
      <c r="I223" s="70"/>
      <c r="J223" s="77"/>
      <c r="K223" s="77"/>
      <c r="L223" s="9"/>
      <c r="M223" s="42"/>
      <c r="N223" s="42"/>
      <c r="O223" s="9"/>
      <c r="P223" s="9"/>
      <c r="Q223" s="9"/>
      <c r="R223" s="33"/>
      <c r="S223" s="9"/>
      <c r="U223" s="8"/>
      <c r="V223" s="9"/>
      <c r="W223" s="9"/>
      <c r="X223" s="9"/>
      <c r="Y223" s="9"/>
      <c r="Z223" s="9"/>
      <c r="AA223" s="9"/>
      <c r="AB223" s="9"/>
      <c r="AC223" s="9"/>
      <c r="AD223" s="9"/>
    </row>
    <row r="224" spans="1:30" ht="18.75" x14ac:dyDescent="0.3">
      <c r="A224" s="42"/>
      <c r="B224" s="42"/>
      <c r="C224" s="74"/>
      <c r="D224" s="74"/>
      <c r="E224" s="70"/>
      <c r="F224" s="70"/>
      <c r="G224" s="70"/>
      <c r="H224" s="70"/>
      <c r="I224" s="70"/>
      <c r="J224" s="77"/>
      <c r="K224" s="77"/>
      <c r="L224" s="9"/>
      <c r="M224" s="42"/>
      <c r="N224" s="42"/>
      <c r="O224" s="9"/>
      <c r="P224" s="9"/>
      <c r="Q224" s="9"/>
      <c r="R224" s="33"/>
      <c r="S224" s="9"/>
      <c r="U224" s="8"/>
      <c r="V224" s="9"/>
      <c r="W224" s="9"/>
      <c r="X224" s="9"/>
      <c r="Y224" s="9"/>
      <c r="Z224" s="9"/>
      <c r="AA224" s="9"/>
      <c r="AB224" s="9"/>
      <c r="AC224" s="9"/>
      <c r="AD224" s="9"/>
    </row>
    <row r="225" spans="1:30" ht="18.75" x14ac:dyDescent="0.3">
      <c r="A225" s="42"/>
      <c r="B225" s="42"/>
      <c r="C225" s="74"/>
      <c r="D225" s="74"/>
      <c r="E225" s="70"/>
      <c r="F225" s="70"/>
      <c r="G225" s="70"/>
      <c r="H225" s="70"/>
      <c r="I225" s="70"/>
      <c r="J225" s="77"/>
      <c r="K225" s="77"/>
      <c r="L225" s="9"/>
      <c r="M225" s="42"/>
      <c r="N225" s="42"/>
      <c r="O225" s="9"/>
      <c r="P225" s="9"/>
      <c r="Q225" s="9"/>
      <c r="R225" s="33"/>
      <c r="S225" s="9"/>
      <c r="U225" s="8"/>
      <c r="V225" s="9"/>
      <c r="W225" s="9"/>
      <c r="X225" s="9"/>
      <c r="Y225" s="9"/>
      <c r="Z225" s="9"/>
      <c r="AA225" s="9"/>
      <c r="AB225" s="9"/>
      <c r="AC225" s="9"/>
      <c r="AD225" s="9"/>
    </row>
    <row r="226" spans="1:30" ht="18.75" x14ac:dyDescent="0.3">
      <c r="A226" s="42"/>
      <c r="B226" s="42"/>
      <c r="C226" s="74"/>
      <c r="D226" s="74"/>
      <c r="E226" s="70"/>
      <c r="F226" s="70"/>
      <c r="G226" s="70"/>
      <c r="H226" s="70"/>
      <c r="I226" s="70"/>
      <c r="J226" s="77"/>
      <c r="K226" s="77"/>
      <c r="L226" s="9"/>
      <c r="M226" s="42"/>
      <c r="N226" s="42"/>
      <c r="O226" s="9"/>
      <c r="P226" s="9"/>
      <c r="Q226" s="9"/>
      <c r="R226" s="33"/>
      <c r="S226" s="9"/>
      <c r="U226" s="8"/>
      <c r="V226" s="9"/>
      <c r="W226" s="9"/>
      <c r="X226" s="9"/>
      <c r="Y226" s="9"/>
      <c r="Z226" s="9"/>
      <c r="AA226" s="9"/>
      <c r="AB226" s="9"/>
      <c r="AC226" s="9"/>
      <c r="AD226" s="9"/>
    </row>
    <row r="227" spans="1:30" ht="18.75" x14ac:dyDescent="0.3">
      <c r="A227" s="42"/>
      <c r="B227" s="42"/>
      <c r="C227" s="74"/>
      <c r="D227" s="74"/>
      <c r="E227" s="70"/>
      <c r="F227" s="70"/>
      <c r="G227" s="70"/>
      <c r="H227" s="70"/>
      <c r="I227" s="70"/>
      <c r="J227" s="77"/>
      <c r="K227" s="77"/>
      <c r="L227" s="9"/>
      <c r="M227" s="42"/>
      <c r="N227" s="42"/>
      <c r="O227" s="9"/>
      <c r="P227" s="9"/>
      <c r="Q227" s="9"/>
      <c r="R227" s="33"/>
      <c r="S227" s="9"/>
      <c r="U227" s="8"/>
      <c r="V227" s="9"/>
      <c r="W227" s="9"/>
      <c r="X227" s="9"/>
      <c r="Y227" s="9"/>
      <c r="Z227" s="9"/>
      <c r="AA227" s="9"/>
      <c r="AB227" s="9"/>
      <c r="AC227" s="9"/>
      <c r="AD227" s="9"/>
    </row>
    <row r="228" spans="1:30" ht="18.75" x14ac:dyDescent="0.3">
      <c r="A228" s="42"/>
      <c r="B228" s="42"/>
      <c r="C228" s="74"/>
      <c r="D228" s="74"/>
      <c r="E228" s="70"/>
      <c r="F228" s="70"/>
      <c r="G228" s="70"/>
      <c r="H228" s="70"/>
      <c r="I228" s="70"/>
      <c r="J228" s="77"/>
      <c r="K228" s="77"/>
      <c r="L228" s="9"/>
      <c r="M228" s="42"/>
      <c r="N228" s="42"/>
      <c r="O228" s="9"/>
      <c r="P228" s="9"/>
      <c r="Q228" s="9"/>
      <c r="R228" s="33"/>
      <c r="S228" s="9"/>
      <c r="U228" s="8"/>
      <c r="V228" s="9"/>
      <c r="W228" s="9"/>
      <c r="X228" s="9"/>
      <c r="Y228" s="9"/>
      <c r="Z228" s="9"/>
      <c r="AA228" s="9"/>
      <c r="AB228" s="9"/>
      <c r="AC228" s="9"/>
      <c r="AD228" s="9"/>
    </row>
    <row r="229" spans="1:30" ht="18.75" x14ac:dyDescent="0.3">
      <c r="A229" s="42"/>
      <c r="B229" s="42"/>
      <c r="C229" s="74"/>
      <c r="D229" s="74"/>
      <c r="E229" s="70"/>
      <c r="F229" s="70"/>
      <c r="G229" s="70"/>
      <c r="H229" s="70"/>
      <c r="I229" s="70"/>
      <c r="J229" s="77"/>
      <c r="K229" s="77"/>
      <c r="L229" s="9"/>
      <c r="M229" s="42"/>
      <c r="N229" s="42"/>
      <c r="O229" s="9"/>
      <c r="P229" s="9"/>
      <c r="Q229" s="9"/>
      <c r="R229" s="33"/>
      <c r="S229" s="9"/>
      <c r="U229" s="8"/>
      <c r="V229" s="9"/>
      <c r="W229" s="9"/>
      <c r="X229" s="9"/>
      <c r="Y229" s="9"/>
      <c r="Z229" s="9"/>
      <c r="AA229" s="9"/>
      <c r="AB229" s="9"/>
      <c r="AC229" s="9"/>
      <c r="AD229" s="9"/>
    </row>
    <row r="230" spans="1:30" ht="18.75" x14ac:dyDescent="0.3">
      <c r="A230" s="42"/>
      <c r="B230" s="42"/>
      <c r="C230" s="74"/>
      <c r="D230" s="74"/>
      <c r="E230" s="70"/>
      <c r="F230" s="70"/>
      <c r="G230" s="70"/>
      <c r="H230" s="70"/>
      <c r="I230" s="70"/>
      <c r="J230" s="77"/>
      <c r="K230" s="77"/>
      <c r="L230" s="9"/>
      <c r="M230" s="42"/>
      <c r="N230" s="42"/>
      <c r="O230" s="9"/>
      <c r="P230" s="9"/>
      <c r="Q230" s="9"/>
      <c r="R230" s="33"/>
      <c r="S230" s="9"/>
      <c r="U230" s="8"/>
      <c r="V230" s="9"/>
      <c r="W230" s="9"/>
      <c r="X230" s="9"/>
      <c r="Y230" s="9"/>
      <c r="Z230" s="9"/>
      <c r="AA230" s="9"/>
      <c r="AB230" s="9"/>
      <c r="AC230" s="9"/>
      <c r="AD230" s="9"/>
    </row>
    <row r="231" spans="1:30" ht="18.75" x14ac:dyDescent="0.3">
      <c r="A231" s="42"/>
      <c r="B231" s="42"/>
      <c r="C231" s="74"/>
      <c r="D231" s="74"/>
      <c r="E231" s="70"/>
      <c r="F231" s="70"/>
      <c r="G231" s="70"/>
      <c r="H231" s="70"/>
      <c r="I231" s="70"/>
      <c r="J231" s="77"/>
      <c r="K231" s="77"/>
      <c r="L231" s="9"/>
      <c r="M231" s="42"/>
      <c r="N231" s="42"/>
      <c r="O231" s="9"/>
      <c r="P231" s="9"/>
      <c r="Q231" s="9"/>
      <c r="R231" s="33"/>
      <c r="S231" s="9"/>
      <c r="U231" s="8"/>
      <c r="V231" s="9"/>
      <c r="W231" s="9"/>
      <c r="X231" s="9"/>
      <c r="Y231" s="9"/>
      <c r="Z231" s="9"/>
      <c r="AA231" s="9"/>
      <c r="AB231" s="9"/>
      <c r="AC231" s="9"/>
      <c r="AD231" s="9"/>
    </row>
    <row r="232" spans="1:30" ht="18.75" x14ac:dyDescent="0.3">
      <c r="A232" s="42"/>
      <c r="B232" s="42"/>
      <c r="C232" s="74"/>
      <c r="D232" s="74"/>
      <c r="E232" s="70"/>
      <c r="F232" s="70"/>
      <c r="G232" s="70"/>
      <c r="H232" s="70"/>
      <c r="I232" s="70"/>
      <c r="J232" s="77"/>
      <c r="K232" s="77"/>
      <c r="L232" s="9"/>
      <c r="M232" s="42"/>
      <c r="N232" s="42"/>
      <c r="O232" s="9"/>
      <c r="P232" s="9"/>
      <c r="Q232" s="9"/>
      <c r="R232" s="33"/>
      <c r="S232" s="9"/>
      <c r="U232" s="8"/>
      <c r="V232" s="9"/>
      <c r="W232" s="9"/>
      <c r="X232" s="9"/>
      <c r="Y232" s="9"/>
      <c r="Z232" s="9"/>
      <c r="AA232" s="9"/>
      <c r="AB232" s="9"/>
      <c r="AC232" s="9"/>
      <c r="AD232" s="9"/>
    </row>
    <row r="233" spans="1:30" ht="18.75" x14ac:dyDescent="0.3">
      <c r="A233" s="42"/>
      <c r="B233" s="42"/>
      <c r="C233" s="74"/>
      <c r="D233" s="74"/>
      <c r="E233" s="70"/>
      <c r="F233" s="70"/>
      <c r="G233" s="70"/>
      <c r="H233" s="70"/>
      <c r="I233" s="70"/>
      <c r="J233" s="77"/>
      <c r="K233" s="77"/>
      <c r="L233" s="9"/>
      <c r="M233" s="42"/>
      <c r="N233" s="42"/>
      <c r="O233" s="9"/>
      <c r="P233" s="9"/>
      <c r="Q233" s="9"/>
      <c r="R233" s="33"/>
      <c r="S233" s="9"/>
      <c r="U233" s="8"/>
      <c r="V233" s="9"/>
      <c r="W233" s="9"/>
      <c r="X233" s="9"/>
      <c r="Y233" s="9"/>
      <c r="Z233" s="9"/>
      <c r="AA233" s="9"/>
      <c r="AB233" s="9"/>
      <c r="AC233" s="9"/>
      <c r="AD233" s="9"/>
    </row>
    <row r="234" spans="1:30" ht="18.75" x14ac:dyDescent="0.3">
      <c r="A234" s="42"/>
      <c r="B234" s="42"/>
      <c r="C234" s="74"/>
      <c r="D234" s="74"/>
      <c r="E234" s="70"/>
      <c r="F234" s="70"/>
      <c r="G234" s="70"/>
      <c r="H234" s="70"/>
      <c r="I234" s="70"/>
      <c r="J234" s="77"/>
      <c r="K234" s="77"/>
      <c r="L234" s="9"/>
      <c r="M234" s="42"/>
      <c r="N234" s="42"/>
      <c r="O234" s="9"/>
      <c r="P234" s="9"/>
      <c r="Q234" s="9"/>
      <c r="R234" s="33"/>
      <c r="S234" s="9"/>
      <c r="U234" s="8"/>
      <c r="V234" s="9"/>
      <c r="W234" s="9"/>
      <c r="X234" s="9"/>
      <c r="Y234" s="9"/>
      <c r="Z234" s="9"/>
      <c r="AA234" s="9"/>
      <c r="AB234" s="9"/>
      <c r="AC234" s="9"/>
      <c r="AD234" s="9"/>
    </row>
    <row r="235" spans="1:30" ht="18.75" x14ac:dyDescent="0.3">
      <c r="A235" s="42"/>
      <c r="B235" s="42"/>
      <c r="C235" s="74"/>
      <c r="D235" s="74"/>
      <c r="E235" s="70"/>
      <c r="F235" s="70"/>
      <c r="G235" s="70"/>
      <c r="H235" s="70"/>
      <c r="I235" s="70"/>
      <c r="J235" s="77"/>
      <c r="K235" s="77"/>
      <c r="L235" s="9"/>
      <c r="M235" s="42"/>
      <c r="N235" s="42"/>
      <c r="O235" s="9"/>
      <c r="P235" s="9"/>
      <c r="Q235" s="9"/>
      <c r="R235" s="33"/>
      <c r="S235" s="9"/>
      <c r="U235" s="8"/>
      <c r="V235" s="9"/>
      <c r="W235" s="9"/>
      <c r="X235" s="9"/>
      <c r="Y235" s="9"/>
      <c r="Z235" s="9"/>
      <c r="AA235" s="9"/>
      <c r="AB235" s="9"/>
      <c r="AC235" s="9"/>
      <c r="AD235" s="9"/>
    </row>
    <row r="236" spans="1:30" ht="18.75" x14ac:dyDescent="0.3">
      <c r="A236" s="42"/>
      <c r="B236" s="42"/>
      <c r="C236" s="74"/>
      <c r="D236" s="74"/>
      <c r="E236" s="70"/>
      <c r="F236" s="70"/>
      <c r="G236" s="70"/>
      <c r="H236" s="70"/>
      <c r="I236" s="70"/>
      <c r="J236" s="77"/>
      <c r="K236" s="77"/>
      <c r="L236" s="9"/>
      <c r="M236" s="42"/>
      <c r="N236" s="42"/>
      <c r="O236" s="9"/>
      <c r="P236" s="9"/>
      <c r="Q236" s="9"/>
      <c r="R236" s="33"/>
      <c r="S236" s="9"/>
      <c r="U236" s="8"/>
      <c r="V236" s="9"/>
      <c r="W236" s="9"/>
      <c r="X236" s="9"/>
      <c r="Y236" s="9"/>
      <c r="Z236" s="9"/>
      <c r="AA236" s="9"/>
      <c r="AB236" s="9"/>
      <c r="AC236" s="9"/>
      <c r="AD236" s="9"/>
    </row>
    <row r="237" spans="1:30" ht="18.75" x14ac:dyDescent="0.3">
      <c r="A237" s="42"/>
      <c r="B237" s="42"/>
      <c r="C237" s="74"/>
      <c r="D237" s="74"/>
      <c r="E237" s="70"/>
      <c r="F237" s="70"/>
      <c r="G237" s="70"/>
      <c r="H237" s="70"/>
      <c r="I237" s="70"/>
      <c r="J237" s="77"/>
      <c r="K237" s="77"/>
      <c r="L237" s="9"/>
      <c r="M237" s="42"/>
      <c r="N237" s="42"/>
      <c r="O237" s="9"/>
      <c r="P237" s="9"/>
      <c r="Q237" s="9"/>
      <c r="R237" s="33"/>
      <c r="S237" s="9"/>
      <c r="U237" s="8"/>
      <c r="V237" s="9"/>
      <c r="W237" s="9"/>
      <c r="X237" s="9"/>
      <c r="Y237" s="9"/>
      <c r="Z237" s="9"/>
      <c r="AA237" s="9"/>
      <c r="AB237" s="9"/>
      <c r="AC237" s="9"/>
      <c r="AD237" s="9"/>
    </row>
    <row r="238" spans="1:30" ht="18.75" x14ac:dyDescent="0.3">
      <c r="A238" s="42"/>
      <c r="B238" s="42"/>
      <c r="C238" s="74"/>
      <c r="D238" s="74"/>
      <c r="E238" s="70"/>
      <c r="F238" s="70"/>
      <c r="G238" s="70"/>
      <c r="H238" s="70"/>
      <c r="I238" s="70"/>
      <c r="J238" s="77"/>
      <c r="K238" s="77"/>
      <c r="L238" s="9"/>
      <c r="M238" s="42"/>
      <c r="N238" s="42"/>
      <c r="O238" s="9"/>
      <c r="P238" s="9"/>
      <c r="Q238" s="9"/>
      <c r="R238" s="33"/>
      <c r="S238" s="9"/>
      <c r="U238" s="8"/>
      <c r="V238" s="9"/>
      <c r="W238" s="9"/>
      <c r="X238" s="9"/>
      <c r="Y238" s="9"/>
      <c r="Z238" s="9"/>
      <c r="AA238" s="9"/>
      <c r="AB238" s="9"/>
      <c r="AC238" s="9"/>
      <c r="AD238" s="9"/>
    </row>
    <row r="239" spans="1:30" ht="18.75" x14ac:dyDescent="0.3">
      <c r="A239" s="42"/>
      <c r="B239" s="42"/>
      <c r="C239" s="74"/>
      <c r="D239" s="74"/>
      <c r="E239" s="70"/>
      <c r="F239" s="70"/>
      <c r="G239" s="70"/>
      <c r="H239" s="70"/>
      <c r="I239" s="70"/>
      <c r="J239" s="77"/>
      <c r="K239" s="77"/>
      <c r="L239" s="9"/>
      <c r="M239" s="42"/>
      <c r="N239" s="42"/>
      <c r="O239" s="9"/>
      <c r="P239" s="9"/>
      <c r="Q239" s="9"/>
      <c r="R239" s="33"/>
      <c r="S239" s="9"/>
      <c r="U239" s="8"/>
      <c r="V239" s="9"/>
      <c r="W239" s="9"/>
      <c r="X239" s="9"/>
      <c r="Y239" s="9"/>
      <c r="Z239" s="9"/>
      <c r="AA239" s="9"/>
      <c r="AB239" s="9"/>
      <c r="AC239" s="9"/>
      <c r="AD239" s="9"/>
    </row>
    <row r="240" spans="1:30" ht="18.75" x14ac:dyDescent="0.3">
      <c r="A240" s="42"/>
      <c r="B240" s="42"/>
      <c r="C240" s="74"/>
      <c r="D240" s="74"/>
      <c r="E240" s="70"/>
      <c r="F240" s="70"/>
      <c r="G240" s="70"/>
      <c r="H240" s="70"/>
      <c r="I240" s="70"/>
      <c r="J240" s="77"/>
      <c r="K240" s="77"/>
      <c r="L240" s="9"/>
      <c r="M240" s="42"/>
      <c r="N240" s="42"/>
      <c r="O240" s="9"/>
      <c r="P240" s="9"/>
      <c r="Q240" s="9"/>
      <c r="R240" s="33"/>
      <c r="S240" s="9"/>
      <c r="U240" s="8"/>
      <c r="V240" s="9"/>
      <c r="W240" s="9"/>
      <c r="X240" s="9"/>
      <c r="Y240" s="9"/>
      <c r="Z240" s="9"/>
      <c r="AA240" s="9"/>
      <c r="AB240" s="9"/>
      <c r="AC240" s="9"/>
      <c r="AD240" s="9"/>
    </row>
    <row r="241" spans="1:30" ht="18.75" x14ac:dyDescent="0.3">
      <c r="A241" s="42"/>
      <c r="B241" s="42"/>
      <c r="C241" s="74"/>
      <c r="D241" s="74"/>
      <c r="E241" s="70"/>
      <c r="F241" s="70"/>
      <c r="G241" s="70"/>
      <c r="H241" s="70"/>
      <c r="I241" s="70"/>
      <c r="J241" s="77"/>
      <c r="K241" s="77"/>
      <c r="L241" s="9"/>
      <c r="M241" s="42"/>
      <c r="N241" s="42"/>
      <c r="O241" s="9"/>
      <c r="P241" s="9"/>
      <c r="Q241" s="9"/>
      <c r="R241" s="33"/>
      <c r="S241" s="9"/>
      <c r="U241" s="8"/>
      <c r="V241" s="9"/>
      <c r="W241" s="9"/>
      <c r="X241" s="9"/>
      <c r="Y241" s="9"/>
      <c r="Z241" s="9"/>
      <c r="AA241" s="9"/>
      <c r="AB241" s="9"/>
      <c r="AC241" s="9"/>
      <c r="AD241" s="9"/>
    </row>
    <row r="242" spans="1:30" ht="18.75" x14ac:dyDescent="0.3">
      <c r="A242" s="42"/>
      <c r="B242" s="42"/>
      <c r="C242" s="74"/>
      <c r="D242" s="74"/>
      <c r="E242" s="70"/>
      <c r="F242" s="70"/>
      <c r="G242" s="70"/>
      <c r="H242" s="70"/>
      <c r="I242" s="70"/>
      <c r="J242" s="77"/>
      <c r="K242" s="77"/>
      <c r="L242" s="9"/>
      <c r="M242" s="42"/>
      <c r="N242" s="42"/>
      <c r="O242" s="9"/>
      <c r="P242" s="9"/>
      <c r="Q242" s="9"/>
      <c r="R242" s="33"/>
      <c r="S242" s="9"/>
      <c r="U242" s="8"/>
      <c r="V242" s="9"/>
      <c r="W242" s="9"/>
      <c r="X242" s="9"/>
      <c r="Y242" s="9"/>
      <c r="Z242" s="9"/>
      <c r="AA242" s="9"/>
      <c r="AB242" s="9"/>
      <c r="AC242" s="9"/>
      <c r="AD242" s="9"/>
    </row>
    <row r="243" spans="1:30" ht="18.75" x14ac:dyDescent="0.3">
      <c r="A243" s="42"/>
      <c r="B243" s="42"/>
      <c r="C243" s="74"/>
      <c r="D243" s="74"/>
      <c r="E243" s="70"/>
      <c r="F243" s="70"/>
      <c r="G243" s="70"/>
      <c r="H243" s="70"/>
      <c r="I243" s="70"/>
      <c r="J243" s="77"/>
      <c r="K243" s="77"/>
      <c r="L243" s="9"/>
      <c r="M243" s="42"/>
      <c r="N243" s="42"/>
      <c r="O243" s="9"/>
      <c r="P243" s="9"/>
      <c r="Q243" s="9"/>
      <c r="R243" s="33"/>
      <c r="S243" s="9"/>
      <c r="U243" s="8"/>
      <c r="V243" s="9"/>
      <c r="W243" s="9"/>
      <c r="X243" s="9"/>
      <c r="Y243" s="9"/>
      <c r="Z243" s="9"/>
      <c r="AA243" s="9"/>
      <c r="AB243" s="9"/>
      <c r="AC243" s="9"/>
      <c r="AD243" s="9"/>
    </row>
    <row r="244" spans="1:30" ht="18.75" x14ac:dyDescent="0.3">
      <c r="A244" s="42"/>
      <c r="B244" s="42"/>
      <c r="C244" s="74"/>
      <c r="D244" s="74"/>
      <c r="E244" s="70"/>
      <c r="F244" s="70"/>
      <c r="G244" s="70"/>
      <c r="H244" s="70"/>
      <c r="I244" s="70"/>
      <c r="J244" s="77"/>
      <c r="K244" s="77"/>
      <c r="L244" s="9"/>
      <c r="M244" s="42"/>
      <c r="N244" s="42"/>
      <c r="O244" s="9"/>
      <c r="P244" s="9"/>
      <c r="Q244" s="9"/>
      <c r="R244" s="33"/>
      <c r="S244" s="9"/>
      <c r="U244" s="8"/>
      <c r="V244" s="9"/>
      <c r="W244" s="9"/>
      <c r="X244" s="9"/>
      <c r="Y244" s="9"/>
      <c r="Z244" s="9"/>
      <c r="AA244" s="9"/>
      <c r="AB244" s="9"/>
      <c r="AC244" s="9"/>
      <c r="AD244" s="9"/>
    </row>
    <row r="245" spans="1:30" ht="18.75" x14ac:dyDescent="0.3">
      <c r="A245" s="42"/>
      <c r="B245" s="42"/>
      <c r="C245" s="74"/>
      <c r="D245" s="74"/>
      <c r="E245" s="70"/>
      <c r="F245" s="70"/>
      <c r="G245" s="70"/>
      <c r="H245" s="70"/>
      <c r="I245" s="70"/>
      <c r="J245" s="77"/>
      <c r="K245" s="77"/>
      <c r="L245" s="9"/>
      <c r="M245" s="42"/>
      <c r="N245" s="42"/>
      <c r="O245" s="9"/>
      <c r="P245" s="9"/>
      <c r="Q245" s="9"/>
      <c r="R245" s="33"/>
      <c r="S245" s="9"/>
      <c r="U245" s="8"/>
      <c r="V245" s="9"/>
      <c r="W245" s="9"/>
      <c r="X245" s="9"/>
      <c r="Y245" s="9"/>
      <c r="Z245" s="9"/>
      <c r="AA245" s="9"/>
      <c r="AB245" s="9"/>
      <c r="AC245" s="9"/>
      <c r="AD245" s="9"/>
    </row>
    <row r="246" spans="1:30" ht="18.75" x14ac:dyDescent="0.3">
      <c r="A246" s="42"/>
      <c r="B246" s="42"/>
      <c r="C246" s="74"/>
      <c r="D246" s="74"/>
      <c r="E246" s="70"/>
      <c r="F246" s="70"/>
      <c r="G246" s="70"/>
      <c r="H246" s="70"/>
      <c r="I246" s="70"/>
      <c r="J246" s="77"/>
      <c r="K246" s="77"/>
      <c r="L246" s="9"/>
      <c r="M246" s="42"/>
      <c r="N246" s="42"/>
      <c r="O246" s="9"/>
      <c r="P246" s="9"/>
      <c r="Q246" s="9"/>
      <c r="R246" s="33"/>
      <c r="S246" s="9"/>
      <c r="U246" s="8"/>
      <c r="V246" s="9"/>
      <c r="W246" s="9"/>
      <c r="X246" s="9"/>
      <c r="Y246" s="9"/>
      <c r="Z246" s="9"/>
      <c r="AA246" s="9"/>
      <c r="AB246" s="9"/>
      <c r="AC246" s="9"/>
      <c r="AD246" s="9"/>
    </row>
    <row r="247" spans="1:30" ht="18.75" x14ac:dyDescent="0.3">
      <c r="A247" s="42"/>
      <c r="B247" s="42"/>
      <c r="C247" s="74"/>
      <c r="D247" s="74"/>
      <c r="E247" s="70"/>
      <c r="F247" s="70"/>
      <c r="G247" s="70"/>
      <c r="H247" s="70"/>
      <c r="I247" s="70"/>
      <c r="J247" s="77"/>
      <c r="K247" s="77"/>
      <c r="L247" s="9"/>
      <c r="M247" s="42"/>
      <c r="N247" s="42"/>
      <c r="O247" s="9"/>
      <c r="P247" s="9"/>
      <c r="Q247" s="9"/>
      <c r="R247" s="33"/>
      <c r="S247" s="9"/>
      <c r="U247" s="8"/>
      <c r="V247" s="9"/>
      <c r="W247" s="9"/>
      <c r="X247" s="9"/>
      <c r="Y247" s="9"/>
      <c r="Z247" s="9"/>
      <c r="AA247" s="9"/>
      <c r="AB247" s="9"/>
      <c r="AC247" s="9"/>
      <c r="AD247" s="9"/>
    </row>
    <row r="248" spans="1:30" ht="18.75" x14ac:dyDescent="0.3">
      <c r="A248" s="42"/>
      <c r="B248" s="42"/>
      <c r="C248" s="74"/>
      <c r="D248" s="74"/>
      <c r="E248" s="70"/>
      <c r="F248" s="70"/>
      <c r="G248" s="70"/>
      <c r="H248" s="70"/>
      <c r="I248" s="70"/>
      <c r="J248" s="77"/>
      <c r="K248" s="77"/>
      <c r="L248" s="9"/>
      <c r="M248" s="42"/>
      <c r="N248" s="42"/>
      <c r="O248" s="9"/>
      <c r="P248" s="9"/>
      <c r="Q248" s="9"/>
      <c r="R248" s="33"/>
      <c r="S248" s="9"/>
      <c r="U248" s="8"/>
      <c r="V248" s="9"/>
      <c r="W248" s="9"/>
      <c r="X248" s="9"/>
      <c r="Y248" s="9"/>
      <c r="Z248" s="9"/>
      <c r="AA248" s="9"/>
      <c r="AB248" s="9"/>
      <c r="AC248" s="9"/>
      <c r="AD248" s="9"/>
    </row>
    <row r="249" spans="1:30" ht="18.75" x14ac:dyDescent="0.3">
      <c r="A249" s="42"/>
      <c r="B249" s="42"/>
      <c r="C249" s="74"/>
      <c r="D249" s="74"/>
      <c r="E249" s="70"/>
      <c r="F249" s="70"/>
      <c r="G249" s="70"/>
      <c r="H249" s="70"/>
      <c r="I249" s="70"/>
      <c r="J249" s="77"/>
      <c r="K249" s="77"/>
      <c r="L249" s="9"/>
      <c r="M249" s="42"/>
      <c r="N249" s="42"/>
      <c r="O249" s="9"/>
      <c r="P249" s="9"/>
      <c r="Q249" s="9"/>
      <c r="R249" s="33"/>
      <c r="S249" s="9"/>
      <c r="U249" s="8"/>
      <c r="V249" s="9"/>
      <c r="W249" s="9"/>
      <c r="X249" s="9"/>
      <c r="Y249" s="9"/>
      <c r="Z249" s="9"/>
      <c r="AA249" s="9"/>
      <c r="AB249" s="9"/>
      <c r="AC249" s="9"/>
      <c r="AD249" s="9"/>
    </row>
    <row r="250" spans="1:30" ht="18.75" x14ac:dyDescent="0.3">
      <c r="A250" s="42"/>
      <c r="B250" s="42"/>
      <c r="C250" s="74"/>
      <c r="D250" s="74"/>
      <c r="E250" s="70"/>
      <c r="F250" s="70"/>
      <c r="G250" s="70"/>
      <c r="H250" s="70"/>
      <c r="I250" s="70"/>
      <c r="J250" s="77"/>
      <c r="K250" s="77"/>
      <c r="L250" s="9"/>
      <c r="M250" s="42"/>
      <c r="N250" s="42"/>
      <c r="O250" s="9"/>
      <c r="P250" s="9"/>
      <c r="Q250" s="9"/>
      <c r="R250" s="33"/>
      <c r="S250" s="9"/>
      <c r="U250" s="8"/>
      <c r="V250" s="9"/>
      <c r="W250" s="9"/>
      <c r="X250" s="9"/>
      <c r="Y250" s="9"/>
      <c r="Z250" s="9"/>
      <c r="AA250" s="9"/>
      <c r="AB250" s="9"/>
      <c r="AC250" s="9"/>
      <c r="AD250" s="9"/>
    </row>
    <row r="251" spans="1:30" ht="18.75" x14ac:dyDescent="0.3">
      <c r="A251" s="42"/>
      <c r="B251" s="42"/>
      <c r="C251" s="74"/>
      <c r="D251" s="74"/>
      <c r="E251" s="70"/>
      <c r="F251" s="70"/>
      <c r="G251" s="70"/>
      <c r="H251" s="70"/>
      <c r="I251" s="70"/>
      <c r="J251" s="77"/>
      <c r="K251" s="77"/>
      <c r="L251" s="9"/>
      <c r="M251" s="42"/>
      <c r="N251" s="42"/>
      <c r="O251" s="9"/>
      <c r="P251" s="9"/>
      <c r="Q251" s="9"/>
      <c r="R251" s="33"/>
      <c r="S251" s="9"/>
      <c r="U251" s="8"/>
      <c r="V251" s="9"/>
      <c r="W251" s="9"/>
      <c r="X251" s="9"/>
      <c r="Y251" s="9"/>
      <c r="Z251" s="9"/>
      <c r="AA251" s="9"/>
      <c r="AB251" s="9"/>
      <c r="AC251" s="9"/>
      <c r="AD251" s="9"/>
    </row>
    <row r="252" spans="1:30" ht="18.75" x14ac:dyDescent="0.3">
      <c r="A252" s="42"/>
      <c r="B252" s="42"/>
      <c r="C252" s="74"/>
      <c r="D252" s="74"/>
      <c r="E252" s="70"/>
      <c r="F252" s="70"/>
      <c r="G252" s="70"/>
      <c r="H252" s="70"/>
      <c r="I252" s="70"/>
      <c r="J252" s="77"/>
      <c r="K252" s="77"/>
      <c r="L252" s="9"/>
      <c r="M252" s="42"/>
      <c r="N252" s="42"/>
      <c r="O252" s="9"/>
      <c r="P252" s="9"/>
      <c r="Q252" s="9"/>
      <c r="R252" s="33"/>
      <c r="S252" s="9"/>
      <c r="U252" s="8"/>
      <c r="V252" s="9"/>
      <c r="W252" s="9"/>
      <c r="X252" s="9"/>
      <c r="Y252" s="9"/>
      <c r="Z252" s="9"/>
      <c r="AA252" s="9"/>
      <c r="AB252" s="9"/>
      <c r="AC252" s="9"/>
      <c r="AD252" s="9"/>
    </row>
    <row r="253" spans="1:30" ht="18.75" x14ac:dyDescent="0.3">
      <c r="A253" s="42"/>
      <c r="B253" s="42"/>
      <c r="C253" s="74"/>
      <c r="D253" s="74"/>
      <c r="E253" s="70"/>
      <c r="F253" s="70"/>
      <c r="G253" s="70"/>
      <c r="H253" s="70"/>
      <c r="I253" s="70"/>
      <c r="J253" s="77"/>
      <c r="K253" s="77"/>
      <c r="L253" s="9"/>
      <c r="M253" s="42"/>
      <c r="N253" s="42"/>
      <c r="O253" s="9"/>
      <c r="P253" s="9"/>
      <c r="Q253" s="9"/>
      <c r="R253" s="33"/>
      <c r="S253" s="9"/>
      <c r="U253" s="8"/>
      <c r="V253" s="9"/>
      <c r="W253" s="9"/>
      <c r="X253" s="9"/>
      <c r="Y253" s="9"/>
      <c r="Z253" s="9"/>
      <c r="AA253" s="9"/>
      <c r="AB253" s="9"/>
      <c r="AC253" s="9"/>
      <c r="AD253" s="9"/>
    </row>
    <row r="254" spans="1:30" ht="18.75" x14ac:dyDescent="0.3">
      <c r="A254" s="42"/>
      <c r="B254" s="42"/>
      <c r="C254" s="74"/>
      <c r="D254" s="74"/>
      <c r="E254" s="70"/>
      <c r="F254" s="70"/>
      <c r="G254" s="70"/>
      <c r="H254" s="70"/>
      <c r="I254" s="70"/>
      <c r="J254" s="77"/>
      <c r="K254" s="77"/>
      <c r="L254" s="9"/>
      <c r="M254" s="42"/>
      <c r="N254" s="42"/>
      <c r="O254" s="9"/>
      <c r="P254" s="9"/>
      <c r="Q254" s="9"/>
      <c r="R254" s="33"/>
      <c r="S254" s="9"/>
      <c r="U254" s="8"/>
      <c r="V254" s="9"/>
      <c r="W254" s="9"/>
      <c r="X254" s="9"/>
      <c r="Y254" s="9"/>
      <c r="Z254" s="9"/>
      <c r="AA254" s="9"/>
      <c r="AB254" s="9"/>
      <c r="AC254" s="9"/>
      <c r="AD254" s="9"/>
    </row>
    <row r="255" spans="1:30" ht="18.75" x14ac:dyDescent="0.3">
      <c r="A255" s="42"/>
      <c r="B255" s="42"/>
      <c r="C255" s="74"/>
      <c r="D255" s="74"/>
      <c r="E255" s="70"/>
      <c r="F255" s="70"/>
      <c r="G255" s="70"/>
      <c r="H255" s="70"/>
      <c r="I255" s="70"/>
      <c r="J255" s="77"/>
      <c r="K255" s="77"/>
      <c r="L255" s="9"/>
      <c r="M255" s="42"/>
      <c r="N255" s="42"/>
      <c r="O255" s="9"/>
      <c r="P255" s="9"/>
      <c r="Q255" s="9"/>
      <c r="R255" s="33"/>
      <c r="S255" s="9"/>
      <c r="U255" s="8"/>
      <c r="V255" s="9"/>
      <c r="W255" s="9"/>
      <c r="X255" s="9"/>
      <c r="Y255" s="9"/>
      <c r="Z255" s="9"/>
      <c r="AA255" s="9"/>
      <c r="AB255" s="9"/>
      <c r="AC255" s="9"/>
      <c r="AD255" s="9"/>
    </row>
    <row r="256" spans="1:30" ht="18.75" x14ac:dyDescent="0.3">
      <c r="A256" s="42"/>
      <c r="B256" s="42"/>
      <c r="C256" s="74"/>
      <c r="D256" s="74"/>
      <c r="E256" s="70"/>
      <c r="F256" s="70"/>
      <c r="G256" s="70"/>
      <c r="H256" s="70"/>
      <c r="I256" s="70"/>
      <c r="J256" s="77"/>
      <c r="K256" s="77"/>
      <c r="L256" s="9"/>
      <c r="M256" s="42"/>
      <c r="N256" s="42"/>
      <c r="O256" s="9"/>
      <c r="P256" s="9"/>
      <c r="Q256" s="9"/>
      <c r="R256" s="33"/>
      <c r="S256" s="9"/>
      <c r="U256" s="8"/>
      <c r="V256" s="9"/>
      <c r="W256" s="9"/>
      <c r="X256" s="9"/>
      <c r="Y256" s="9"/>
      <c r="Z256" s="9"/>
      <c r="AA256" s="9"/>
      <c r="AB256" s="9"/>
      <c r="AC256" s="9"/>
      <c r="AD256" s="9"/>
    </row>
    <row r="257" spans="1:30" ht="18.75" x14ac:dyDescent="0.3">
      <c r="A257" s="42"/>
      <c r="B257" s="42"/>
      <c r="C257" s="74"/>
      <c r="D257" s="74"/>
      <c r="E257" s="70"/>
      <c r="F257" s="70"/>
      <c r="G257" s="70"/>
      <c r="H257" s="70"/>
      <c r="I257" s="70"/>
      <c r="J257" s="77"/>
      <c r="K257" s="77"/>
      <c r="L257" s="9"/>
      <c r="M257" s="42"/>
      <c r="N257" s="42"/>
      <c r="O257" s="9"/>
      <c r="P257" s="9"/>
      <c r="Q257" s="9"/>
      <c r="R257" s="33"/>
      <c r="S257" s="9"/>
      <c r="U257" s="8"/>
      <c r="V257" s="9"/>
      <c r="W257" s="9"/>
      <c r="X257" s="9"/>
      <c r="Y257" s="9"/>
      <c r="Z257" s="9"/>
      <c r="AA257" s="9"/>
      <c r="AB257" s="9"/>
      <c r="AC257" s="9"/>
      <c r="AD257" s="9"/>
    </row>
    <row r="258" spans="1:30" ht="18.75" x14ac:dyDescent="0.3">
      <c r="A258" s="42"/>
      <c r="B258" s="42"/>
      <c r="C258" s="74"/>
      <c r="D258" s="74"/>
      <c r="E258" s="70"/>
      <c r="F258" s="70"/>
      <c r="G258" s="70"/>
      <c r="H258" s="70"/>
      <c r="I258" s="70"/>
      <c r="J258" s="77"/>
      <c r="K258" s="77"/>
      <c r="L258" s="9"/>
      <c r="M258" s="42"/>
      <c r="N258" s="42"/>
      <c r="O258" s="9"/>
      <c r="P258" s="9"/>
      <c r="Q258" s="9"/>
      <c r="R258" s="33"/>
      <c r="S258" s="9"/>
      <c r="U258" s="8"/>
      <c r="V258" s="9"/>
      <c r="W258" s="9"/>
      <c r="X258" s="9"/>
      <c r="Y258" s="9"/>
      <c r="Z258" s="9"/>
      <c r="AA258" s="9"/>
      <c r="AB258" s="9"/>
      <c r="AC258" s="9"/>
      <c r="AD258" s="9"/>
    </row>
    <row r="259" spans="1:30" ht="18.75" x14ac:dyDescent="0.3">
      <c r="A259" s="42"/>
      <c r="B259" s="42"/>
      <c r="C259" s="74"/>
      <c r="D259" s="74"/>
      <c r="E259" s="70"/>
      <c r="F259" s="70"/>
      <c r="G259" s="70"/>
      <c r="H259" s="70"/>
      <c r="I259" s="70"/>
      <c r="J259" s="77"/>
      <c r="K259" s="77"/>
      <c r="L259" s="9"/>
      <c r="M259" s="42"/>
      <c r="N259" s="42"/>
      <c r="O259" s="9"/>
      <c r="P259" s="9"/>
      <c r="Q259" s="9"/>
      <c r="R259" s="33"/>
      <c r="S259" s="9"/>
      <c r="U259" s="8"/>
      <c r="V259" s="9"/>
      <c r="W259" s="9"/>
      <c r="X259" s="9"/>
      <c r="Y259" s="9"/>
      <c r="Z259" s="9"/>
      <c r="AA259" s="9"/>
      <c r="AB259" s="9"/>
      <c r="AC259" s="9"/>
      <c r="AD259" s="9"/>
    </row>
    <row r="260" spans="1:30" ht="18.75" x14ac:dyDescent="0.3">
      <c r="A260" s="42"/>
      <c r="B260" s="42"/>
      <c r="C260" s="74"/>
      <c r="D260" s="74"/>
      <c r="E260" s="70"/>
      <c r="F260" s="70"/>
      <c r="G260" s="70"/>
      <c r="H260" s="70"/>
      <c r="I260" s="70"/>
      <c r="J260" s="77"/>
      <c r="K260" s="77"/>
      <c r="L260" s="9"/>
      <c r="M260" s="42"/>
      <c r="N260" s="42"/>
      <c r="O260" s="9"/>
      <c r="P260" s="9"/>
      <c r="Q260" s="9"/>
      <c r="R260" s="33"/>
      <c r="S260" s="9"/>
      <c r="U260" s="8"/>
      <c r="V260" s="9"/>
      <c r="W260" s="9"/>
      <c r="X260" s="9"/>
      <c r="Y260" s="9"/>
      <c r="Z260" s="9"/>
      <c r="AA260" s="9"/>
      <c r="AB260" s="9"/>
      <c r="AC260" s="9"/>
      <c r="AD260" s="9"/>
    </row>
    <row r="261" spans="1:30" ht="18.75" x14ac:dyDescent="0.3">
      <c r="A261" s="42"/>
      <c r="B261" s="42"/>
      <c r="C261" s="74"/>
      <c r="D261" s="74"/>
      <c r="E261" s="70"/>
      <c r="F261" s="70"/>
      <c r="G261" s="70"/>
      <c r="H261" s="70"/>
      <c r="I261" s="70"/>
      <c r="J261" s="77"/>
      <c r="K261" s="77"/>
      <c r="L261" s="9"/>
      <c r="M261" s="42"/>
      <c r="N261" s="42"/>
      <c r="O261" s="9"/>
      <c r="P261" s="9"/>
      <c r="Q261" s="9"/>
      <c r="R261" s="33"/>
      <c r="S261" s="9"/>
      <c r="U261" s="8"/>
      <c r="V261" s="9"/>
      <c r="W261" s="9"/>
      <c r="X261" s="9"/>
      <c r="Y261" s="9"/>
      <c r="Z261" s="9"/>
      <c r="AA261" s="9"/>
      <c r="AB261" s="9"/>
      <c r="AC261" s="9"/>
      <c r="AD261" s="9"/>
    </row>
    <row r="262" spans="1:30" ht="18.75" x14ac:dyDescent="0.3">
      <c r="A262" s="42"/>
      <c r="B262" s="42"/>
      <c r="C262" s="74"/>
      <c r="D262" s="74"/>
      <c r="E262" s="70"/>
      <c r="F262" s="70"/>
      <c r="G262" s="70"/>
      <c r="H262" s="70"/>
      <c r="I262" s="70"/>
      <c r="J262" s="77"/>
      <c r="K262" s="77"/>
      <c r="L262" s="9"/>
      <c r="M262" s="42"/>
      <c r="N262" s="42"/>
      <c r="O262" s="9"/>
      <c r="P262" s="9"/>
      <c r="Q262" s="9"/>
      <c r="R262" s="33"/>
      <c r="S262" s="9"/>
      <c r="U262" s="8"/>
      <c r="V262" s="9"/>
      <c r="W262" s="9"/>
      <c r="X262" s="9"/>
      <c r="Y262" s="9"/>
      <c r="Z262" s="9"/>
      <c r="AA262" s="9"/>
      <c r="AB262" s="9"/>
      <c r="AC262" s="9"/>
      <c r="AD262" s="9"/>
    </row>
    <row r="263" spans="1:30" ht="18.75" x14ac:dyDescent="0.3">
      <c r="A263" s="42"/>
      <c r="B263" s="42"/>
      <c r="C263" s="74"/>
      <c r="D263" s="74"/>
      <c r="E263" s="70"/>
      <c r="F263" s="70"/>
      <c r="G263" s="70"/>
      <c r="H263" s="70"/>
      <c r="I263" s="70"/>
      <c r="J263" s="77"/>
      <c r="K263" s="77"/>
      <c r="L263" s="9"/>
      <c r="M263" s="42"/>
      <c r="N263" s="42"/>
      <c r="O263" s="9"/>
      <c r="P263" s="9"/>
      <c r="Q263" s="9"/>
      <c r="R263" s="33"/>
      <c r="S263" s="9"/>
      <c r="U263" s="8"/>
      <c r="V263" s="9"/>
      <c r="W263" s="9"/>
      <c r="X263" s="9"/>
      <c r="Y263" s="9"/>
      <c r="Z263" s="9"/>
      <c r="AA263" s="9"/>
      <c r="AB263" s="9"/>
      <c r="AC263" s="9"/>
      <c r="AD263" s="9"/>
    </row>
    <row r="264" spans="1:30" ht="18.75" x14ac:dyDescent="0.3">
      <c r="A264" s="42"/>
      <c r="B264" s="42"/>
      <c r="C264" s="74"/>
      <c r="D264" s="74"/>
      <c r="E264" s="70"/>
      <c r="F264" s="70"/>
      <c r="G264" s="70"/>
      <c r="H264" s="70"/>
      <c r="I264" s="70"/>
      <c r="J264" s="77"/>
      <c r="K264" s="77"/>
      <c r="L264" s="9"/>
      <c r="M264" s="42"/>
      <c r="N264" s="42"/>
      <c r="O264" s="9"/>
      <c r="P264" s="9"/>
      <c r="Q264" s="9"/>
      <c r="R264" s="33"/>
      <c r="S264" s="9"/>
      <c r="U264" s="8"/>
      <c r="V264" s="9"/>
      <c r="W264" s="9"/>
      <c r="X264" s="9"/>
      <c r="Y264" s="9"/>
      <c r="Z264" s="9"/>
      <c r="AA264" s="9"/>
      <c r="AB264" s="9"/>
      <c r="AC264" s="9"/>
      <c r="AD264" s="9"/>
    </row>
    <row r="265" spans="1:30" ht="18.75" x14ac:dyDescent="0.3">
      <c r="A265" s="42"/>
      <c r="B265" s="42"/>
      <c r="C265" s="74"/>
      <c r="D265" s="74"/>
      <c r="E265" s="70"/>
      <c r="F265" s="70"/>
      <c r="G265" s="70"/>
      <c r="H265" s="70"/>
      <c r="I265" s="70"/>
      <c r="J265" s="77"/>
      <c r="K265" s="77"/>
      <c r="L265" s="9"/>
      <c r="M265" s="42"/>
      <c r="N265" s="42"/>
      <c r="O265" s="9"/>
      <c r="P265" s="9"/>
      <c r="Q265" s="9"/>
      <c r="R265" s="33"/>
      <c r="S265" s="9"/>
      <c r="U265" s="8"/>
      <c r="V265" s="9"/>
      <c r="W265" s="9"/>
      <c r="X265" s="9"/>
      <c r="Y265" s="9"/>
      <c r="Z265" s="9"/>
      <c r="AA265" s="9"/>
      <c r="AB265" s="9"/>
      <c r="AC265" s="9"/>
      <c r="AD265" s="9"/>
    </row>
    <row r="266" spans="1:30" ht="18.75" x14ac:dyDescent="0.3">
      <c r="A266" s="42"/>
      <c r="B266" s="42"/>
      <c r="C266" s="74"/>
      <c r="D266" s="74"/>
      <c r="E266" s="70"/>
      <c r="F266" s="70"/>
      <c r="G266" s="70"/>
      <c r="H266" s="70"/>
      <c r="I266" s="70"/>
      <c r="J266" s="77"/>
      <c r="K266" s="77"/>
      <c r="L266" s="9"/>
      <c r="M266" s="42"/>
      <c r="N266" s="42"/>
      <c r="O266" s="9"/>
      <c r="P266" s="9"/>
      <c r="Q266" s="9"/>
      <c r="R266" s="33"/>
      <c r="S266" s="9"/>
      <c r="U266" s="8"/>
      <c r="V266" s="9"/>
      <c r="W266" s="9"/>
      <c r="X266" s="9"/>
      <c r="Y266" s="9"/>
      <c r="Z266" s="9"/>
      <c r="AA266" s="9"/>
      <c r="AB266" s="9"/>
      <c r="AC266" s="9"/>
      <c r="AD266" s="9"/>
    </row>
    <row r="267" spans="1:30" ht="18.75" x14ac:dyDescent="0.3">
      <c r="A267" s="42"/>
      <c r="B267" s="42"/>
      <c r="C267" s="74"/>
      <c r="D267" s="74"/>
      <c r="E267" s="70"/>
      <c r="F267" s="70"/>
      <c r="G267" s="70"/>
      <c r="H267" s="70"/>
      <c r="I267" s="70"/>
      <c r="J267" s="77"/>
      <c r="K267" s="77"/>
      <c r="L267" s="9"/>
      <c r="M267" s="42"/>
      <c r="N267" s="42"/>
      <c r="O267" s="9"/>
      <c r="P267" s="9"/>
      <c r="Q267" s="9"/>
      <c r="R267" s="33"/>
      <c r="S267" s="9"/>
      <c r="U267" s="8"/>
      <c r="V267" s="9"/>
      <c r="W267" s="9"/>
      <c r="X267" s="9"/>
      <c r="Y267" s="9"/>
      <c r="Z267" s="9"/>
      <c r="AA267" s="9"/>
      <c r="AB267" s="9"/>
      <c r="AC267" s="9"/>
      <c r="AD267" s="9"/>
    </row>
    <row r="268" spans="1:30" ht="18.75" x14ac:dyDescent="0.3">
      <c r="A268" s="42"/>
      <c r="B268" s="42"/>
      <c r="C268" s="74"/>
      <c r="D268" s="74"/>
      <c r="E268" s="70"/>
      <c r="F268" s="70"/>
      <c r="G268" s="70"/>
      <c r="H268" s="70"/>
      <c r="I268" s="70"/>
      <c r="J268" s="77"/>
      <c r="K268" s="77"/>
      <c r="L268" s="9"/>
      <c r="M268" s="42"/>
      <c r="N268" s="42"/>
      <c r="O268" s="9"/>
      <c r="P268" s="9"/>
      <c r="Q268" s="9"/>
      <c r="R268" s="33"/>
      <c r="S268" s="9"/>
      <c r="U268" s="8"/>
      <c r="V268" s="9"/>
      <c r="W268" s="9"/>
      <c r="X268" s="9"/>
      <c r="Y268" s="9"/>
      <c r="Z268" s="9"/>
      <c r="AA268" s="9"/>
      <c r="AB268" s="9"/>
      <c r="AC268" s="9"/>
      <c r="AD268" s="9"/>
    </row>
    <row r="269" spans="1:30" ht="18.75" x14ac:dyDescent="0.3">
      <c r="A269" s="42"/>
      <c r="B269" s="42"/>
      <c r="C269" s="74"/>
      <c r="D269" s="74"/>
      <c r="E269" s="70"/>
      <c r="F269" s="70"/>
      <c r="G269" s="70"/>
      <c r="H269" s="70"/>
      <c r="I269" s="70"/>
      <c r="J269" s="77"/>
      <c r="K269" s="77"/>
      <c r="L269" s="9"/>
      <c r="M269" s="42"/>
      <c r="N269" s="42"/>
      <c r="O269" s="9"/>
      <c r="P269" s="9"/>
      <c r="Q269" s="9"/>
      <c r="R269" s="33"/>
      <c r="S269" s="9"/>
      <c r="U269" s="8"/>
      <c r="V269" s="9"/>
      <c r="W269" s="9"/>
      <c r="X269" s="9"/>
      <c r="Y269" s="9"/>
      <c r="Z269" s="9"/>
      <c r="AA269" s="9"/>
      <c r="AB269" s="9"/>
      <c r="AC269" s="9"/>
      <c r="AD269" s="9"/>
    </row>
    <row r="270" spans="1:30" ht="18.75" x14ac:dyDescent="0.3">
      <c r="A270" s="42"/>
      <c r="B270" s="42"/>
      <c r="C270" s="74"/>
      <c r="D270" s="74"/>
      <c r="E270" s="70"/>
      <c r="F270" s="70"/>
      <c r="G270" s="70"/>
      <c r="H270" s="70"/>
      <c r="I270" s="70"/>
      <c r="J270" s="77"/>
      <c r="K270" s="77"/>
      <c r="L270" s="9"/>
      <c r="M270" s="42"/>
      <c r="N270" s="42"/>
      <c r="O270" s="9"/>
      <c r="P270" s="9"/>
      <c r="Q270" s="9"/>
      <c r="R270" s="33"/>
      <c r="S270" s="9"/>
      <c r="U270" s="8"/>
      <c r="V270" s="9"/>
      <c r="W270" s="9"/>
      <c r="X270" s="9"/>
      <c r="Y270" s="9"/>
      <c r="Z270" s="9"/>
      <c r="AA270" s="9"/>
      <c r="AB270" s="9"/>
      <c r="AC270" s="9"/>
      <c r="AD270" s="9"/>
    </row>
    <row r="271" spans="1:30" ht="18.75" x14ac:dyDescent="0.3">
      <c r="A271" s="42"/>
      <c r="B271" s="42"/>
      <c r="C271" s="74"/>
      <c r="D271" s="74"/>
      <c r="E271" s="70"/>
      <c r="F271" s="70"/>
      <c r="G271" s="70"/>
      <c r="H271" s="70"/>
      <c r="I271" s="70"/>
      <c r="J271" s="77"/>
      <c r="K271" s="77"/>
      <c r="L271" s="9"/>
      <c r="M271" s="42"/>
      <c r="N271" s="42"/>
      <c r="O271" s="9"/>
      <c r="P271" s="9"/>
      <c r="Q271" s="9"/>
      <c r="R271" s="33"/>
      <c r="S271" s="9"/>
      <c r="U271" s="8"/>
      <c r="V271" s="9"/>
      <c r="W271" s="9"/>
      <c r="X271" s="9"/>
      <c r="Y271" s="9"/>
      <c r="Z271" s="9"/>
      <c r="AA271" s="9"/>
      <c r="AB271" s="9"/>
      <c r="AC271" s="9"/>
      <c r="AD271" s="9"/>
    </row>
    <row r="272" spans="1:30" ht="18.75" x14ac:dyDescent="0.3">
      <c r="A272" s="42"/>
      <c r="B272" s="42"/>
      <c r="C272" s="74"/>
      <c r="D272" s="74"/>
      <c r="E272" s="70"/>
      <c r="F272" s="70"/>
      <c r="G272" s="70"/>
      <c r="H272" s="70"/>
      <c r="I272" s="70"/>
      <c r="J272" s="77"/>
      <c r="K272" s="77"/>
      <c r="L272" s="9"/>
      <c r="M272" s="42"/>
      <c r="N272" s="42"/>
      <c r="O272" s="9"/>
      <c r="P272" s="9"/>
      <c r="Q272" s="9"/>
      <c r="R272" s="33"/>
      <c r="S272" s="9"/>
      <c r="U272" s="8"/>
      <c r="V272" s="9"/>
      <c r="W272" s="9"/>
      <c r="X272" s="9"/>
      <c r="Y272" s="9"/>
      <c r="Z272" s="9"/>
      <c r="AA272" s="9"/>
      <c r="AB272" s="9"/>
      <c r="AC272" s="9"/>
      <c r="AD272" s="9"/>
    </row>
    <row r="273" spans="1:30" ht="18.75" x14ac:dyDescent="0.3">
      <c r="A273" s="42"/>
      <c r="B273" s="42"/>
      <c r="C273" s="74"/>
      <c r="D273" s="74"/>
      <c r="E273" s="70"/>
      <c r="F273" s="70"/>
      <c r="G273" s="70"/>
      <c r="H273" s="70"/>
      <c r="I273" s="70"/>
      <c r="J273" s="77"/>
      <c r="K273" s="77"/>
      <c r="L273" s="9"/>
      <c r="M273" s="42"/>
      <c r="N273" s="42"/>
      <c r="O273" s="9"/>
      <c r="P273" s="9"/>
      <c r="Q273" s="9"/>
      <c r="R273" s="33"/>
      <c r="S273" s="9"/>
      <c r="U273" s="8"/>
      <c r="V273" s="9"/>
      <c r="W273" s="9"/>
      <c r="X273" s="9"/>
      <c r="Y273" s="9"/>
      <c r="Z273" s="9"/>
      <c r="AA273" s="9"/>
      <c r="AB273" s="9"/>
      <c r="AC273" s="9"/>
      <c r="AD273" s="9"/>
    </row>
    <row r="274" spans="1:30" ht="18.75" x14ac:dyDescent="0.3">
      <c r="A274" s="42"/>
      <c r="B274" s="42"/>
      <c r="C274" s="74"/>
      <c r="D274" s="74"/>
      <c r="E274" s="70"/>
      <c r="F274" s="70"/>
      <c r="G274" s="70"/>
      <c r="H274" s="70"/>
      <c r="I274" s="70"/>
      <c r="J274" s="77"/>
      <c r="K274" s="77"/>
      <c r="L274" s="9"/>
      <c r="M274" s="42"/>
      <c r="N274" s="42"/>
      <c r="O274" s="9"/>
      <c r="P274" s="9"/>
      <c r="Q274" s="9"/>
      <c r="R274" s="33"/>
      <c r="S274" s="9"/>
      <c r="U274" s="8"/>
      <c r="V274" s="9"/>
      <c r="W274" s="9"/>
      <c r="X274" s="9"/>
      <c r="Y274" s="9"/>
      <c r="Z274" s="9"/>
      <c r="AA274" s="9"/>
      <c r="AB274" s="9"/>
      <c r="AC274" s="9"/>
      <c r="AD274" s="9"/>
    </row>
    <row r="275" spans="1:30" ht="18.75" x14ac:dyDescent="0.3">
      <c r="A275" s="42"/>
      <c r="B275" s="42"/>
      <c r="C275" s="74"/>
      <c r="D275" s="74"/>
      <c r="E275" s="70"/>
      <c r="F275" s="70"/>
      <c r="G275" s="70"/>
      <c r="H275" s="70"/>
      <c r="I275" s="70"/>
      <c r="J275" s="77"/>
      <c r="K275" s="77"/>
      <c r="L275" s="9"/>
      <c r="M275" s="42"/>
      <c r="N275" s="42"/>
      <c r="O275" s="9"/>
      <c r="P275" s="9"/>
      <c r="Q275" s="9"/>
      <c r="R275" s="33"/>
      <c r="S275" s="9"/>
      <c r="U275" s="8"/>
      <c r="V275" s="9"/>
      <c r="W275" s="9"/>
      <c r="X275" s="9"/>
      <c r="Y275" s="9"/>
      <c r="Z275" s="9"/>
      <c r="AA275" s="9"/>
      <c r="AB275" s="9"/>
      <c r="AC275" s="9"/>
      <c r="AD275" s="9"/>
    </row>
    <row r="276" spans="1:30" ht="18.75" x14ac:dyDescent="0.3">
      <c r="A276" s="42"/>
      <c r="B276" s="42"/>
      <c r="C276" s="74"/>
      <c r="D276" s="74"/>
      <c r="E276" s="70"/>
      <c r="F276" s="70"/>
      <c r="G276" s="70"/>
      <c r="H276" s="70"/>
      <c r="I276" s="70"/>
      <c r="J276" s="77"/>
      <c r="K276" s="77"/>
      <c r="L276" s="9"/>
      <c r="M276" s="42"/>
      <c r="N276" s="42"/>
      <c r="O276" s="9"/>
      <c r="P276" s="9"/>
      <c r="Q276" s="9"/>
      <c r="R276" s="33"/>
      <c r="S276" s="9"/>
      <c r="U276" s="8"/>
      <c r="V276" s="9"/>
      <c r="W276" s="9"/>
      <c r="X276" s="9"/>
      <c r="Y276" s="9"/>
      <c r="Z276" s="9"/>
      <c r="AA276" s="9"/>
      <c r="AB276" s="9"/>
      <c r="AC276" s="9"/>
      <c r="AD276" s="9"/>
    </row>
    <row r="277" spans="1:30" ht="18.75" x14ac:dyDescent="0.3">
      <c r="A277" s="42"/>
      <c r="B277" s="42"/>
      <c r="C277" s="74"/>
      <c r="D277" s="74"/>
      <c r="E277" s="70"/>
      <c r="F277" s="70"/>
      <c r="G277" s="70"/>
      <c r="H277" s="70"/>
      <c r="I277" s="70"/>
      <c r="J277" s="77"/>
      <c r="K277" s="77"/>
      <c r="L277" s="9"/>
      <c r="M277" s="42"/>
      <c r="N277" s="42"/>
      <c r="O277" s="9"/>
      <c r="P277" s="9"/>
      <c r="Q277" s="9"/>
      <c r="R277" s="33"/>
      <c r="S277" s="9"/>
      <c r="U277" s="8"/>
      <c r="V277" s="9"/>
      <c r="W277" s="9"/>
      <c r="X277" s="9"/>
      <c r="Y277" s="9"/>
      <c r="Z277" s="9"/>
      <c r="AA277" s="9"/>
      <c r="AB277" s="9"/>
      <c r="AC277" s="9"/>
      <c r="AD277" s="9"/>
    </row>
    <row r="278" spans="1:30" ht="18.75" x14ac:dyDescent="0.3">
      <c r="A278" s="42"/>
      <c r="B278" s="42"/>
      <c r="C278" s="74"/>
      <c r="D278" s="74"/>
      <c r="E278" s="70"/>
      <c r="F278" s="70"/>
      <c r="G278" s="70"/>
      <c r="H278" s="70"/>
      <c r="I278" s="70"/>
      <c r="J278" s="77"/>
      <c r="K278" s="77"/>
      <c r="L278" s="9"/>
      <c r="M278" s="42"/>
      <c r="N278" s="42"/>
      <c r="O278" s="9"/>
      <c r="P278" s="9"/>
      <c r="Q278" s="9"/>
      <c r="R278" s="33"/>
      <c r="S278" s="9"/>
      <c r="U278" s="8"/>
      <c r="V278" s="9"/>
      <c r="W278" s="9"/>
      <c r="X278" s="9"/>
      <c r="Y278" s="9"/>
      <c r="Z278" s="9"/>
      <c r="AA278" s="9"/>
      <c r="AB278" s="9"/>
      <c r="AC278" s="9"/>
      <c r="AD278" s="9"/>
    </row>
    <row r="279" spans="1:30" ht="18.75" x14ac:dyDescent="0.3">
      <c r="A279" s="42"/>
      <c r="B279" s="42"/>
      <c r="C279" s="74"/>
      <c r="D279" s="74"/>
      <c r="E279" s="70"/>
      <c r="F279" s="70"/>
      <c r="G279" s="70"/>
      <c r="H279" s="70"/>
      <c r="I279" s="70"/>
      <c r="J279" s="77"/>
      <c r="K279" s="77"/>
      <c r="L279" s="9"/>
      <c r="M279" s="42"/>
      <c r="N279" s="42"/>
      <c r="O279" s="9"/>
      <c r="P279" s="9"/>
      <c r="Q279" s="9"/>
      <c r="R279" s="33"/>
      <c r="S279" s="9"/>
      <c r="U279" s="8"/>
      <c r="V279" s="9"/>
      <c r="W279" s="9"/>
      <c r="X279" s="9"/>
      <c r="Y279" s="9"/>
      <c r="Z279" s="9"/>
      <c r="AA279" s="9"/>
      <c r="AB279" s="9"/>
      <c r="AC279" s="9"/>
      <c r="AD279" s="9"/>
    </row>
    <row r="280" spans="1:30" ht="18.75" x14ac:dyDescent="0.3">
      <c r="A280" s="42"/>
      <c r="B280" s="42"/>
      <c r="C280" s="74"/>
      <c r="D280" s="74"/>
      <c r="E280" s="70"/>
      <c r="F280" s="70"/>
      <c r="G280" s="70"/>
      <c r="H280" s="70"/>
      <c r="I280" s="70"/>
      <c r="J280" s="77"/>
      <c r="K280" s="77"/>
      <c r="L280" s="9"/>
      <c r="M280" s="42"/>
      <c r="N280" s="42"/>
      <c r="O280" s="9"/>
      <c r="P280" s="9"/>
      <c r="Q280" s="9"/>
      <c r="R280" s="33"/>
      <c r="S280" s="9"/>
      <c r="U280" s="8"/>
      <c r="V280" s="9"/>
      <c r="W280" s="9"/>
      <c r="X280" s="9"/>
      <c r="Y280" s="9"/>
      <c r="Z280" s="9"/>
      <c r="AA280" s="9"/>
      <c r="AB280" s="9"/>
      <c r="AC280" s="9"/>
      <c r="AD280" s="9"/>
    </row>
    <row r="281" spans="1:30" ht="18.75" x14ac:dyDescent="0.3">
      <c r="A281" s="42"/>
      <c r="B281" s="42"/>
      <c r="C281" s="74"/>
      <c r="D281" s="74"/>
      <c r="E281" s="70"/>
      <c r="F281" s="70"/>
      <c r="G281" s="70"/>
      <c r="H281" s="70"/>
      <c r="I281" s="70"/>
      <c r="J281" s="77"/>
      <c r="K281" s="77"/>
      <c r="L281" s="9"/>
      <c r="M281" s="42"/>
      <c r="N281" s="42"/>
      <c r="O281" s="9"/>
      <c r="P281" s="9"/>
      <c r="Q281" s="9"/>
      <c r="R281" s="33"/>
      <c r="S281" s="9"/>
      <c r="U281" s="8"/>
      <c r="V281" s="9"/>
      <c r="W281" s="9"/>
      <c r="X281" s="9"/>
      <c r="Y281" s="9"/>
      <c r="Z281" s="9"/>
      <c r="AA281" s="9"/>
      <c r="AB281" s="9"/>
      <c r="AC281" s="9"/>
      <c r="AD281" s="9"/>
    </row>
    <row r="282" spans="1:30" ht="18.75" x14ac:dyDescent="0.3">
      <c r="A282" s="42"/>
      <c r="B282" s="42"/>
      <c r="C282" s="74"/>
      <c r="D282" s="74"/>
      <c r="E282" s="70"/>
      <c r="F282" s="70"/>
      <c r="G282" s="70"/>
      <c r="H282" s="70"/>
      <c r="I282" s="70"/>
      <c r="J282" s="77"/>
      <c r="K282" s="77"/>
      <c r="L282" s="9"/>
      <c r="M282" s="42"/>
      <c r="N282" s="42"/>
      <c r="O282" s="9"/>
      <c r="P282" s="9"/>
      <c r="Q282" s="9"/>
      <c r="R282" s="33"/>
      <c r="S282" s="9"/>
      <c r="U282" s="8"/>
      <c r="V282" s="9"/>
      <c r="W282" s="9"/>
      <c r="X282" s="9"/>
      <c r="Y282" s="9"/>
      <c r="Z282" s="9"/>
      <c r="AA282" s="9"/>
      <c r="AB282" s="9"/>
      <c r="AC282" s="9"/>
      <c r="AD282" s="9"/>
    </row>
    <row r="283" spans="1:30" ht="18.75" x14ac:dyDescent="0.3">
      <c r="A283" s="42"/>
      <c r="B283" s="42"/>
      <c r="C283" s="74"/>
      <c r="D283" s="74"/>
      <c r="E283" s="70"/>
      <c r="F283" s="70"/>
      <c r="G283" s="70"/>
      <c r="H283" s="70"/>
      <c r="I283" s="70"/>
      <c r="J283" s="77"/>
      <c r="K283" s="77"/>
      <c r="L283" s="9"/>
      <c r="M283" s="42"/>
      <c r="N283" s="42"/>
      <c r="O283" s="9"/>
      <c r="P283" s="9"/>
      <c r="Q283" s="9"/>
      <c r="R283" s="33"/>
      <c r="S283" s="9"/>
      <c r="U283" s="8"/>
      <c r="V283" s="9"/>
      <c r="W283" s="9"/>
      <c r="X283" s="9"/>
      <c r="Y283" s="9"/>
      <c r="Z283" s="9"/>
      <c r="AA283" s="9"/>
      <c r="AB283" s="9"/>
      <c r="AC283" s="9"/>
      <c r="AD283" s="9"/>
    </row>
    <row r="284" spans="1:30" ht="18.75" x14ac:dyDescent="0.3">
      <c r="A284" s="42"/>
      <c r="B284" s="42"/>
      <c r="C284" s="74"/>
      <c r="D284" s="74"/>
      <c r="E284" s="70"/>
      <c r="F284" s="70"/>
      <c r="G284" s="70"/>
      <c r="H284" s="70"/>
      <c r="I284" s="70"/>
      <c r="J284" s="77"/>
      <c r="K284" s="77"/>
      <c r="L284" s="9"/>
      <c r="M284" s="42"/>
      <c r="N284" s="42"/>
      <c r="O284" s="9"/>
      <c r="P284" s="9"/>
      <c r="Q284" s="9"/>
      <c r="R284" s="33"/>
      <c r="S284" s="9"/>
      <c r="U284" s="8"/>
      <c r="V284" s="9"/>
      <c r="W284" s="9"/>
      <c r="X284" s="9"/>
      <c r="Y284" s="9"/>
      <c r="Z284" s="9"/>
      <c r="AA284" s="9"/>
      <c r="AB284" s="9"/>
      <c r="AC284" s="9"/>
      <c r="AD284" s="9"/>
    </row>
    <row r="285" spans="1:30" ht="18.75" x14ac:dyDescent="0.3">
      <c r="A285" s="42"/>
      <c r="B285" s="42"/>
      <c r="C285" s="74"/>
      <c r="D285" s="74"/>
      <c r="E285" s="70"/>
      <c r="F285" s="70"/>
      <c r="G285" s="70"/>
      <c r="H285" s="70"/>
      <c r="I285" s="70"/>
      <c r="J285" s="77"/>
      <c r="K285" s="77"/>
      <c r="L285" s="9"/>
      <c r="M285" s="42"/>
      <c r="N285" s="42"/>
      <c r="O285" s="9"/>
      <c r="P285" s="9"/>
      <c r="Q285" s="9"/>
      <c r="R285" s="33"/>
      <c r="S285" s="9"/>
      <c r="U285" s="8"/>
      <c r="V285" s="9"/>
      <c r="W285" s="9"/>
      <c r="X285" s="9"/>
      <c r="Y285" s="9"/>
      <c r="Z285" s="9"/>
      <c r="AA285" s="9"/>
      <c r="AB285" s="9"/>
      <c r="AC285" s="9"/>
      <c r="AD285" s="9"/>
    </row>
    <row r="286" spans="1:30" ht="18.75" x14ac:dyDescent="0.3">
      <c r="A286" s="42"/>
      <c r="B286" s="42"/>
      <c r="C286" s="74"/>
      <c r="D286" s="74"/>
      <c r="E286" s="70"/>
      <c r="F286" s="70"/>
      <c r="G286" s="70"/>
      <c r="H286" s="70"/>
      <c r="I286" s="70"/>
      <c r="J286" s="77"/>
      <c r="K286" s="77"/>
      <c r="L286" s="9"/>
      <c r="M286" s="42"/>
      <c r="N286" s="42"/>
      <c r="O286" s="9"/>
      <c r="P286" s="9"/>
      <c r="Q286" s="9"/>
      <c r="R286" s="33"/>
      <c r="S286" s="9"/>
      <c r="U286" s="8"/>
      <c r="V286" s="9"/>
      <c r="W286" s="9"/>
      <c r="X286" s="9"/>
      <c r="Y286" s="9"/>
      <c r="Z286" s="9"/>
      <c r="AA286" s="9"/>
      <c r="AB286" s="9"/>
      <c r="AC286" s="9"/>
      <c r="AD286" s="9"/>
    </row>
    <row r="287" spans="1:30" ht="18.75" x14ac:dyDescent="0.3">
      <c r="A287" s="42"/>
      <c r="B287" s="42"/>
      <c r="C287" s="74"/>
      <c r="D287" s="74"/>
      <c r="E287" s="70"/>
      <c r="F287" s="70"/>
      <c r="G287" s="70"/>
      <c r="H287" s="70"/>
      <c r="I287" s="70"/>
      <c r="J287" s="77"/>
      <c r="K287" s="77"/>
      <c r="L287" s="9"/>
      <c r="M287" s="42"/>
      <c r="N287" s="42"/>
      <c r="O287" s="9"/>
      <c r="P287" s="9"/>
      <c r="Q287" s="9"/>
      <c r="R287" s="33"/>
      <c r="S287" s="9"/>
      <c r="U287" s="8"/>
      <c r="V287" s="9"/>
      <c r="W287" s="9"/>
      <c r="X287" s="9"/>
      <c r="Y287" s="9"/>
      <c r="Z287" s="9"/>
      <c r="AA287" s="9"/>
      <c r="AB287" s="9"/>
      <c r="AC287" s="9"/>
      <c r="AD287" s="9"/>
    </row>
    <row r="288" spans="1:30" ht="18.75" x14ac:dyDescent="0.3">
      <c r="A288" s="42"/>
      <c r="B288" s="42"/>
      <c r="C288" s="74"/>
      <c r="D288" s="74"/>
      <c r="E288" s="70"/>
      <c r="F288" s="70"/>
      <c r="G288" s="70"/>
      <c r="H288" s="70"/>
      <c r="I288" s="70"/>
      <c r="J288" s="77"/>
      <c r="K288" s="77"/>
      <c r="L288" s="9"/>
      <c r="M288" s="42"/>
      <c r="N288" s="42"/>
      <c r="O288" s="9"/>
      <c r="P288" s="9"/>
      <c r="Q288" s="9"/>
      <c r="R288" s="33"/>
      <c r="S288" s="9"/>
      <c r="U288" s="8"/>
      <c r="V288" s="9"/>
      <c r="W288" s="9"/>
      <c r="X288" s="9"/>
      <c r="Y288" s="9"/>
      <c r="Z288" s="9"/>
      <c r="AA288" s="9"/>
      <c r="AB288" s="9"/>
      <c r="AC288" s="9"/>
      <c r="AD288" s="9"/>
    </row>
    <row r="289" spans="1:30" ht="18.75" x14ac:dyDescent="0.3">
      <c r="A289" s="42"/>
      <c r="B289" s="42"/>
      <c r="C289" s="74"/>
      <c r="D289" s="74"/>
      <c r="E289" s="70"/>
      <c r="F289" s="70"/>
      <c r="G289" s="70"/>
      <c r="H289" s="70"/>
      <c r="I289" s="70"/>
      <c r="J289" s="77"/>
      <c r="K289" s="77"/>
      <c r="L289" s="9"/>
      <c r="M289" s="42"/>
      <c r="N289" s="42"/>
      <c r="O289" s="9"/>
      <c r="P289" s="9"/>
      <c r="Q289" s="9"/>
      <c r="R289" s="33"/>
      <c r="S289" s="9"/>
      <c r="U289" s="8"/>
      <c r="V289" s="9"/>
      <c r="W289" s="9"/>
      <c r="X289" s="9"/>
      <c r="Y289" s="9"/>
      <c r="Z289" s="9"/>
      <c r="AA289" s="9"/>
      <c r="AB289" s="9"/>
      <c r="AC289" s="9"/>
      <c r="AD289" s="9"/>
    </row>
    <row r="290" spans="1:30" ht="18.75" x14ac:dyDescent="0.3">
      <c r="A290" s="42"/>
      <c r="B290" s="42"/>
      <c r="C290" s="74"/>
      <c r="D290" s="74"/>
      <c r="E290" s="70"/>
      <c r="F290" s="70"/>
      <c r="G290" s="70"/>
      <c r="H290" s="70"/>
      <c r="I290" s="70"/>
      <c r="J290" s="77"/>
      <c r="K290" s="77"/>
      <c r="L290" s="9"/>
      <c r="M290" s="42"/>
      <c r="N290" s="42"/>
      <c r="O290" s="9"/>
      <c r="P290" s="9"/>
      <c r="Q290" s="9"/>
      <c r="R290" s="33"/>
      <c r="S290" s="9"/>
      <c r="U290" s="8"/>
      <c r="V290" s="9"/>
      <c r="W290" s="9"/>
      <c r="X290" s="9"/>
      <c r="Y290" s="9"/>
      <c r="Z290" s="9"/>
      <c r="AA290" s="9"/>
      <c r="AB290" s="9"/>
      <c r="AC290" s="9"/>
      <c r="AD290" s="9"/>
    </row>
    <row r="291" spans="1:30" ht="18.75" x14ac:dyDescent="0.3">
      <c r="A291" s="42"/>
      <c r="B291" s="42"/>
      <c r="C291" s="74"/>
      <c r="D291" s="74"/>
      <c r="E291" s="70"/>
      <c r="F291" s="70"/>
      <c r="G291" s="70"/>
      <c r="H291" s="70"/>
      <c r="I291" s="70"/>
      <c r="J291" s="77"/>
      <c r="K291" s="77"/>
      <c r="L291" s="9"/>
      <c r="M291" s="42"/>
      <c r="N291" s="42"/>
      <c r="O291" s="9"/>
      <c r="P291" s="9"/>
      <c r="Q291" s="9"/>
      <c r="R291" s="33"/>
      <c r="S291" s="9"/>
      <c r="U291" s="8"/>
      <c r="V291" s="9"/>
      <c r="W291" s="9"/>
      <c r="X291" s="9"/>
      <c r="Y291" s="9"/>
      <c r="Z291" s="9"/>
      <c r="AA291" s="9"/>
      <c r="AB291" s="9"/>
      <c r="AC291" s="9"/>
      <c r="AD291" s="9"/>
    </row>
    <row r="292" spans="1:30" ht="18.75" x14ac:dyDescent="0.3">
      <c r="A292" s="42"/>
      <c r="B292" s="42"/>
      <c r="C292" s="74"/>
      <c r="D292" s="74"/>
      <c r="E292" s="70"/>
      <c r="F292" s="70"/>
      <c r="G292" s="70"/>
      <c r="H292" s="70"/>
      <c r="I292" s="70"/>
      <c r="J292" s="77"/>
      <c r="K292" s="77"/>
      <c r="L292" s="9"/>
      <c r="M292" s="42"/>
      <c r="N292" s="42"/>
      <c r="O292" s="9"/>
      <c r="P292" s="9"/>
      <c r="Q292" s="9"/>
      <c r="R292" s="33"/>
      <c r="S292" s="9"/>
      <c r="U292" s="8"/>
      <c r="V292" s="9"/>
      <c r="W292" s="9"/>
      <c r="X292" s="9"/>
      <c r="Y292" s="9"/>
      <c r="Z292" s="9"/>
      <c r="AA292" s="9"/>
      <c r="AB292" s="9"/>
      <c r="AC292" s="9"/>
      <c r="AD292" s="9"/>
    </row>
    <row r="293" spans="1:30" ht="18.75" x14ac:dyDescent="0.3">
      <c r="A293" s="42"/>
      <c r="B293" s="42"/>
      <c r="C293" s="74"/>
      <c r="D293" s="74"/>
      <c r="E293" s="70"/>
      <c r="F293" s="70"/>
      <c r="G293" s="70"/>
      <c r="H293" s="70"/>
      <c r="I293" s="70"/>
      <c r="J293" s="77"/>
      <c r="K293" s="77"/>
      <c r="L293" s="9"/>
      <c r="M293" s="42"/>
      <c r="N293" s="42"/>
      <c r="O293" s="9"/>
      <c r="P293" s="9"/>
      <c r="Q293" s="9"/>
      <c r="R293" s="33"/>
      <c r="S293" s="9"/>
      <c r="U293" s="8"/>
      <c r="V293" s="9"/>
      <c r="W293" s="9"/>
      <c r="X293" s="9"/>
      <c r="Y293" s="9"/>
      <c r="Z293" s="9"/>
      <c r="AA293" s="9"/>
      <c r="AB293" s="9"/>
      <c r="AC293" s="9"/>
      <c r="AD293" s="9"/>
    </row>
    <row r="294" spans="1:30" ht="18.75" x14ac:dyDescent="0.3">
      <c r="A294" s="42"/>
      <c r="B294" s="42"/>
      <c r="C294" s="74"/>
      <c r="D294" s="74"/>
      <c r="E294" s="70"/>
      <c r="F294" s="70"/>
      <c r="G294" s="70"/>
      <c r="H294" s="70"/>
      <c r="I294" s="70"/>
      <c r="J294" s="77"/>
      <c r="K294" s="77"/>
      <c r="L294" s="9"/>
      <c r="M294" s="42"/>
      <c r="N294" s="42"/>
      <c r="O294" s="9"/>
      <c r="P294" s="9"/>
      <c r="Q294" s="9"/>
      <c r="R294" s="33"/>
      <c r="S294" s="9"/>
      <c r="U294" s="8"/>
      <c r="V294" s="9"/>
      <c r="W294" s="9"/>
      <c r="X294" s="9"/>
      <c r="Y294" s="9"/>
      <c r="Z294" s="9"/>
      <c r="AA294" s="9"/>
      <c r="AB294" s="9"/>
      <c r="AC294" s="9"/>
      <c r="AD294" s="9"/>
    </row>
    <row r="295" spans="1:30" ht="18.75" x14ac:dyDescent="0.3">
      <c r="A295" s="42"/>
      <c r="B295" s="42"/>
      <c r="C295" s="74"/>
      <c r="D295" s="74"/>
      <c r="E295" s="70"/>
      <c r="F295" s="70"/>
      <c r="G295" s="70"/>
      <c r="H295" s="70"/>
      <c r="I295" s="70"/>
      <c r="J295" s="77"/>
      <c r="K295" s="77"/>
      <c r="L295" s="9"/>
      <c r="M295" s="42"/>
      <c r="N295" s="42"/>
      <c r="O295" s="9"/>
      <c r="P295" s="9"/>
      <c r="Q295" s="9"/>
      <c r="R295" s="33"/>
      <c r="S295" s="9"/>
      <c r="U295" s="8"/>
      <c r="V295" s="9"/>
      <c r="W295" s="9"/>
      <c r="X295" s="9"/>
      <c r="Y295" s="9"/>
      <c r="Z295" s="9"/>
      <c r="AA295" s="9"/>
      <c r="AB295" s="9"/>
      <c r="AC295" s="9"/>
      <c r="AD295" s="9"/>
    </row>
    <row r="296" spans="1:30" ht="18.75" x14ac:dyDescent="0.3">
      <c r="A296" s="42"/>
      <c r="B296" s="42"/>
      <c r="C296" s="74"/>
      <c r="D296" s="74"/>
      <c r="E296" s="70"/>
      <c r="F296" s="70"/>
      <c r="G296" s="70"/>
      <c r="H296" s="70"/>
      <c r="I296" s="70"/>
      <c r="J296" s="77"/>
      <c r="K296" s="77"/>
      <c r="L296" s="9"/>
      <c r="M296" s="42"/>
      <c r="N296" s="42"/>
      <c r="O296" s="9"/>
      <c r="P296" s="9"/>
      <c r="Q296" s="9"/>
      <c r="R296" s="33"/>
      <c r="S296" s="9"/>
      <c r="U296" s="8"/>
      <c r="V296" s="9"/>
      <c r="W296" s="9"/>
      <c r="X296" s="9"/>
      <c r="Y296" s="9"/>
      <c r="Z296" s="9"/>
      <c r="AA296" s="9"/>
      <c r="AB296" s="9"/>
      <c r="AC296" s="9"/>
      <c r="AD296" s="9"/>
    </row>
    <row r="297" spans="1:30" ht="18.75" x14ac:dyDescent="0.3">
      <c r="A297" s="42"/>
      <c r="B297" s="42"/>
      <c r="C297" s="74"/>
      <c r="D297" s="74"/>
      <c r="E297" s="70"/>
      <c r="F297" s="70"/>
      <c r="G297" s="70"/>
      <c r="H297" s="70"/>
      <c r="I297" s="70"/>
      <c r="J297" s="77"/>
      <c r="K297" s="77"/>
      <c r="L297" s="9"/>
      <c r="M297" s="42"/>
      <c r="N297" s="42"/>
      <c r="O297" s="9"/>
      <c r="P297" s="9"/>
      <c r="Q297" s="9"/>
      <c r="R297" s="33"/>
      <c r="S297" s="9"/>
      <c r="U297" s="8"/>
      <c r="V297" s="9"/>
      <c r="W297" s="9"/>
      <c r="X297" s="9"/>
      <c r="Y297" s="9"/>
      <c r="Z297" s="9"/>
      <c r="AA297" s="9"/>
      <c r="AB297" s="9"/>
      <c r="AC297" s="9"/>
      <c r="AD297" s="9"/>
    </row>
    <row r="298" spans="1:30" ht="18.75" x14ac:dyDescent="0.3">
      <c r="A298" s="42"/>
      <c r="B298" s="42"/>
      <c r="C298" s="74"/>
      <c r="D298" s="74"/>
      <c r="E298" s="70"/>
      <c r="F298" s="70"/>
      <c r="G298" s="70"/>
      <c r="H298" s="70"/>
      <c r="I298" s="70"/>
      <c r="J298" s="77"/>
      <c r="K298" s="77"/>
      <c r="L298" s="9"/>
      <c r="M298" s="42"/>
      <c r="N298" s="42"/>
      <c r="O298" s="9"/>
      <c r="P298" s="9"/>
      <c r="Q298" s="9"/>
      <c r="R298" s="33"/>
      <c r="S298" s="9"/>
      <c r="U298" s="8"/>
      <c r="V298" s="9"/>
      <c r="W298" s="9"/>
      <c r="X298" s="9"/>
      <c r="Y298" s="9"/>
      <c r="Z298" s="9"/>
      <c r="AA298" s="9"/>
      <c r="AB298" s="9"/>
      <c r="AC298" s="9"/>
      <c r="AD298" s="9"/>
    </row>
    <row r="299" spans="1:30" ht="18.75" x14ac:dyDescent="0.3">
      <c r="A299" s="42"/>
      <c r="B299" s="42"/>
      <c r="C299" s="74"/>
      <c r="D299" s="74"/>
      <c r="E299" s="70"/>
      <c r="F299" s="70"/>
      <c r="G299" s="70"/>
      <c r="H299" s="70"/>
      <c r="I299" s="70"/>
      <c r="J299" s="77"/>
      <c r="K299" s="77"/>
      <c r="L299" s="9"/>
      <c r="M299" s="42"/>
      <c r="N299" s="42"/>
      <c r="O299" s="9"/>
      <c r="P299" s="9"/>
      <c r="Q299" s="9"/>
      <c r="R299" s="33"/>
      <c r="S299" s="9"/>
      <c r="U299" s="8"/>
      <c r="V299" s="9"/>
      <c r="W299" s="9"/>
      <c r="X299" s="9"/>
      <c r="Y299" s="9"/>
      <c r="Z299" s="9"/>
      <c r="AA299" s="9"/>
      <c r="AB299" s="9"/>
      <c r="AC299" s="9"/>
      <c r="AD299" s="9"/>
    </row>
    <row r="300" spans="1:30" ht="18.75" x14ac:dyDescent="0.3">
      <c r="A300" s="42"/>
      <c r="B300" s="42"/>
      <c r="C300" s="74"/>
      <c r="D300" s="74"/>
      <c r="E300" s="70"/>
      <c r="F300" s="70"/>
      <c r="G300" s="70"/>
      <c r="H300" s="70"/>
      <c r="I300" s="70"/>
      <c r="J300" s="77"/>
      <c r="K300" s="77"/>
      <c r="L300" s="9"/>
      <c r="M300" s="42"/>
      <c r="N300" s="42"/>
      <c r="O300" s="9"/>
      <c r="P300" s="9"/>
      <c r="Q300" s="9"/>
      <c r="R300" s="33"/>
      <c r="S300" s="9"/>
      <c r="U300" s="8"/>
      <c r="V300" s="9"/>
      <c r="W300" s="9"/>
      <c r="X300" s="9"/>
      <c r="Y300" s="9"/>
      <c r="Z300" s="9"/>
      <c r="AA300" s="9"/>
      <c r="AB300" s="9"/>
      <c r="AC300" s="9"/>
      <c r="AD300" s="9"/>
    </row>
    <row r="301" spans="1:30" ht="18.75" x14ac:dyDescent="0.3">
      <c r="A301" s="42"/>
      <c r="B301" s="42"/>
      <c r="C301" s="74"/>
      <c r="D301" s="74"/>
      <c r="E301" s="70"/>
      <c r="F301" s="70"/>
      <c r="G301" s="70"/>
      <c r="H301" s="70"/>
      <c r="I301" s="70"/>
      <c r="J301" s="77"/>
      <c r="K301" s="77"/>
      <c r="L301" s="9"/>
      <c r="M301" s="42"/>
      <c r="N301" s="42"/>
      <c r="O301" s="9"/>
      <c r="P301" s="9"/>
      <c r="Q301" s="9"/>
      <c r="R301" s="33"/>
      <c r="S301" s="9"/>
      <c r="U301" s="8"/>
      <c r="V301" s="9"/>
      <c r="W301" s="9"/>
      <c r="X301" s="9"/>
      <c r="Y301" s="9"/>
      <c r="Z301" s="9"/>
      <c r="AA301" s="9"/>
      <c r="AB301" s="9"/>
      <c r="AC301" s="9"/>
      <c r="AD301" s="9"/>
    </row>
    <row r="302" spans="1:30" ht="18.75" x14ac:dyDescent="0.3">
      <c r="A302" s="42"/>
      <c r="B302" s="42"/>
      <c r="C302" s="74"/>
      <c r="D302" s="74"/>
      <c r="E302" s="70"/>
      <c r="F302" s="70"/>
      <c r="G302" s="70"/>
      <c r="H302" s="70"/>
      <c r="I302" s="70"/>
      <c r="J302" s="77"/>
      <c r="K302" s="77"/>
      <c r="L302" s="9"/>
      <c r="M302" s="42"/>
      <c r="N302" s="42"/>
      <c r="O302" s="9"/>
      <c r="P302" s="9"/>
      <c r="Q302" s="9"/>
      <c r="R302" s="33"/>
      <c r="S302" s="9"/>
      <c r="U302" s="8"/>
      <c r="V302" s="9"/>
      <c r="W302" s="9"/>
      <c r="X302" s="9"/>
      <c r="Y302" s="9"/>
      <c r="Z302" s="9"/>
      <c r="AA302" s="9"/>
      <c r="AB302" s="9"/>
      <c r="AC302" s="9"/>
      <c r="AD302" s="9"/>
    </row>
    <row r="303" spans="1:30" ht="18.75" x14ac:dyDescent="0.3">
      <c r="A303" s="42"/>
      <c r="B303" s="42"/>
      <c r="C303" s="74"/>
      <c r="D303" s="74"/>
      <c r="E303" s="70"/>
      <c r="F303" s="70"/>
      <c r="G303" s="70"/>
      <c r="H303" s="70"/>
      <c r="I303" s="70"/>
      <c r="J303" s="77"/>
      <c r="K303" s="77"/>
      <c r="L303" s="9"/>
      <c r="M303" s="42"/>
      <c r="N303" s="42"/>
      <c r="O303" s="9"/>
      <c r="P303" s="9"/>
      <c r="Q303" s="9"/>
      <c r="R303" s="33"/>
      <c r="S303" s="9"/>
      <c r="U303" s="8"/>
      <c r="V303" s="9"/>
      <c r="W303" s="9"/>
      <c r="X303" s="9"/>
      <c r="Y303" s="9"/>
      <c r="Z303" s="9"/>
      <c r="AA303" s="9"/>
      <c r="AB303" s="9"/>
      <c r="AC303" s="9"/>
      <c r="AD303" s="9"/>
    </row>
    <row r="304" spans="1:30" ht="18.75" x14ac:dyDescent="0.3">
      <c r="A304" s="42"/>
      <c r="B304" s="42"/>
      <c r="C304" s="74"/>
      <c r="D304" s="74"/>
      <c r="E304" s="70"/>
      <c r="F304" s="70"/>
      <c r="G304" s="70"/>
      <c r="H304" s="70"/>
      <c r="I304" s="70"/>
      <c r="J304" s="77"/>
      <c r="K304" s="77"/>
      <c r="L304" s="9"/>
      <c r="M304" s="42"/>
      <c r="N304" s="42"/>
      <c r="O304" s="9"/>
      <c r="P304" s="9"/>
      <c r="Q304" s="9"/>
      <c r="R304" s="33"/>
      <c r="S304" s="9"/>
      <c r="U304" s="8"/>
      <c r="V304" s="9"/>
      <c r="W304" s="9"/>
      <c r="X304" s="9"/>
      <c r="Y304" s="9"/>
      <c r="Z304" s="9"/>
      <c r="AA304" s="9"/>
      <c r="AB304" s="9"/>
      <c r="AC304" s="9"/>
      <c r="AD304" s="9"/>
    </row>
    <row r="305" spans="1:30" ht="18.75" x14ac:dyDescent="0.3">
      <c r="A305" s="42"/>
      <c r="B305" s="42"/>
      <c r="C305" s="74"/>
      <c r="D305" s="74"/>
      <c r="E305" s="70"/>
      <c r="F305" s="70"/>
      <c r="G305" s="70"/>
      <c r="H305" s="70"/>
      <c r="I305" s="70"/>
      <c r="J305" s="77"/>
      <c r="K305" s="77"/>
      <c r="L305" s="9"/>
      <c r="M305" s="42"/>
      <c r="N305" s="42"/>
      <c r="O305" s="9"/>
      <c r="P305" s="9"/>
      <c r="Q305" s="9"/>
      <c r="R305" s="33"/>
      <c r="S305" s="9"/>
      <c r="U305" s="8"/>
      <c r="V305" s="9"/>
      <c r="W305" s="9"/>
      <c r="X305" s="9"/>
      <c r="Y305" s="9"/>
      <c r="Z305" s="9"/>
      <c r="AA305" s="9"/>
      <c r="AB305" s="9"/>
      <c r="AC305" s="9"/>
      <c r="AD305" s="9"/>
    </row>
    <row r="306" spans="1:30" ht="18.75" x14ac:dyDescent="0.3">
      <c r="A306" s="42"/>
      <c r="B306" s="42"/>
      <c r="C306" s="74"/>
      <c r="D306" s="74"/>
      <c r="E306" s="70"/>
      <c r="F306" s="70"/>
      <c r="G306" s="70"/>
      <c r="H306" s="70"/>
      <c r="I306" s="70"/>
      <c r="J306" s="77"/>
      <c r="K306" s="77"/>
      <c r="L306" s="9"/>
      <c r="M306" s="42"/>
      <c r="N306" s="42"/>
      <c r="O306" s="9"/>
      <c r="P306" s="9"/>
      <c r="Q306" s="9"/>
      <c r="R306" s="33"/>
      <c r="S306" s="9"/>
      <c r="U306" s="8"/>
      <c r="V306" s="9"/>
      <c r="W306" s="9"/>
      <c r="X306" s="9"/>
      <c r="Y306" s="9"/>
      <c r="Z306" s="9"/>
      <c r="AA306" s="9"/>
      <c r="AB306" s="9"/>
      <c r="AC306" s="9"/>
      <c r="AD306" s="9"/>
    </row>
    <row r="307" spans="1:30" ht="18.75" x14ac:dyDescent="0.3">
      <c r="A307" s="42"/>
      <c r="B307" s="42"/>
      <c r="C307" s="74"/>
      <c r="D307" s="74"/>
      <c r="E307" s="70"/>
      <c r="F307" s="70"/>
      <c r="G307" s="70"/>
      <c r="H307" s="70"/>
      <c r="I307" s="70"/>
      <c r="J307" s="77"/>
      <c r="K307" s="77"/>
      <c r="L307" s="9"/>
      <c r="M307" s="42"/>
      <c r="N307" s="42"/>
      <c r="O307" s="9"/>
      <c r="P307" s="9"/>
      <c r="Q307" s="9"/>
      <c r="R307" s="33"/>
      <c r="S307" s="9"/>
      <c r="U307" s="8"/>
      <c r="V307" s="9"/>
      <c r="W307" s="9"/>
      <c r="X307" s="9"/>
      <c r="Y307" s="9"/>
      <c r="Z307" s="9"/>
      <c r="AA307" s="9"/>
      <c r="AB307" s="9"/>
      <c r="AC307" s="9"/>
      <c r="AD307" s="9"/>
    </row>
    <row r="308" spans="1:30" ht="18.75" x14ac:dyDescent="0.3">
      <c r="A308" s="42"/>
      <c r="B308" s="42"/>
      <c r="C308" s="74"/>
      <c r="D308" s="74"/>
      <c r="E308" s="70"/>
      <c r="F308" s="70"/>
      <c r="G308" s="70"/>
      <c r="H308" s="70"/>
      <c r="I308" s="70"/>
      <c r="J308" s="77"/>
      <c r="K308" s="77"/>
      <c r="L308" s="9"/>
      <c r="M308" s="42"/>
      <c r="N308" s="42"/>
      <c r="O308" s="9"/>
      <c r="P308" s="9"/>
      <c r="Q308" s="9"/>
      <c r="R308" s="33"/>
      <c r="S308" s="9"/>
      <c r="U308" s="8"/>
      <c r="V308" s="9"/>
      <c r="W308" s="9"/>
      <c r="X308" s="9"/>
      <c r="Y308" s="9"/>
      <c r="Z308" s="9"/>
      <c r="AA308" s="9"/>
      <c r="AB308" s="9"/>
      <c r="AC308" s="9"/>
      <c r="AD308" s="9"/>
    </row>
    <row r="309" spans="1:30" ht="18.75" x14ac:dyDescent="0.3">
      <c r="A309" s="42"/>
      <c r="B309" s="42"/>
      <c r="C309" s="74"/>
      <c r="D309" s="74"/>
      <c r="E309" s="70"/>
      <c r="F309" s="70"/>
      <c r="G309" s="70"/>
      <c r="H309" s="70"/>
      <c r="I309" s="70"/>
      <c r="J309" s="77"/>
      <c r="K309" s="77"/>
      <c r="L309" s="9"/>
      <c r="M309" s="42"/>
      <c r="N309" s="42"/>
      <c r="O309" s="9"/>
      <c r="P309" s="9"/>
      <c r="Q309" s="9"/>
      <c r="R309" s="33"/>
      <c r="S309" s="9"/>
      <c r="U309" s="8"/>
      <c r="V309" s="9"/>
      <c r="W309" s="9"/>
      <c r="X309" s="9"/>
      <c r="Y309" s="9"/>
      <c r="Z309" s="9"/>
      <c r="AA309" s="9"/>
      <c r="AB309" s="9"/>
      <c r="AC309" s="9"/>
      <c r="AD309" s="9"/>
    </row>
    <row r="310" spans="1:30" ht="18.75" x14ac:dyDescent="0.3">
      <c r="A310" s="42"/>
      <c r="B310" s="42"/>
      <c r="C310" s="74"/>
      <c r="D310" s="74"/>
      <c r="E310" s="70"/>
      <c r="F310" s="70"/>
      <c r="G310" s="70"/>
      <c r="H310" s="70"/>
      <c r="I310" s="70"/>
      <c r="J310" s="77"/>
      <c r="K310" s="77"/>
      <c r="L310" s="9"/>
      <c r="M310" s="42"/>
      <c r="N310" s="42"/>
      <c r="O310" s="9"/>
      <c r="P310" s="9"/>
      <c r="Q310" s="9"/>
      <c r="R310" s="33"/>
      <c r="S310" s="9"/>
      <c r="U310" s="8"/>
      <c r="V310" s="9"/>
      <c r="W310" s="9"/>
      <c r="X310" s="9"/>
      <c r="Y310" s="9"/>
      <c r="Z310" s="9"/>
      <c r="AA310" s="9"/>
      <c r="AB310" s="9"/>
      <c r="AC310" s="9"/>
      <c r="AD310" s="9"/>
    </row>
    <row r="311" spans="1:30" ht="18.75" x14ac:dyDescent="0.3">
      <c r="A311" s="42"/>
      <c r="B311" s="42"/>
      <c r="C311" s="74"/>
      <c r="D311" s="74"/>
      <c r="E311" s="70"/>
      <c r="F311" s="70"/>
      <c r="G311" s="70"/>
      <c r="H311" s="70"/>
      <c r="I311" s="70"/>
      <c r="J311" s="77"/>
      <c r="K311" s="77"/>
      <c r="L311" s="9"/>
      <c r="M311" s="42"/>
      <c r="N311" s="42"/>
      <c r="O311" s="9"/>
      <c r="P311" s="9"/>
      <c r="Q311" s="9"/>
      <c r="R311" s="33"/>
      <c r="S311" s="9"/>
      <c r="U311" s="8"/>
      <c r="V311" s="9"/>
      <c r="W311" s="9"/>
      <c r="X311" s="9"/>
      <c r="Y311" s="9"/>
      <c r="Z311" s="9"/>
      <c r="AA311" s="9"/>
      <c r="AB311" s="9"/>
      <c r="AC311" s="9"/>
      <c r="AD311" s="9"/>
    </row>
    <row r="312" spans="1:30" ht="18.75" x14ac:dyDescent="0.3">
      <c r="A312" s="42"/>
      <c r="B312" s="42"/>
      <c r="C312" s="74"/>
      <c r="D312" s="74"/>
      <c r="E312" s="70"/>
      <c r="F312" s="70"/>
      <c r="G312" s="70"/>
      <c r="H312" s="70"/>
      <c r="I312" s="70"/>
      <c r="J312" s="77"/>
      <c r="K312" s="77"/>
      <c r="L312" s="9"/>
      <c r="M312" s="42"/>
      <c r="N312" s="42"/>
      <c r="O312" s="9"/>
      <c r="P312" s="9"/>
      <c r="Q312" s="9"/>
      <c r="R312" s="33"/>
      <c r="S312" s="9"/>
      <c r="U312" s="8"/>
      <c r="V312" s="9"/>
      <c r="W312" s="9"/>
      <c r="X312" s="9"/>
      <c r="Y312" s="9"/>
      <c r="Z312" s="9"/>
      <c r="AA312" s="9"/>
      <c r="AB312" s="9"/>
      <c r="AC312" s="9"/>
      <c r="AD312" s="9"/>
    </row>
    <row r="313" spans="1:30" ht="18.75" x14ac:dyDescent="0.3">
      <c r="A313" s="42"/>
      <c r="B313" s="42"/>
      <c r="C313" s="74"/>
      <c r="D313" s="74"/>
      <c r="E313" s="70"/>
      <c r="F313" s="70"/>
      <c r="G313" s="70"/>
      <c r="H313" s="70"/>
      <c r="I313" s="70"/>
      <c r="J313" s="77"/>
      <c r="K313" s="77"/>
      <c r="L313" s="9"/>
      <c r="M313" s="42"/>
      <c r="N313" s="42"/>
      <c r="O313" s="9"/>
      <c r="P313" s="9"/>
      <c r="Q313" s="9"/>
      <c r="R313" s="33"/>
      <c r="S313" s="9"/>
      <c r="U313" s="8"/>
      <c r="V313" s="9"/>
      <c r="W313" s="9"/>
      <c r="X313" s="9"/>
      <c r="Y313" s="9"/>
      <c r="Z313" s="9"/>
      <c r="AA313" s="9"/>
      <c r="AB313" s="9"/>
      <c r="AC313" s="9"/>
      <c r="AD313" s="9"/>
    </row>
    <row r="314" spans="1:30" ht="18.75" x14ac:dyDescent="0.3">
      <c r="A314" s="42"/>
      <c r="B314" s="42"/>
      <c r="C314" s="74"/>
      <c r="D314" s="74"/>
      <c r="E314" s="70"/>
      <c r="F314" s="70"/>
      <c r="G314" s="70"/>
      <c r="H314" s="70"/>
      <c r="I314" s="70"/>
      <c r="J314" s="77"/>
      <c r="K314" s="77"/>
      <c r="L314" s="9"/>
      <c r="M314" s="42"/>
      <c r="N314" s="42"/>
      <c r="O314" s="9"/>
      <c r="P314" s="9"/>
      <c r="Q314" s="9"/>
      <c r="R314" s="33"/>
      <c r="S314" s="9"/>
      <c r="U314" s="8"/>
      <c r="V314" s="9"/>
      <c r="W314" s="9"/>
      <c r="X314" s="9"/>
      <c r="Y314" s="9"/>
      <c r="Z314" s="9"/>
      <c r="AA314" s="9"/>
      <c r="AB314" s="9"/>
      <c r="AC314" s="9"/>
      <c r="AD314" s="9"/>
    </row>
    <row r="315" spans="1:30" ht="18.75" x14ac:dyDescent="0.3">
      <c r="A315" s="42"/>
      <c r="B315" s="42"/>
      <c r="C315" s="74"/>
      <c r="D315" s="74"/>
      <c r="E315" s="70"/>
      <c r="F315" s="70"/>
      <c r="G315" s="70"/>
      <c r="H315" s="70"/>
      <c r="I315" s="70"/>
      <c r="J315" s="77"/>
      <c r="K315" s="77"/>
      <c r="L315" s="9"/>
      <c r="M315" s="42"/>
      <c r="N315" s="42"/>
      <c r="O315" s="9"/>
      <c r="P315" s="9"/>
      <c r="Q315" s="9"/>
      <c r="R315" s="33"/>
      <c r="S315" s="9"/>
      <c r="U315" s="8"/>
      <c r="V315" s="9"/>
      <c r="W315" s="9"/>
      <c r="X315" s="9"/>
      <c r="Y315" s="9"/>
      <c r="Z315" s="9"/>
      <c r="AA315" s="9"/>
      <c r="AB315" s="9"/>
      <c r="AC315" s="9"/>
      <c r="AD315" s="9"/>
    </row>
    <row r="316" spans="1:30" ht="18.75" x14ac:dyDescent="0.3">
      <c r="A316" s="42"/>
      <c r="B316" s="42"/>
      <c r="C316" s="74"/>
      <c r="D316" s="74"/>
      <c r="E316" s="70"/>
      <c r="F316" s="70"/>
      <c r="G316" s="70"/>
      <c r="H316" s="70"/>
      <c r="I316" s="70"/>
      <c r="J316" s="77"/>
      <c r="K316" s="77"/>
      <c r="L316" s="9"/>
      <c r="M316" s="42"/>
      <c r="N316" s="42"/>
      <c r="O316" s="9"/>
      <c r="P316" s="9"/>
      <c r="Q316" s="9"/>
      <c r="R316" s="33"/>
      <c r="S316" s="9"/>
      <c r="U316" s="8"/>
      <c r="V316" s="9"/>
      <c r="W316" s="9"/>
      <c r="X316" s="9"/>
      <c r="Y316" s="9"/>
      <c r="Z316" s="9"/>
      <c r="AA316" s="9"/>
      <c r="AB316" s="9"/>
      <c r="AC316" s="9"/>
      <c r="AD316" s="9"/>
    </row>
    <row r="317" spans="1:30" ht="18.75" x14ac:dyDescent="0.3">
      <c r="A317" s="42"/>
      <c r="B317" s="42"/>
      <c r="C317" s="74"/>
      <c r="D317" s="74"/>
      <c r="E317" s="70"/>
      <c r="F317" s="70"/>
      <c r="G317" s="70"/>
      <c r="H317" s="70"/>
      <c r="I317" s="70"/>
      <c r="J317" s="77"/>
      <c r="K317" s="77"/>
      <c r="L317" s="9"/>
      <c r="M317" s="42"/>
      <c r="N317" s="42"/>
      <c r="O317" s="9"/>
      <c r="P317" s="9"/>
      <c r="Q317" s="9"/>
      <c r="R317" s="33"/>
      <c r="S317" s="9"/>
      <c r="U317" s="8"/>
      <c r="V317" s="9"/>
      <c r="W317" s="9"/>
      <c r="X317" s="9"/>
      <c r="Y317" s="9"/>
      <c r="Z317" s="9"/>
      <c r="AA317" s="9"/>
      <c r="AB317" s="9"/>
      <c r="AC317" s="9"/>
      <c r="AD317" s="9"/>
    </row>
    <row r="318" spans="1:30" ht="18.75" x14ac:dyDescent="0.3">
      <c r="A318" s="42"/>
      <c r="B318" s="42"/>
      <c r="C318" s="74"/>
      <c r="D318" s="74"/>
      <c r="E318" s="70"/>
      <c r="F318" s="70"/>
      <c r="G318" s="70"/>
      <c r="H318" s="70"/>
      <c r="I318" s="70"/>
      <c r="J318" s="77"/>
      <c r="K318" s="77"/>
      <c r="L318" s="9"/>
      <c r="M318" s="42"/>
      <c r="N318" s="42"/>
      <c r="O318" s="9"/>
      <c r="P318" s="9"/>
      <c r="Q318" s="9"/>
      <c r="R318" s="33"/>
      <c r="S318" s="9"/>
      <c r="U318" s="8"/>
      <c r="V318" s="9"/>
      <c r="W318" s="9"/>
      <c r="X318" s="9"/>
      <c r="Y318" s="9"/>
      <c r="Z318" s="9"/>
      <c r="AA318" s="9"/>
      <c r="AB318" s="9"/>
      <c r="AC318" s="9"/>
      <c r="AD318" s="9"/>
    </row>
    <row r="319" spans="1:30" ht="18.75" x14ac:dyDescent="0.3">
      <c r="A319" s="42"/>
      <c r="B319" s="42"/>
      <c r="C319" s="74"/>
      <c r="D319" s="74"/>
      <c r="E319" s="70"/>
      <c r="F319" s="70"/>
      <c r="G319" s="70"/>
      <c r="H319" s="70"/>
      <c r="I319" s="70"/>
      <c r="J319" s="77"/>
      <c r="K319" s="77"/>
      <c r="L319" s="9"/>
      <c r="M319" s="42"/>
      <c r="N319" s="42"/>
      <c r="O319" s="9"/>
      <c r="P319" s="9"/>
      <c r="Q319" s="9"/>
      <c r="R319" s="33"/>
      <c r="S319" s="9"/>
      <c r="U319" s="8"/>
      <c r="V319" s="9"/>
      <c r="W319" s="9"/>
      <c r="X319" s="9"/>
      <c r="Y319" s="9"/>
      <c r="Z319" s="9"/>
      <c r="AA319" s="9"/>
      <c r="AB319" s="9"/>
      <c r="AC319" s="9"/>
      <c r="AD319" s="9"/>
    </row>
    <row r="320" spans="1:30" ht="18.75" x14ac:dyDescent="0.3">
      <c r="A320" s="42"/>
      <c r="B320" s="42"/>
      <c r="C320" s="74"/>
      <c r="D320" s="74"/>
      <c r="E320" s="70"/>
      <c r="F320" s="70"/>
      <c r="G320" s="70"/>
      <c r="H320" s="70"/>
      <c r="I320" s="70"/>
      <c r="J320" s="77"/>
      <c r="K320" s="77"/>
      <c r="L320" s="9"/>
      <c r="M320" s="42"/>
      <c r="N320" s="42"/>
      <c r="O320" s="9"/>
      <c r="P320" s="9"/>
      <c r="Q320" s="9"/>
      <c r="R320" s="33"/>
      <c r="S320" s="9"/>
      <c r="U320" s="8"/>
      <c r="V320" s="9"/>
      <c r="W320" s="9"/>
      <c r="X320" s="9"/>
      <c r="Y320" s="9"/>
      <c r="Z320" s="9"/>
      <c r="AA320" s="9"/>
      <c r="AB320" s="9"/>
      <c r="AC320" s="9"/>
      <c r="AD320" s="9"/>
    </row>
    <row r="321" spans="1:30" ht="18.75" x14ac:dyDescent="0.3">
      <c r="A321" s="42"/>
      <c r="B321" s="42"/>
      <c r="C321" s="74"/>
      <c r="D321" s="74"/>
      <c r="E321" s="70"/>
      <c r="F321" s="70"/>
      <c r="G321" s="70"/>
      <c r="H321" s="70"/>
      <c r="I321" s="70"/>
      <c r="J321" s="77"/>
      <c r="K321" s="77"/>
      <c r="L321" s="9"/>
      <c r="M321" s="42"/>
      <c r="N321" s="42"/>
      <c r="O321" s="9"/>
      <c r="P321" s="9"/>
      <c r="Q321" s="9"/>
      <c r="R321" s="33"/>
      <c r="S321" s="9"/>
      <c r="U321" s="8"/>
      <c r="V321" s="9"/>
      <c r="W321" s="9"/>
      <c r="X321" s="9"/>
      <c r="Y321" s="9"/>
      <c r="Z321" s="9"/>
      <c r="AA321" s="9"/>
      <c r="AB321" s="9"/>
      <c r="AC321" s="9"/>
      <c r="AD321" s="9"/>
    </row>
    <row r="322" spans="1:30" ht="18.75" x14ac:dyDescent="0.3">
      <c r="A322" s="42"/>
      <c r="B322" s="42"/>
      <c r="C322" s="74"/>
      <c r="D322" s="74"/>
      <c r="E322" s="70"/>
      <c r="F322" s="70"/>
      <c r="G322" s="70"/>
      <c r="H322" s="70"/>
      <c r="I322" s="70"/>
      <c r="J322" s="77"/>
      <c r="K322" s="77"/>
      <c r="L322" s="9"/>
      <c r="M322" s="42"/>
      <c r="N322" s="42"/>
      <c r="O322" s="9"/>
      <c r="P322" s="9"/>
      <c r="Q322" s="9"/>
      <c r="R322" s="33"/>
      <c r="S322" s="9"/>
      <c r="U322" s="8"/>
      <c r="V322" s="9"/>
      <c r="W322" s="9"/>
      <c r="X322" s="9"/>
      <c r="Y322" s="9"/>
      <c r="Z322" s="9"/>
      <c r="AA322" s="9"/>
      <c r="AB322" s="9"/>
      <c r="AC322" s="9"/>
      <c r="AD322" s="9"/>
    </row>
    <row r="323" spans="1:30" ht="18.75" x14ac:dyDescent="0.3">
      <c r="A323" s="42"/>
      <c r="B323" s="42"/>
      <c r="C323" s="74"/>
      <c r="D323" s="74"/>
      <c r="E323" s="70"/>
      <c r="F323" s="70"/>
      <c r="G323" s="70"/>
      <c r="H323" s="70"/>
      <c r="I323" s="70"/>
      <c r="J323" s="77"/>
      <c r="K323" s="77"/>
      <c r="L323" s="9"/>
      <c r="M323" s="42"/>
      <c r="N323" s="42"/>
      <c r="O323" s="9"/>
      <c r="P323" s="9"/>
      <c r="Q323" s="9"/>
      <c r="R323" s="33"/>
      <c r="S323" s="9"/>
      <c r="U323" s="8"/>
      <c r="V323" s="9"/>
      <c r="W323" s="9"/>
      <c r="X323" s="9"/>
      <c r="Y323" s="9"/>
      <c r="Z323" s="9"/>
      <c r="AA323" s="9"/>
      <c r="AB323" s="9"/>
      <c r="AC323" s="9"/>
      <c r="AD323" s="9"/>
    </row>
    <row r="324" spans="1:30" ht="18.75" x14ac:dyDescent="0.3">
      <c r="A324" s="42"/>
      <c r="B324" s="42"/>
      <c r="C324" s="74"/>
      <c r="D324" s="74"/>
      <c r="E324" s="70"/>
      <c r="F324" s="70"/>
      <c r="G324" s="70"/>
      <c r="H324" s="70"/>
      <c r="I324" s="70"/>
      <c r="J324" s="77"/>
      <c r="K324" s="77"/>
      <c r="L324" s="9"/>
      <c r="M324" s="42"/>
      <c r="N324" s="42"/>
      <c r="O324" s="9"/>
      <c r="P324" s="9"/>
      <c r="Q324" s="9"/>
      <c r="R324" s="33"/>
      <c r="S324" s="9"/>
      <c r="U324" s="8"/>
      <c r="V324" s="9"/>
      <c r="W324" s="9"/>
      <c r="X324" s="9"/>
      <c r="Y324" s="9"/>
      <c r="Z324" s="9"/>
      <c r="AA324" s="9"/>
      <c r="AB324" s="9"/>
      <c r="AC324" s="9"/>
      <c r="AD324" s="9"/>
    </row>
    <row r="325" spans="1:30" ht="18.75" x14ac:dyDescent="0.3">
      <c r="A325" s="42"/>
      <c r="B325" s="42"/>
      <c r="C325" s="74"/>
      <c r="D325" s="74"/>
      <c r="E325" s="70"/>
      <c r="F325" s="70"/>
      <c r="G325" s="70"/>
      <c r="H325" s="70"/>
      <c r="I325" s="70"/>
      <c r="J325" s="77"/>
      <c r="K325" s="77"/>
      <c r="L325" s="9"/>
      <c r="M325" s="42"/>
      <c r="N325" s="42"/>
      <c r="O325" s="9"/>
      <c r="P325" s="9"/>
      <c r="Q325" s="9"/>
      <c r="R325" s="33"/>
      <c r="S325" s="9"/>
      <c r="U325" s="8"/>
      <c r="V325" s="9"/>
      <c r="W325" s="9"/>
      <c r="X325" s="9"/>
      <c r="Y325" s="9"/>
      <c r="Z325" s="9"/>
      <c r="AA325" s="9"/>
      <c r="AB325" s="9"/>
      <c r="AC325" s="9"/>
      <c r="AD325" s="9"/>
    </row>
    <row r="326" spans="1:30" ht="18.75" x14ac:dyDescent="0.3">
      <c r="A326" s="42"/>
      <c r="B326" s="42"/>
      <c r="C326" s="74"/>
      <c r="D326" s="74"/>
      <c r="E326" s="70"/>
      <c r="F326" s="70"/>
      <c r="G326" s="70"/>
      <c r="H326" s="70"/>
      <c r="I326" s="70"/>
      <c r="J326" s="77"/>
      <c r="K326" s="77"/>
      <c r="L326" s="9"/>
      <c r="M326" s="42"/>
      <c r="N326" s="42"/>
      <c r="O326" s="9"/>
      <c r="P326" s="9"/>
      <c r="Q326" s="9"/>
      <c r="R326" s="33"/>
      <c r="S326" s="9"/>
      <c r="U326" s="8"/>
      <c r="V326" s="9"/>
      <c r="W326" s="9"/>
      <c r="X326" s="9"/>
      <c r="Y326" s="9"/>
      <c r="Z326" s="9"/>
      <c r="AA326" s="9"/>
      <c r="AB326" s="9"/>
      <c r="AC326" s="9"/>
      <c r="AD326" s="9"/>
    </row>
    <row r="327" spans="1:30" ht="18.75" x14ac:dyDescent="0.3">
      <c r="A327" s="42"/>
      <c r="B327" s="42"/>
      <c r="C327" s="74"/>
      <c r="D327" s="74"/>
      <c r="E327" s="70"/>
      <c r="F327" s="70"/>
      <c r="G327" s="70"/>
      <c r="H327" s="70"/>
      <c r="I327" s="70"/>
      <c r="J327" s="77"/>
      <c r="K327" s="77"/>
      <c r="L327" s="9"/>
      <c r="M327" s="42"/>
      <c r="N327" s="42"/>
      <c r="O327" s="9"/>
      <c r="P327" s="9"/>
      <c r="Q327" s="9"/>
      <c r="R327" s="33"/>
      <c r="S327" s="9"/>
      <c r="U327" s="8"/>
      <c r="V327" s="9"/>
      <c r="W327" s="9"/>
      <c r="X327" s="9"/>
      <c r="Y327" s="9"/>
      <c r="Z327" s="9"/>
      <c r="AA327" s="9"/>
      <c r="AB327" s="9"/>
      <c r="AC327" s="9"/>
      <c r="AD327" s="9"/>
    </row>
    <row r="328" spans="1:30" ht="18.75" x14ac:dyDescent="0.3">
      <c r="A328" s="42"/>
      <c r="B328" s="42"/>
      <c r="C328" s="74"/>
      <c r="D328" s="74"/>
      <c r="E328" s="70"/>
      <c r="F328" s="70"/>
      <c r="G328" s="70"/>
      <c r="H328" s="70"/>
      <c r="I328" s="70"/>
      <c r="J328" s="77"/>
      <c r="K328" s="77"/>
      <c r="L328" s="9"/>
      <c r="M328" s="42"/>
      <c r="N328" s="42"/>
      <c r="O328" s="9"/>
      <c r="P328" s="9"/>
      <c r="Q328" s="9"/>
      <c r="R328" s="33"/>
      <c r="S328" s="9"/>
      <c r="U328" s="8"/>
      <c r="V328" s="9"/>
      <c r="W328" s="9"/>
      <c r="X328" s="9"/>
      <c r="Y328" s="9"/>
      <c r="Z328" s="9"/>
      <c r="AA328" s="9"/>
      <c r="AB328" s="9"/>
      <c r="AC328" s="9"/>
      <c r="AD328" s="9"/>
    </row>
    <row r="329" spans="1:30" ht="18.75" x14ac:dyDescent="0.3">
      <c r="A329" s="42"/>
      <c r="B329" s="42"/>
      <c r="C329" s="74"/>
      <c r="D329" s="74"/>
      <c r="E329" s="70"/>
      <c r="F329" s="70"/>
      <c r="G329" s="70"/>
      <c r="H329" s="70"/>
      <c r="I329" s="70"/>
      <c r="J329" s="77"/>
      <c r="K329" s="77"/>
      <c r="L329" s="9"/>
      <c r="M329" s="42"/>
      <c r="N329" s="42"/>
      <c r="O329" s="9"/>
      <c r="P329" s="9"/>
      <c r="Q329" s="9"/>
      <c r="R329" s="33"/>
      <c r="S329" s="9"/>
      <c r="U329" s="8"/>
      <c r="V329" s="9"/>
      <c r="W329" s="9"/>
      <c r="X329" s="9"/>
      <c r="Y329" s="9"/>
      <c r="Z329" s="9"/>
      <c r="AA329" s="9"/>
      <c r="AB329" s="9"/>
      <c r="AC329" s="9"/>
      <c r="AD329" s="9"/>
    </row>
    <row r="330" spans="1:30" ht="18.75" x14ac:dyDescent="0.3">
      <c r="A330" s="42"/>
      <c r="B330" s="42"/>
      <c r="C330" s="74"/>
      <c r="D330" s="74"/>
      <c r="E330" s="70"/>
      <c r="F330" s="70"/>
      <c r="G330" s="70"/>
      <c r="H330" s="70"/>
      <c r="I330" s="70"/>
      <c r="J330" s="77"/>
      <c r="K330" s="77"/>
      <c r="L330" s="9"/>
      <c r="M330" s="42"/>
      <c r="N330" s="42"/>
      <c r="O330" s="9"/>
      <c r="P330" s="9"/>
      <c r="Q330" s="9"/>
      <c r="R330" s="33"/>
      <c r="S330" s="9"/>
      <c r="U330" s="8"/>
      <c r="V330" s="9"/>
      <c r="W330" s="9"/>
      <c r="X330" s="9"/>
      <c r="Y330" s="9"/>
      <c r="Z330" s="9"/>
      <c r="AA330" s="9"/>
      <c r="AB330" s="9"/>
      <c r="AC330" s="9"/>
      <c r="AD330" s="9"/>
    </row>
    <row r="331" spans="1:30" ht="18.75" x14ac:dyDescent="0.3">
      <c r="A331" s="42"/>
      <c r="B331" s="42"/>
      <c r="C331" s="74"/>
      <c r="D331" s="74"/>
      <c r="E331" s="70"/>
      <c r="F331" s="70"/>
      <c r="G331" s="70"/>
      <c r="H331" s="70"/>
      <c r="I331" s="70"/>
      <c r="J331" s="77"/>
      <c r="K331" s="77"/>
      <c r="L331" s="9"/>
      <c r="M331" s="42"/>
      <c r="N331" s="42"/>
      <c r="O331" s="9"/>
      <c r="P331" s="9"/>
      <c r="Q331" s="9"/>
      <c r="R331" s="33"/>
      <c r="S331" s="9"/>
      <c r="U331" s="8"/>
      <c r="V331" s="9"/>
      <c r="W331" s="9"/>
      <c r="X331" s="9"/>
      <c r="Y331" s="9"/>
      <c r="Z331" s="9"/>
      <c r="AA331" s="9"/>
      <c r="AB331" s="9"/>
      <c r="AC331" s="9"/>
      <c r="AD331" s="9"/>
    </row>
    <row r="332" spans="1:30" ht="18.75" x14ac:dyDescent="0.3">
      <c r="A332" s="42"/>
      <c r="B332" s="42"/>
      <c r="C332" s="74"/>
      <c r="D332" s="74"/>
      <c r="E332" s="70"/>
      <c r="F332" s="70"/>
      <c r="G332" s="70"/>
      <c r="H332" s="70"/>
      <c r="I332" s="70"/>
      <c r="J332" s="77"/>
      <c r="K332" s="77"/>
      <c r="L332" s="9"/>
      <c r="M332" s="42"/>
      <c r="N332" s="42"/>
      <c r="O332" s="9"/>
      <c r="P332" s="9"/>
      <c r="Q332" s="9"/>
      <c r="R332" s="33"/>
      <c r="S332" s="9"/>
      <c r="U332" s="8"/>
      <c r="V332" s="9"/>
      <c r="W332" s="9"/>
      <c r="X332" s="9"/>
      <c r="Y332" s="9"/>
      <c r="Z332" s="9"/>
      <c r="AA332" s="9"/>
      <c r="AB332" s="9"/>
      <c r="AC332" s="9"/>
      <c r="AD332" s="9"/>
    </row>
    <row r="333" spans="1:30" ht="18.75" x14ac:dyDescent="0.3">
      <c r="A333" s="42"/>
      <c r="B333" s="42"/>
      <c r="C333" s="74"/>
      <c r="D333" s="74"/>
      <c r="E333" s="70"/>
      <c r="F333" s="70"/>
      <c r="G333" s="70"/>
      <c r="H333" s="70"/>
      <c r="I333" s="70"/>
      <c r="J333" s="77"/>
      <c r="K333" s="77"/>
      <c r="L333" s="9"/>
      <c r="M333" s="42"/>
      <c r="N333" s="42"/>
      <c r="O333" s="9"/>
      <c r="P333" s="9"/>
      <c r="Q333" s="9"/>
      <c r="R333" s="33"/>
      <c r="S333" s="9"/>
      <c r="U333" s="8"/>
      <c r="V333" s="9"/>
      <c r="W333" s="9"/>
      <c r="X333" s="9"/>
      <c r="Y333" s="9"/>
      <c r="Z333" s="9"/>
      <c r="AA333" s="9"/>
      <c r="AB333" s="9"/>
      <c r="AC333" s="9"/>
      <c r="AD333" s="9"/>
    </row>
    <row r="334" spans="1:30" ht="18.75" x14ac:dyDescent="0.3">
      <c r="A334" s="42"/>
      <c r="B334" s="42"/>
      <c r="C334" s="74"/>
      <c r="D334" s="74"/>
      <c r="E334" s="70"/>
      <c r="F334" s="70"/>
      <c r="G334" s="70"/>
      <c r="H334" s="70"/>
      <c r="I334" s="70"/>
      <c r="J334" s="77"/>
      <c r="K334" s="77"/>
      <c r="L334" s="9"/>
      <c r="M334" s="42"/>
      <c r="N334" s="42"/>
      <c r="O334" s="9"/>
      <c r="P334" s="9"/>
      <c r="Q334" s="9"/>
      <c r="R334" s="33"/>
      <c r="S334" s="9"/>
      <c r="U334" s="8"/>
      <c r="V334" s="9"/>
      <c r="W334" s="9"/>
      <c r="X334" s="9"/>
      <c r="Y334" s="9"/>
      <c r="Z334" s="9"/>
      <c r="AA334" s="9"/>
      <c r="AB334" s="9"/>
      <c r="AC334" s="9"/>
      <c r="AD334" s="9"/>
    </row>
    <row r="335" spans="1:30" ht="18.75" x14ac:dyDescent="0.3">
      <c r="A335" s="42"/>
      <c r="B335" s="42"/>
      <c r="C335" s="74"/>
      <c r="D335" s="74"/>
      <c r="E335" s="70"/>
      <c r="F335" s="70"/>
      <c r="G335" s="70"/>
      <c r="H335" s="70"/>
      <c r="I335" s="70"/>
      <c r="J335" s="77"/>
      <c r="K335" s="77"/>
      <c r="L335" s="9"/>
      <c r="M335" s="42"/>
      <c r="N335" s="42"/>
      <c r="O335" s="9"/>
      <c r="P335" s="9"/>
      <c r="Q335" s="9"/>
      <c r="R335" s="33"/>
      <c r="S335" s="9"/>
      <c r="U335" s="8"/>
      <c r="V335" s="9"/>
      <c r="W335" s="9"/>
      <c r="X335" s="9"/>
      <c r="Y335" s="9"/>
      <c r="Z335" s="9"/>
      <c r="AA335" s="9"/>
      <c r="AB335" s="9"/>
      <c r="AC335" s="9"/>
      <c r="AD335" s="9"/>
    </row>
    <row r="336" spans="1:30" ht="18.75" x14ac:dyDescent="0.3">
      <c r="A336" s="42"/>
      <c r="B336" s="42"/>
      <c r="C336" s="74"/>
      <c r="D336" s="74"/>
      <c r="E336" s="70"/>
      <c r="F336" s="70"/>
      <c r="G336" s="70"/>
      <c r="H336" s="70"/>
      <c r="I336" s="70"/>
      <c r="J336" s="77"/>
      <c r="K336" s="77"/>
      <c r="L336" s="9"/>
      <c r="M336" s="42"/>
      <c r="N336" s="42"/>
      <c r="O336" s="9"/>
      <c r="P336" s="9"/>
      <c r="Q336" s="9"/>
      <c r="R336" s="33"/>
      <c r="S336" s="9"/>
      <c r="U336" s="8"/>
      <c r="V336" s="9"/>
      <c r="W336" s="9"/>
      <c r="X336" s="9"/>
      <c r="Y336" s="9"/>
      <c r="Z336" s="9"/>
      <c r="AA336" s="9"/>
      <c r="AB336" s="9"/>
      <c r="AC336" s="9"/>
      <c r="AD336" s="9"/>
    </row>
    <row r="337" spans="1:30" ht="18.75" x14ac:dyDescent="0.3">
      <c r="A337" s="42"/>
      <c r="B337" s="42"/>
      <c r="C337" s="74"/>
      <c r="D337" s="74"/>
      <c r="E337" s="70"/>
      <c r="F337" s="70"/>
      <c r="G337" s="70"/>
      <c r="H337" s="70"/>
      <c r="I337" s="70"/>
      <c r="J337" s="77"/>
      <c r="K337" s="77"/>
      <c r="L337" s="9"/>
      <c r="M337" s="42"/>
      <c r="N337" s="42"/>
      <c r="O337" s="9"/>
      <c r="P337" s="9"/>
      <c r="Q337" s="9"/>
      <c r="R337" s="33"/>
      <c r="S337" s="9"/>
      <c r="U337" s="8"/>
      <c r="V337" s="9"/>
      <c r="W337" s="9"/>
      <c r="X337" s="9"/>
      <c r="Y337" s="9"/>
      <c r="Z337" s="9"/>
      <c r="AA337" s="9"/>
      <c r="AB337" s="9"/>
      <c r="AC337" s="9"/>
      <c r="AD337" s="9"/>
    </row>
    <row r="338" spans="1:30" ht="18.75" x14ac:dyDescent="0.3">
      <c r="A338" s="42"/>
      <c r="B338" s="42"/>
      <c r="C338" s="74"/>
      <c r="D338" s="74"/>
      <c r="E338" s="70"/>
      <c r="F338" s="70"/>
      <c r="G338" s="70"/>
      <c r="H338" s="70"/>
      <c r="I338" s="70"/>
      <c r="J338" s="77"/>
      <c r="K338" s="77"/>
      <c r="L338" s="9"/>
      <c r="M338" s="42"/>
      <c r="N338" s="42"/>
      <c r="O338" s="9"/>
      <c r="P338" s="9"/>
      <c r="Q338" s="9"/>
      <c r="R338" s="33"/>
      <c r="S338" s="9"/>
      <c r="U338" s="8"/>
      <c r="V338" s="9"/>
      <c r="W338" s="9"/>
      <c r="X338" s="9"/>
      <c r="Y338" s="9"/>
      <c r="Z338" s="9"/>
      <c r="AA338" s="9"/>
      <c r="AB338" s="9"/>
      <c r="AC338" s="9"/>
      <c r="AD338" s="9"/>
    </row>
    <row r="339" spans="1:30" ht="18.75" x14ac:dyDescent="0.3">
      <c r="A339" s="42"/>
      <c r="B339" s="42"/>
      <c r="C339" s="74"/>
      <c r="D339" s="74"/>
      <c r="E339" s="70"/>
      <c r="F339" s="70"/>
      <c r="G339" s="70"/>
      <c r="H339" s="70"/>
      <c r="I339" s="70"/>
      <c r="J339" s="77"/>
      <c r="K339" s="77"/>
      <c r="L339" s="9"/>
      <c r="M339" s="42"/>
      <c r="N339" s="42"/>
      <c r="O339" s="9"/>
      <c r="P339" s="9"/>
      <c r="Q339" s="9"/>
      <c r="R339" s="33"/>
      <c r="S339" s="9"/>
      <c r="U339" s="8"/>
      <c r="V339" s="9"/>
      <c r="W339" s="9"/>
      <c r="X339" s="9"/>
      <c r="Y339" s="9"/>
      <c r="Z339" s="9"/>
      <c r="AA339" s="9"/>
      <c r="AB339" s="9"/>
      <c r="AC339" s="9"/>
      <c r="AD339" s="9"/>
    </row>
    <row r="340" spans="1:30" ht="18.75" x14ac:dyDescent="0.3">
      <c r="A340" s="42"/>
      <c r="B340" s="42"/>
      <c r="C340" s="74"/>
      <c r="D340" s="74"/>
      <c r="E340" s="70"/>
      <c r="F340" s="70"/>
      <c r="G340" s="70"/>
      <c r="H340" s="70"/>
      <c r="I340" s="70"/>
      <c r="J340" s="77"/>
      <c r="K340" s="77"/>
      <c r="L340" s="9"/>
      <c r="M340" s="42"/>
      <c r="N340" s="42"/>
      <c r="O340" s="9"/>
      <c r="P340" s="9"/>
      <c r="Q340" s="9"/>
      <c r="R340" s="33"/>
      <c r="S340" s="9"/>
      <c r="U340" s="8"/>
      <c r="V340" s="9"/>
      <c r="W340" s="9"/>
      <c r="X340" s="9"/>
      <c r="Y340" s="9"/>
      <c r="Z340" s="9"/>
      <c r="AA340" s="9"/>
      <c r="AB340" s="9"/>
      <c r="AC340" s="9"/>
      <c r="AD340" s="9"/>
    </row>
    <row r="341" spans="1:30" ht="18.75" x14ac:dyDescent="0.3">
      <c r="A341" s="42"/>
      <c r="B341" s="42"/>
      <c r="C341" s="74"/>
      <c r="D341" s="74"/>
      <c r="E341" s="70"/>
      <c r="F341" s="70"/>
      <c r="G341" s="70"/>
      <c r="H341" s="70"/>
      <c r="I341" s="70"/>
      <c r="J341" s="77"/>
      <c r="K341" s="77"/>
      <c r="L341" s="9"/>
      <c r="M341" s="42"/>
      <c r="N341" s="42"/>
      <c r="O341" s="9"/>
      <c r="P341" s="9"/>
      <c r="Q341" s="9"/>
      <c r="R341" s="33"/>
      <c r="S341" s="9"/>
      <c r="U341" s="8"/>
      <c r="V341" s="9"/>
      <c r="W341" s="9"/>
      <c r="X341" s="9"/>
      <c r="Y341" s="9"/>
      <c r="Z341" s="9"/>
      <c r="AA341" s="9"/>
      <c r="AB341" s="9"/>
      <c r="AC341" s="9"/>
      <c r="AD341" s="9"/>
    </row>
    <row r="342" spans="1:30" ht="18.75" x14ac:dyDescent="0.3">
      <c r="A342" s="42"/>
      <c r="B342" s="42"/>
      <c r="C342" s="74"/>
      <c r="D342" s="74"/>
      <c r="E342" s="70"/>
      <c r="F342" s="70"/>
      <c r="G342" s="70"/>
      <c r="H342" s="70"/>
      <c r="I342" s="70"/>
      <c r="J342" s="77"/>
      <c r="K342" s="77"/>
      <c r="L342" s="9"/>
      <c r="M342" s="42"/>
      <c r="N342" s="42"/>
      <c r="O342" s="9"/>
      <c r="P342" s="9"/>
      <c r="Q342" s="9"/>
      <c r="R342" s="33"/>
      <c r="S342" s="9"/>
      <c r="U342" s="8"/>
      <c r="V342" s="9"/>
      <c r="W342" s="9"/>
      <c r="X342" s="9"/>
      <c r="Y342" s="9"/>
      <c r="Z342" s="9"/>
      <c r="AA342" s="9"/>
      <c r="AB342" s="9"/>
      <c r="AC342" s="9"/>
      <c r="AD342" s="9"/>
    </row>
    <row r="343" spans="1:30" ht="18.75" x14ac:dyDescent="0.3">
      <c r="A343" s="42"/>
      <c r="B343" s="42"/>
      <c r="C343" s="74"/>
      <c r="D343" s="74"/>
      <c r="E343" s="70"/>
      <c r="F343" s="70"/>
      <c r="G343" s="70"/>
      <c r="H343" s="70"/>
      <c r="I343" s="70"/>
      <c r="J343" s="77"/>
      <c r="K343" s="77"/>
      <c r="L343" s="9"/>
      <c r="M343" s="42"/>
      <c r="N343" s="42"/>
      <c r="O343" s="9"/>
      <c r="P343" s="9"/>
      <c r="Q343" s="9"/>
      <c r="R343" s="33"/>
      <c r="S343" s="9"/>
      <c r="U343" s="8"/>
      <c r="V343" s="9"/>
      <c r="W343" s="9"/>
      <c r="X343" s="9"/>
      <c r="Y343" s="9"/>
      <c r="Z343" s="9"/>
      <c r="AA343" s="9"/>
      <c r="AB343" s="9"/>
      <c r="AC343" s="9"/>
      <c r="AD343" s="9"/>
    </row>
    <row r="344" spans="1:30" ht="18.75" x14ac:dyDescent="0.3">
      <c r="A344" s="42"/>
      <c r="B344" s="42"/>
      <c r="C344" s="74"/>
      <c r="D344" s="74"/>
      <c r="E344" s="70"/>
      <c r="F344" s="70"/>
      <c r="G344" s="70"/>
      <c r="H344" s="70"/>
      <c r="I344" s="70"/>
      <c r="J344" s="77"/>
      <c r="K344" s="77"/>
      <c r="L344" s="9"/>
      <c r="M344" s="42"/>
      <c r="N344" s="42"/>
      <c r="O344" s="9"/>
      <c r="P344" s="9"/>
      <c r="Q344" s="9"/>
      <c r="R344" s="33"/>
      <c r="S344" s="9"/>
      <c r="U344" s="8"/>
      <c r="V344" s="9"/>
      <c r="W344" s="9"/>
      <c r="X344" s="9"/>
      <c r="Y344" s="9"/>
      <c r="Z344" s="9"/>
      <c r="AA344" s="9"/>
      <c r="AB344" s="9"/>
      <c r="AC344" s="9"/>
      <c r="AD344" s="9"/>
    </row>
    <row r="345" spans="1:30" ht="18.75" x14ac:dyDescent="0.3">
      <c r="A345" s="42"/>
      <c r="B345" s="42"/>
      <c r="C345" s="74"/>
      <c r="D345" s="74"/>
      <c r="E345" s="70"/>
      <c r="F345" s="70"/>
      <c r="G345" s="70"/>
      <c r="H345" s="70"/>
      <c r="I345" s="70"/>
      <c r="J345" s="77"/>
      <c r="K345" s="77"/>
      <c r="L345" s="9"/>
      <c r="M345" s="42"/>
      <c r="N345" s="42"/>
      <c r="O345" s="9"/>
      <c r="P345" s="9"/>
      <c r="Q345" s="9"/>
      <c r="R345" s="33"/>
      <c r="S345" s="9"/>
      <c r="U345" s="8"/>
      <c r="V345" s="9"/>
      <c r="W345" s="9"/>
      <c r="X345" s="9"/>
      <c r="Y345" s="9"/>
      <c r="Z345" s="9"/>
      <c r="AA345" s="9"/>
      <c r="AB345" s="9"/>
      <c r="AC345" s="9"/>
      <c r="AD345" s="9"/>
    </row>
    <row r="346" spans="1:30" ht="18.75" x14ac:dyDescent="0.3">
      <c r="A346" s="42"/>
      <c r="B346" s="42"/>
      <c r="C346" s="74"/>
      <c r="D346" s="74"/>
      <c r="E346" s="70"/>
      <c r="F346" s="70"/>
      <c r="G346" s="70"/>
      <c r="H346" s="70"/>
      <c r="I346" s="70"/>
      <c r="J346" s="77"/>
      <c r="K346" s="77"/>
      <c r="L346" s="9"/>
      <c r="M346" s="42"/>
      <c r="N346" s="42"/>
      <c r="O346" s="9"/>
      <c r="P346" s="9"/>
      <c r="Q346" s="9"/>
      <c r="R346" s="33"/>
      <c r="S346" s="9"/>
      <c r="U346" s="8"/>
      <c r="V346" s="9"/>
      <c r="W346" s="9"/>
      <c r="X346" s="9"/>
      <c r="Y346" s="9"/>
      <c r="Z346" s="9"/>
      <c r="AA346" s="9"/>
      <c r="AB346" s="9"/>
      <c r="AC346" s="9"/>
      <c r="AD346" s="9"/>
    </row>
    <row r="347" spans="1:30" ht="18.75" x14ac:dyDescent="0.3">
      <c r="A347" s="42"/>
      <c r="B347" s="42"/>
      <c r="C347" s="74"/>
      <c r="D347" s="74"/>
      <c r="E347" s="70"/>
      <c r="F347" s="70"/>
      <c r="G347" s="70"/>
      <c r="H347" s="70"/>
      <c r="I347" s="70"/>
      <c r="J347" s="77"/>
      <c r="K347" s="77"/>
      <c r="L347" s="9"/>
      <c r="M347" s="42"/>
      <c r="N347" s="42"/>
      <c r="O347" s="9"/>
      <c r="P347" s="9"/>
      <c r="Q347" s="9"/>
      <c r="R347" s="33"/>
      <c r="S347" s="9"/>
      <c r="U347" s="8"/>
      <c r="V347" s="9"/>
      <c r="W347" s="9"/>
      <c r="X347" s="9"/>
      <c r="Y347" s="9"/>
      <c r="Z347" s="9"/>
      <c r="AA347" s="9"/>
      <c r="AB347" s="9"/>
      <c r="AC347" s="9"/>
      <c r="AD347" s="9"/>
    </row>
    <row r="348" spans="1:30" ht="18.75" x14ac:dyDescent="0.3">
      <c r="A348" s="42"/>
      <c r="B348" s="42"/>
      <c r="C348" s="74"/>
      <c r="D348" s="74"/>
      <c r="E348" s="70"/>
      <c r="F348" s="70"/>
      <c r="G348" s="70"/>
      <c r="H348" s="70"/>
      <c r="I348" s="70"/>
      <c r="J348" s="77"/>
      <c r="K348" s="77"/>
      <c r="L348" s="9"/>
      <c r="M348" s="42"/>
      <c r="N348" s="42"/>
      <c r="O348" s="9"/>
      <c r="P348" s="9"/>
      <c r="Q348" s="9"/>
      <c r="R348" s="33"/>
      <c r="S348" s="9"/>
      <c r="U348" s="8"/>
      <c r="V348" s="9"/>
      <c r="W348" s="9"/>
      <c r="X348" s="9"/>
      <c r="Y348" s="9"/>
      <c r="Z348" s="9"/>
      <c r="AA348" s="9"/>
      <c r="AB348" s="9"/>
      <c r="AC348" s="9"/>
      <c r="AD348" s="9"/>
    </row>
    <row r="349" spans="1:30" ht="18.75" x14ac:dyDescent="0.3">
      <c r="A349" s="42"/>
      <c r="B349" s="42"/>
      <c r="C349" s="74"/>
      <c r="D349" s="74"/>
      <c r="E349" s="70"/>
      <c r="F349" s="70"/>
      <c r="G349" s="70"/>
      <c r="H349" s="70"/>
      <c r="I349" s="70"/>
      <c r="J349" s="77"/>
      <c r="K349" s="77"/>
      <c r="L349" s="9"/>
      <c r="M349" s="42"/>
      <c r="N349" s="42"/>
      <c r="O349" s="9"/>
      <c r="P349" s="9"/>
      <c r="Q349" s="9"/>
      <c r="R349" s="33"/>
      <c r="S349" s="9"/>
      <c r="U349" s="8"/>
      <c r="V349" s="9"/>
      <c r="W349" s="9"/>
      <c r="X349" s="9"/>
      <c r="Y349" s="9"/>
      <c r="Z349" s="9"/>
      <c r="AA349" s="9"/>
      <c r="AB349" s="9"/>
      <c r="AC349" s="9"/>
      <c r="AD349" s="9"/>
    </row>
    <row r="350" spans="1:30" ht="18.75" x14ac:dyDescent="0.3">
      <c r="A350" s="42"/>
      <c r="B350" s="42"/>
      <c r="C350" s="74"/>
      <c r="D350" s="74"/>
      <c r="E350" s="70"/>
      <c r="F350" s="70"/>
      <c r="G350" s="70"/>
      <c r="H350" s="70"/>
      <c r="I350" s="70"/>
      <c r="J350" s="77"/>
      <c r="K350" s="77"/>
      <c r="L350" s="9"/>
      <c r="M350" s="42"/>
      <c r="N350" s="42"/>
      <c r="O350" s="9"/>
      <c r="P350" s="9"/>
      <c r="Q350" s="9"/>
      <c r="R350" s="33"/>
      <c r="S350" s="9"/>
      <c r="U350" s="8"/>
      <c r="V350" s="9"/>
      <c r="W350" s="9"/>
      <c r="X350" s="9"/>
      <c r="Y350" s="9"/>
      <c r="Z350" s="9"/>
      <c r="AA350" s="9"/>
      <c r="AB350" s="9"/>
      <c r="AC350" s="9"/>
      <c r="AD350" s="9"/>
    </row>
    <row r="351" spans="1:30" ht="18.75" x14ac:dyDescent="0.3">
      <c r="A351" s="42"/>
      <c r="B351" s="42"/>
      <c r="C351" s="74"/>
      <c r="D351" s="74"/>
      <c r="E351" s="70"/>
      <c r="F351" s="70"/>
      <c r="G351" s="70"/>
      <c r="H351" s="70"/>
      <c r="I351" s="70"/>
      <c r="J351" s="77"/>
      <c r="K351" s="77"/>
      <c r="L351" s="9"/>
      <c r="M351" s="42"/>
      <c r="N351" s="42"/>
      <c r="O351" s="9"/>
      <c r="P351" s="9"/>
      <c r="Q351" s="9"/>
      <c r="R351" s="33"/>
      <c r="S351" s="9"/>
      <c r="U351" s="8"/>
      <c r="V351" s="9"/>
      <c r="W351" s="9"/>
      <c r="X351" s="9"/>
      <c r="Y351" s="9"/>
      <c r="Z351" s="9"/>
      <c r="AA351" s="9"/>
      <c r="AB351" s="9"/>
      <c r="AC351" s="9"/>
      <c r="AD351" s="9"/>
    </row>
    <row r="352" spans="1:30" ht="18.75" x14ac:dyDescent="0.3">
      <c r="A352" s="42"/>
      <c r="B352" s="42"/>
      <c r="C352" s="74"/>
      <c r="D352" s="74"/>
      <c r="E352" s="70"/>
      <c r="F352" s="70"/>
      <c r="G352" s="70"/>
      <c r="H352" s="70"/>
      <c r="I352" s="70"/>
      <c r="J352" s="77"/>
      <c r="K352" s="77"/>
      <c r="L352" s="9"/>
      <c r="M352" s="42"/>
      <c r="N352" s="42"/>
      <c r="O352" s="9"/>
      <c r="P352" s="9"/>
      <c r="Q352" s="9"/>
      <c r="R352" s="33"/>
      <c r="S352" s="9"/>
      <c r="U352" s="8"/>
      <c r="V352" s="9"/>
      <c r="W352" s="9"/>
      <c r="X352" s="9"/>
      <c r="Y352" s="9"/>
      <c r="Z352" s="9"/>
      <c r="AA352" s="9"/>
      <c r="AB352" s="9"/>
      <c r="AC352" s="9"/>
      <c r="AD352" s="9"/>
    </row>
    <row r="353" spans="1:30" ht="18.75" x14ac:dyDescent="0.3">
      <c r="A353" s="42"/>
      <c r="B353" s="42"/>
      <c r="C353" s="74"/>
      <c r="D353" s="74"/>
      <c r="E353" s="70"/>
      <c r="F353" s="70"/>
      <c r="G353" s="70"/>
      <c r="H353" s="70"/>
      <c r="I353" s="70"/>
      <c r="J353" s="77"/>
      <c r="K353" s="77"/>
      <c r="L353" s="9"/>
      <c r="M353" s="42"/>
      <c r="N353" s="42"/>
      <c r="O353" s="9"/>
      <c r="P353" s="9"/>
      <c r="Q353" s="9"/>
      <c r="R353" s="33"/>
      <c r="S353" s="9"/>
      <c r="U353" s="8"/>
      <c r="V353" s="9"/>
      <c r="W353" s="9"/>
      <c r="X353" s="9"/>
      <c r="Y353" s="9"/>
      <c r="Z353" s="9"/>
      <c r="AA353" s="9"/>
      <c r="AB353" s="9"/>
      <c r="AC353" s="9"/>
      <c r="AD353" s="9"/>
    </row>
    <row r="354" spans="1:30" ht="18.75" x14ac:dyDescent="0.3">
      <c r="A354" s="42"/>
      <c r="B354" s="42"/>
      <c r="C354" s="74"/>
      <c r="D354" s="74"/>
      <c r="E354" s="70"/>
      <c r="F354" s="70"/>
      <c r="G354" s="70"/>
      <c r="H354" s="70"/>
      <c r="I354" s="70"/>
      <c r="J354" s="77"/>
      <c r="K354" s="77"/>
      <c r="L354" s="9"/>
      <c r="M354" s="42"/>
      <c r="N354" s="42"/>
      <c r="O354" s="9"/>
      <c r="P354" s="9"/>
      <c r="Q354" s="9"/>
      <c r="R354" s="33"/>
      <c r="S354" s="9"/>
      <c r="U354" s="8"/>
      <c r="V354" s="9"/>
      <c r="W354" s="9"/>
      <c r="X354" s="9"/>
      <c r="Y354" s="9"/>
      <c r="Z354" s="9"/>
      <c r="AA354" s="9"/>
      <c r="AB354" s="9"/>
      <c r="AC354" s="9"/>
      <c r="AD354" s="9"/>
    </row>
    <row r="355" spans="1:30" ht="18.75" x14ac:dyDescent="0.3">
      <c r="A355" s="42"/>
      <c r="B355" s="42"/>
      <c r="C355" s="74"/>
      <c r="D355" s="74"/>
      <c r="E355" s="70"/>
      <c r="F355" s="70"/>
      <c r="G355" s="70"/>
      <c r="H355" s="70"/>
      <c r="I355" s="70"/>
      <c r="J355" s="77"/>
      <c r="K355" s="77"/>
      <c r="L355" s="9"/>
      <c r="M355" s="42"/>
      <c r="N355" s="42"/>
      <c r="O355" s="9"/>
      <c r="P355" s="9"/>
      <c r="Q355" s="9"/>
      <c r="R355" s="33"/>
      <c r="S355" s="9"/>
      <c r="U355" s="8"/>
      <c r="V355" s="9"/>
      <c r="W355" s="9"/>
      <c r="X355" s="9"/>
      <c r="Y355" s="9"/>
      <c r="Z355" s="9"/>
      <c r="AA355" s="9"/>
      <c r="AB355" s="9"/>
      <c r="AC355" s="9"/>
      <c r="AD355" s="9"/>
    </row>
    <row r="356" spans="1:30" ht="18.75" x14ac:dyDescent="0.3">
      <c r="A356" s="42"/>
      <c r="B356" s="42"/>
      <c r="C356" s="74"/>
      <c r="D356" s="74"/>
      <c r="E356" s="70"/>
      <c r="F356" s="70"/>
      <c r="G356" s="70"/>
      <c r="H356" s="70"/>
      <c r="I356" s="70"/>
      <c r="J356" s="77"/>
      <c r="K356" s="77"/>
      <c r="L356" s="9"/>
      <c r="M356" s="42"/>
      <c r="N356" s="42"/>
      <c r="O356" s="9"/>
      <c r="P356" s="9"/>
      <c r="Q356" s="9"/>
      <c r="R356" s="33"/>
      <c r="S356" s="9"/>
      <c r="U356" s="8"/>
      <c r="V356" s="9"/>
      <c r="W356" s="9"/>
      <c r="X356" s="9"/>
      <c r="Y356" s="9"/>
      <c r="Z356" s="9"/>
      <c r="AA356" s="9"/>
      <c r="AB356" s="9"/>
      <c r="AC356" s="9"/>
      <c r="AD356" s="9"/>
    </row>
    <row r="357" spans="1:30" ht="18.75" x14ac:dyDescent="0.3">
      <c r="A357" s="42"/>
      <c r="B357" s="42"/>
      <c r="C357" s="74"/>
      <c r="D357" s="74"/>
      <c r="E357" s="70"/>
      <c r="F357" s="70"/>
      <c r="G357" s="70"/>
      <c r="H357" s="70"/>
      <c r="I357" s="70"/>
      <c r="J357" s="77"/>
      <c r="K357" s="77"/>
      <c r="L357" s="9"/>
      <c r="M357" s="42"/>
      <c r="N357" s="42"/>
      <c r="O357" s="9"/>
      <c r="P357" s="9"/>
      <c r="Q357" s="9"/>
      <c r="R357" s="33"/>
      <c r="S357" s="9"/>
      <c r="U357" s="8"/>
      <c r="V357" s="9"/>
      <c r="W357" s="9"/>
      <c r="X357" s="9"/>
      <c r="Y357" s="9"/>
      <c r="Z357" s="9"/>
      <c r="AA357" s="9"/>
      <c r="AB357" s="9"/>
      <c r="AC357" s="9"/>
      <c r="AD357" s="9"/>
    </row>
    <row r="358" spans="1:30" ht="18.75" x14ac:dyDescent="0.3">
      <c r="A358" s="42"/>
      <c r="B358" s="42"/>
      <c r="C358" s="74"/>
      <c r="D358" s="74"/>
      <c r="E358" s="70"/>
      <c r="F358" s="70"/>
      <c r="G358" s="70"/>
      <c r="H358" s="70"/>
      <c r="I358" s="70"/>
      <c r="J358" s="77"/>
      <c r="K358" s="77"/>
      <c r="L358" s="9"/>
      <c r="M358" s="42"/>
      <c r="N358" s="42"/>
      <c r="O358" s="9"/>
      <c r="P358" s="9"/>
      <c r="Q358" s="9"/>
      <c r="R358" s="33"/>
      <c r="S358" s="9"/>
      <c r="U358" s="8"/>
      <c r="V358" s="9"/>
      <c r="W358" s="9"/>
      <c r="X358" s="9"/>
      <c r="Y358" s="9"/>
      <c r="Z358" s="9"/>
      <c r="AA358" s="9"/>
      <c r="AB358" s="9"/>
      <c r="AC358" s="9"/>
      <c r="AD358" s="9"/>
    </row>
    <row r="359" spans="1:30" ht="18.75" x14ac:dyDescent="0.3">
      <c r="A359" s="42"/>
      <c r="B359" s="42"/>
      <c r="C359" s="74"/>
      <c r="D359" s="74"/>
      <c r="E359" s="70"/>
      <c r="F359" s="70"/>
      <c r="G359" s="70"/>
      <c r="H359" s="70"/>
      <c r="I359" s="70"/>
      <c r="J359" s="77"/>
      <c r="K359" s="77"/>
      <c r="L359" s="9"/>
      <c r="M359" s="42"/>
      <c r="N359" s="42"/>
      <c r="O359" s="9"/>
      <c r="P359" s="9"/>
      <c r="Q359" s="9"/>
      <c r="R359" s="33"/>
      <c r="S359" s="9"/>
      <c r="U359" s="8"/>
      <c r="V359" s="9"/>
      <c r="W359" s="9"/>
      <c r="X359" s="9"/>
      <c r="Y359" s="9"/>
      <c r="Z359" s="9"/>
      <c r="AA359" s="9"/>
      <c r="AB359" s="9"/>
      <c r="AC359" s="9"/>
      <c r="AD359" s="9"/>
    </row>
    <row r="360" spans="1:30" ht="18.75" x14ac:dyDescent="0.3">
      <c r="A360" s="42"/>
      <c r="B360" s="42"/>
      <c r="C360" s="74"/>
      <c r="D360" s="74"/>
      <c r="E360" s="70"/>
      <c r="F360" s="70"/>
      <c r="G360" s="70"/>
      <c r="H360" s="70"/>
      <c r="I360" s="70"/>
      <c r="J360" s="77"/>
      <c r="K360" s="77"/>
      <c r="L360" s="9"/>
      <c r="M360" s="42"/>
      <c r="N360" s="42"/>
      <c r="O360" s="9"/>
      <c r="P360" s="9"/>
      <c r="Q360" s="9"/>
      <c r="R360" s="33"/>
      <c r="S360" s="9"/>
      <c r="U360" s="8"/>
      <c r="V360" s="9"/>
      <c r="W360" s="9"/>
      <c r="X360" s="9"/>
      <c r="Y360" s="9"/>
      <c r="Z360" s="9"/>
      <c r="AA360" s="9"/>
      <c r="AB360" s="9"/>
      <c r="AC360" s="9"/>
      <c r="AD360" s="9"/>
    </row>
    <row r="361" spans="1:30" ht="18.75" x14ac:dyDescent="0.3">
      <c r="A361" s="42"/>
      <c r="B361" s="42"/>
      <c r="C361" s="74"/>
      <c r="D361" s="74"/>
      <c r="E361" s="70"/>
      <c r="F361" s="70"/>
      <c r="G361" s="70"/>
      <c r="H361" s="70"/>
      <c r="I361" s="70"/>
      <c r="J361" s="77"/>
      <c r="K361" s="77"/>
      <c r="L361" s="9"/>
      <c r="M361" s="42"/>
      <c r="N361" s="42"/>
      <c r="O361" s="9"/>
      <c r="P361" s="9"/>
      <c r="Q361" s="9"/>
      <c r="R361" s="33"/>
      <c r="S361" s="9"/>
      <c r="U361" s="8"/>
      <c r="V361" s="9"/>
      <c r="W361" s="9"/>
      <c r="X361" s="9"/>
      <c r="Y361" s="9"/>
      <c r="Z361" s="9"/>
      <c r="AA361" s="9"/>
      <c r="AB361" s="9"/>
      <c r="AC361" s="9"/>
      <c r="AD361" s="9"/>
    </row>
    <row r="362" spans="1:30" ht="18.75" x14ac:dyDescent="0.3">
      <c r="A362" s="42"/>
      <c r="B362" s="42"/>
      <c r="C362" s="74"/>
      <c r="D362" s="74"/>
      <c r="E362" s="70"/>
      <c r="F362" s="70"/>
      <c r="G362" s="70"/>
      <c r="H362" s="70"/>
      <c r="I362" s="70"/>
      <c r="J362" s="77"/>
      <c r="K362" s="77"/>
      <c r="L362" s="9"/>
      <c r="M362" s="42"/>
      <c r="N362" s="42"/>
      <c r="O362" s="9"/>
      <c r="P362" s="9"/>
      <c r="Q362" s="9"/>
      <c r="R362" s="33"/>
      <c r="S362" s="9"/>
      <c r="U362" s="8"/>
      <c r="V362" s="9"/>
      <c r="W362" s="9"/>
      <c r="X362" s="9"/>
      <c r="Y362" s="9"/>
      <c r="Z362" s="9"/>
      <c r="AA362" s="9"/>
      <c r="AB362" s="9"/>
      <c r="AC362" s="9"/>
      <c r="AD362" s="9"/>
    </row>
    <row r="363" spans="1:30" ht="18.75" x14ac:dyDescent="0.3">
      <c r="A363" s="42"/>
      <c r="B363" s="42"/>
      <c r="C363" s="74"/>
      <c r="D363" s="74"/>
      <c r="E363" s="70"/>
      <c r="F363" s="70"/>
      <c r="G363" s="70"/>
      <c r="H363" s="70"/>
      <c r="I363" s="70"/>
      <c r="J363" s="77"/>
      <c r="K363" s="77"/>
      <c r="L363" s="9"/>
      <c r="M363" s="42"/>
      <c r="N363" s="42"/>
      <c r="O363" s="9"/>
      <c r="P363" s="9"/>
      <c r="Q363" s="9"/>
      <c r="R363" s="33"/>
      <c r="S363" s="9"/>
      <c r="U363" s="8"/>
      <c r="V363" s="9"/>
      <c r="W363" s="9"/>
      <c r="X363" s="9"/>
      <c r="Y363" s="9"/>
      <c r="Z363" s="9"/>
      <c r="AA363" s="9"/>
      <c r="AB363" s="9"/>
      <c r="AC363" s="9"/>
      <c r="AD363" s="9"/>
    </row>
    <row r="364" spans="1:30" ht="18.75" x14ac:dyDescent="0.3">
      <c r="A364" s="42"/>
      <c r="B364" s="42"/>
      <c r="C364" s="74"/>
      <c r="D364" s="74"/>
      <c r="E364" s="70"/>
      <c r="F364" s="70"/>
      <c r="G364" s="70"/>
      <c r="H364" s="70"/>
      <c r="I364" s="70"/>
      <c r="J364" s="77"/>
      <c r="K364" s="77"/>
      <c r="L364" s="9"/>
      <c r="M364" s="42"/>
      <c r="N364" s="42"/>
      <c r="O364" s="9"/>
      <c r="P364" s="9"/>
      <c r="Q364" s="9"/>
      <c r="R364" s="33"/>
      <c r="S364" s="9"/>
      <c r="U364" s="8"/>
      <c r="V364" s="9"/>
      <c r="W364" s="9"/>
      <c r="X364" s="9"/>
      <c r="Y364" s="9"/>
      <c r="Z364" s="9"/>
      <c r="AA364" s="9"/>
      <c r="AB364" s="9"/>
      <c r="AC364" s="9"/>
      <c r="AD364" s="9"/>
    </row>
    <row r="365" spans="1:30" ht="18.75" x14ac:dyDescent="0.3">
      <c r="A365" s="42"/>
      <c r="B365" s="42"/>
      <c r="C365" s="74"/>
      <c r="D365" s="74"/>
      <c r="E365" s="70"/>
      <c r="F365" s="70"/>
      <c r="G365" s="70"/>
      <c r="H365" s="70"/>
      <c r="I365" s="70"/>
      <c r="J365" s="77"/>
      <c r="K365" s="77"/>
      <c r="L365" s="9"/>
      <c r="M365" s="42"/>
      <c r="N365" s="42"/>
      <c r="O365" s="9"/>
      <c r="P365" s="9"/>
      <c r="Q365" s="9"/>
      <c r="R365" s="33"/>
      <c r="S365" s="9"/>
      <c r="U365" s="8"/>
      <c r="V365" s="9"/>
      <c r="W365" s="9"/>
      <c r="X365" s="9"/>
      <c r="Y365" s="9"/>
      <c r="Z365" s="9"/>
      <c r="AA365" s="9"/>
      <c r="AB365" s="9"/>
      <c r="AC365" s="9"/>
      <c r="AD365" s="9"/>
    </row>
    <row r="366" spans="1:30" ht="18.75" x14ac:dyDescent="0.3">
      <c r="A366" s="42"/>
      <c r="B366" s="42"/>
      <c r="C366" s="74"/>
      <c r="D366" s="74"/>
      <c r="E366" s="70"/>
      <c r="F366" s="70"/>
      <c r="G366" s="70"/>
      <c r="H366" s="70"/>
      <c r="I366" s="70"/>
      <c r="J366" s="77"/>
      <c r="K366" s="77"/>
      <c r="L366" s="9"/>
      <c r="M366" s="42"/>
      <c r="N366" s="42"/>
      <c r="O366" s="9"/>
      <c r="P366" s="9"/>
      <c r="Q366" s="9"/>
      <c r="R366" s="33"/>
      <c r="S366" s="9"/>
      <c r="U366" s="8"/>
      <c r="V366" s="9"/>
      <c r="W366" s="9"/>
      <c r="X366" s="9"/>
      <c r="Y366" s="9"/>
      <c r="Z366" s="9"/>
      <c r="AA366" s="9"/>
      <c r="AB366" s="9"/>
      <c r="AC366" s="9"/>
      <c r="AD366" s="9"/>
    </row>
    <row r="367" spans="1:30" ht="18.75" x14ac:dyDescent="0.3">
      <c r="A367" s="42"/>
      <c r="B367" s="42"/>
      <c r="C367" s="74"/>
      <c r="D367" s="74"/>
      <c r="E367" s="70"/>
      <c r="F367" s="70"/>
      <c r="G367" s="70"/>
      <c r="H367" s="70"/>
      <c r="I367" s="70"/>
      <c r="J367" s="77"/>
      <c r="K367" s="77"/>
      <c r="L367" s="9"/>
      <c r="M367" s="42"/>
      <c r="N367" s="42"/>
      <c r="O367" s="9"/>
      <c r="P367" s="9"/>
      <c r="Q367" s="9"/>
      <c r="R367" s="33"/>
      <c r="S367" s="9"/>
      <c r="U367" s="8"/>
      <c r="V367" s="9"/>
      <c r="W367" s="9"/>
      <c r="X367" s="9"/>
      <c r="Y367" s="9"/>
      <c r="Z367" s="9"/>
      <c r="AA367" s="9"/>
      <c r="AB367" s="9"/>
      <c r="AC367" s="9"/>
      <c r="AD367" s="9"/>
    </row>
    <row r="368" spans="1:30" ht="18.75" x14ac:dyDescent="0.3">
      <c r="A368" s="42"/>
      <c r="B368" s="42"/>
      <c r="C368" s="74"/>
      <c r="D368" s="74"/>
      <c r="E368" s="70"/>
      <c r="F368" s="70"/>
      <c r="G368" s="70"/>
      <c r="H368" s="70"/>
      <c r="I368" s="70"/>
      <c r="J368" s="77"/>
      <c r="K368" s="77"/>
      <c r="L368" s="9"/>
      <c r="M368" s="42"/>
      <c r="N368" s="42"/>
      <c r="O368" s="9"/>
      <c r="P368" s="9"/>
      <c r="Q368" s="9"/>
      <c r="R368" s="33"/>
      <c r="S368" s="9"/>
      <c r="U368" s="8"/>
      <c r="V368" s="9"/>
      <c r="W368" s="9"/>
      <c r="X368" s="9"/>
      <c r="Y368" s="9"/>
      <c r="Z368" s="9"/>
      <c r="AA368" s="9"/>
      <c r="AB368" s="9"/>
      <c r="AC368" s="9"/>
      <c r="AD368" s="9"/>
    </row>
    <row r="369" spans="1:30" ht="18.75" x14ac:dyDescent="0.3">
      <c r="A369" s="42"/>
      <c r="B369" s="42"/>
      <c r="C369" s="74"/>
      <c r="D369" s="74"/>
      <c r="E369" s="70"/>
      <c r="F369" s="70"/>
      <c r="G369" s="70"/>
      <c r="H369" s="70"/>
      <c r="I369" s="70"/>
      <c r="J369" s="77"/>
      <c r="K369" s="77"/>
      <c r="L369" s="9"/>
      <c r="M369" s="42"/>
      <c r="N369" s="42"/>
      <c r="O369" s="9"/>
      <c r="P369" s="9"/>
      <c r="Q369" s="9"/>
      <c r="R369" s="33"/>
      <c r="S369" s="9"/>
      <c r="U369" s="8"/>
      <c r="V369" s="9"/>
      <c r="W369" s="9"/>
      <c r="X369" s="9"/>
      <c r="Y369" s="9"/>
      <c r="Z369" s="9"/>
      <c r="AA369" s="9"/>
      <c r="AB369" s="9"/>
      <c r="AC369" s="9"/>
      <c r="AD369" s="9"/>
    </row>
    <row r="370" spans="1:30" ht="18.75" x14ac:dyDescent="0.3">
      <c r="A370" s="42"/>
      <c r="B370" s="42"/>
      <c r="C370" s="74"/>
      <c r="D370" s="74"/>
      <c r="E370" s="70"/>
      <c r="F370" s="70"/>
      <c r="G370" s="70"/>
      <c r="H370" s="70"/>
      <c r="I370" s="70"/>
      <c r="J370" s="77"/>
      <c r="K370" s="77"/>
      <c r="L370" s="9"/>
      <c r="M370" s="42"/>
      <c r="N370" s="42"/>
      <c r="O370" s="9"/>
      <c r="P370" s="9"/>
      <c r="Q370" s="9"/>
      <c r="R370" s="33"/>
      <c r="S370" s="9"/>
      <c r="U370" s="8"/>
      <c r="V370" s="9"/>
      <c r="W370" s="9"/>
      <c r="X370" s="9"/>
      <c r="Y370" s="9"/>
      <c r="Z370" s="9"/>
      <c r="AA370" s="9"/>
      <c r="AB370" s="9"/>
      <c r="AC370" s="9"/>
      <c r="AD370" s="9"/>
    </row>
    <row r="371" spans="1:30" ht="18.75" x14ac:dyDescent="0.3">
      <c r="A371" s="42"/>
      <c r="B371" s="42"/>
      <c r="C371" s="74"/>
      <c r="D371" s="74"/>
      <c r="E371" s="70"/>
      <c r="F371" s="70"/>
      <c r="G371" s="70"/>
      <c r="H371" s="70"/>
      <c r="I371" s="70"/>
      <c r="J371" s="77"/>
      <c r="K371" s="77"/>
      <c r="L371" s="9"/>
      <c r="M371" s="42"/>
      <c r="N371" s="42"/>
      <c r="O371" s="9"/>
      <c r="P371" s="9"/>
      <c r="Q371" s="9"/>
      <c r="R371" s="33"/>
      <c r="S371" s="9"/>
      <c r="U371" s="8"/>
      <c r="V371" s="9"/>
      <c r="W371" s="9"/>
      <c r="X371" s="9"/>
      <c r="Y371" s="9"/>
      <c r="Z371" s="9"/>
      <c r="AA371" s="9"/>
      <c r="AB371" s="9"/>
      <c r="AC371" s="9"/>
      <c r="AD371" s="9"/>
    </row>
    <row r="372" spans="1:30" ht="18.75" x14ac:dyDescent="0.3">
      <c r="A372" s="42"/>
      <c r="B372" s="42"/>
      <c r="C372" s="74"/>
      <c r="D372" s="74"/>
      <c r="E372" s="70"/>
      <c r="F372" s="70"/>
      <c r="G372" s="70"/>
      <c r="H372" s="70"/>
      <c r="I372" s="70"/>
      <c r="J372" s="77"/>
      <c r="K372" s="77"/>
      <c r="L372" s="9"/>
      <c r="M372" s="42"/>
      <c r="N372" s="42"/>
      <c r="O372" s="9"/>
      <c r="P372" s="9"/>
      <c r="Q372" s="9"/>
      <c r="R372" s="33"/>
      <c r="S372" s="9"/>
      <c r="U372" s="8"/>
      <c r="V372" s="9"/>
      <c r="W372" s="9"/>
      <c r="X372" s="9"/>
      <c r="Y372" s="9"/>
      <c r="Z372" s="9"/>
      <c r="AA372" s="9"/>
      <c r="AB372" s="9"/>
      <c r="AC372" s="9"/>
      <c r="AD372" s="9"/>
    </row>
    <row r="373" spans="1:30" ht="18.75" x14ac:dyDescent="0.3">
      <c r="A373" s="42"/>
      <c r="B373" s="42"/>
      <c r="C373" s="74"/>
      <c r="D373" s="74"/>
      <c r="E373" s="70"/>
      <c r="F373" s="70"/>
      <c r="G373" s="70"/>
      <c r="H373" s="70"/>
      <c r="I373" s="70"/>
      <c r="J373" s="77"/>
      <c r="K373" s="77"/>
      <c r="L373" s="9"/>
      <c r="M373" s="42"/>
      <c r="N373" s="42"/>
      <c r="O373" s="9"/>
      <c r="P373" s="9"/>
      <c r="Q373" s="9"/>
      <c r="R373" s="33"/>
      <c r="S373" s="9"/>
      <c r="U373" s="8"/>
      <c r="V373" s="9"/>
      <c r="W373" s="9"/>
      <c r="X373" s="9"/>
      <c r="Y373" s="9"/>
      <c r="Z373" s="9"/>
      <c r="AA373" s="9"/>
      <c r="AB373" s="9"/>
      <c r="AC373" s="9"/>
      <c r="AD373" s="9"/>
    </row>
    <row r="374" spans="1:30" ht="18.75" x14ac:dyDescent="0.3">
      <c r="A374" s="42"/>
      <c r="B374" s="42"/>
      <c r="C374" s="74"/>
      <c r="D374" s="74"/>
      <c r="E374" s="70"/>
      <c r="F374" s="70"/>
      <c r="G374" s="70"/>
      <c r="H374" s="70"/>
      <c r="I374" s="70"/>
      <c r="J374" s="77"/>
      <c r="K374" s="77"/>
      <c r="L374" s="9"/>
      <c r="M374" s="42"/>
      <c r="N374" s="42"/>
      <c r="O374" s="9"/>
      <c r="P374" s="9"/>
      <c r="Q374" s="9"/>
      <c r="R374" s="33"/>
      <c r="S374" s="9"/>
      <c r="U374" s="8"/>
      <c r="V374" s="9"/>
      <c r="W374" s="9"/>
      <c r="X374" s="9"/>
      <c r="Y374" s="9"/>
      <c r="Z374" s="9"/>
      <c r="AA374" s="9"/>
      <c r="AB374" s="9"/>
      <c r="AC374" s="9"/>
      <c r="AD374" s="9"/>
    </row>
    <row r="375" spans="1:30" ht="18.75" x14ac:dyDescent="0.3">
      <c r="A375" s="42"/>
      <c r="B375" s="42"/>
      <c r="C375" s="74"/>
      <c r="D375" s="74"/>
      <c r="E375" s="70"/>
      <c r="F375" s="70"/>
      <c r="G375" s="70"/>
      <c r="H375" s="70"/>
      <c r="I375" s="70"/>
      <c r="J375" s="77"/>
      <c r="K375" s="77"/>
      <c r="L375" s="9"/>
      <c r="M375" s="42"/>
      <c r="N375" s="42"/>
      <c r="O375" s="9"/>
      <c r="P375" s="9"/>
      <c r="Q375" s="9"/>
      <c r="R375" s="33"/>
      <c r="S375" s="9"/>
      <c r="U375" s="8"/>
      <c r="V375" s="9"/>
      <c r="W375" s="9"/>
      <c r="X375" s="9"/>
      <c r="Y375" s="9"/>
      <c r="Z375" s="9"/>
      <c r="AA375" s="9"/>
      <c r="AB375" s="9"/>
      <c r="AC375" s="9"/>
      <c r="AD375" s="9"/>
    </row>
    <row r="376" spans="1:30" ht="18.75" x14ac:dyDescent="0.3">
      <c r="A376" s="42"/>
      <c r="B376" s="42"/>
      <c r="C376" s="74"/>
      <c r="D376" s="74"/>
      <c r="E376" s="70"/>
      <c r="F376" s="70"/>
      <c r="G376" s="70"/>
      <c r="H376" s="70"/>
      <c r="I376" s="70"/>
      <c r="J376" s="77"/>
      <c r="K376" s="77"/>
      <c r="L376" s="9"/>
      <c r="M376" s="42"/>
      <c r="N376" s="42"/>
      <c r="O376" s="9"/>
      <c r="P376" s="9"/>
      <c r="Q376" s="9"/>
      <c r="R376" s="33"/>
      <c r="S376" s="9"/>
      <c r="U376" s="8"/>
      <c r="V376" s="9"/>
      <c r="W376" s="9"/>
      <c r="X376" s="9"/>
      <c r="Y376" s="9"/>
      <c r="Z376" s="9"/>
      <c r="AA376" s="9"/>
      <c r="AB376" s="9"/>
      <c r="AC376" s="9"/>
      <c r="AD376" s="9"/>
    </row>
    <row r="377" spans="1:30" ht="18.75" x14ac:dyDescent="0.3">
      <c r="A377" s="42"/>
      <c r="B377" s="42"/>
      <c r="C377" s="74"/>
      <c r="D377" s="74"/>
      <c r="E377" s="70"/>
      <c r="F377" s="70"/>
      <c r="G377" s="70"/>
      <c r="H377" s="70"/>
      <c r="I377" s="70"/>
      <c r="J377" s="77"/>
      <c r="K377" s="77"/>
      <c r="L377" s="9"/>
      <c r="M377" s="42"/>
      <c r="N377" s="42"/>
      <c r="O377" s="9"/>
      <c r="P377" s="9"/>
      <c r="Q377" s="9"/>
      <c r="R377" s="33"/>
      <c r="S377" s="9"/>
      <c r="U377" s="8"/>
      <c r="V377" s="9"/>
      <c r="W377" s="9"/>
      <c r="X377" s="9"/>
      <c r="Y377" s="9"/>
      <c r="Z377" s="9"/>
      <c r="AA377" s="9"/>
      <c r="AB377" s="9"/>
      <c r="AC377" s="9"/>
      <c r="AD377" s="9"/>
    </row>
    <row r="378" spans="1:30" ht="18.75" x14ac:dyDescent="0.3">
      <c r="A378" s="42"/>
      <c r="B378" s="42"/>
      <c r="C378" s="74"/>
      <c r="D378" s="74"/>
      <c r="E378" s="70"/>
      <c r="F378" s="70"/>
      <c r="G378" s="70"/>
      <c r="H378" s="70"/>
      <c r="I378" s="70"/>
      <c r="J378" s="77"/>
      <c r="K378" s="77"/>
      <c r="L378" s="9"/>
      <c r="M378" s="42"/>
      <c r="N378" s="42"/>
      <c r="O378" s="9"/>
      <c r="P378" s="9"/>
      <c r="Q378" s="9"/>
      <c r="R378" s="33"/>
      <c r="S378" s="9"/>
      <c r="U378" s="8"/>
      <c r="V378" s="9"/>
      <c r="W378" s="9"/>
      <c r="X378" s="9"/>
      <c r="Y378" s="9"/>
      <c r="Z378" s="9"/>
      <c r="AA378" s="9"/>
      <c r="AB378" s="9"/>
      <c r="AC378" s="9"/>
      <c r="AD378" s="9"/>
    </row>
    <row r="379" spans="1:30" ht="18.75" x14ac:dyDescent="0.3">
      <c r="A379" s="42"/>
      <c r="B379" s="42"/>
      <c r="C379" s="74"/>
      <c r="D379" s="74"/>
      <c r="E379" s="70"/>
      <c r="F379" s="70"/>
      <c r="G379" s="70"/>
      <c r="H379" s="70"/>
      <c r="I379" s="70"/>
      <c r="J379" s="77"/>
      <c r="K379" s="77"/>
      <c r="L379" s="9"/>
      <c r="M379" s="42"/>
      <c r="N379" s="42"/>
      <c r="O379" s="9"/>
      <c r="P379" s="9"/>
      <c r="Q379" s="9"/>
      <c r="R379" s="33"/>
      <c r="S379" s="9"/>
      <c r="U379" s="8"/>
      <c r="V379" s="9"/>
      <c r="W379" s="9"/>
      <c r="X379" s="9"/>
      <c r="Y379" s="9"/>
      <c r="Z379" s="9"/>
      <c r="AA379" s="9"/>
      <c r="AB379" s="9"/>
      <c r="AC379" s="9"/>
      <c r="AD379" s="9"/>
    </row>
    <row r="380" spans="1:30" ht="18.75" x14ac:dyDescent="0.3">
      <c r="A380" s="42"/>
      <c r="B380" s="42"/>
      <c r="C380" s="74"/>
      <c r="D380" s="74"/>
      <c r="E380" s="70"/>
      <c r="F380" s="70"/>
      <c r="G380" s="70"/>
      <c r="H380" s="70"/>
      <c r="I380" s="70"/>
      <c r="J380" s="77"/>
      <c r="K380" s="77"/>
      <c r="L380" s="9"/>
      <c r="M380" s="42"/>
      <c r="N380" s="42"/>
      <c r="O380" s="9"/>
      <c r="P380" s="9"/>
      <c r="Q380" s="9"/>
      <c r="R380" s="33"/>
      <c r="S380" s="9"/>
      <c r="U380" s="8"/>
      <c r="V380" s="9"/>
      <c r="W380" s="9"/>
      <c r="X380" s="9"/>
      <c r="Y380" s="9"/>
      <c r="Z380" s="9"/>
      <c r="AA380" s="9"/>
      <c r="AB380" s="9"/>
      <c r="AC380" s="9"/>
      <c r="AD380" s="9"/>
    </row>
    <row r="381" spans="1:30" ht="18.75" x14ac:dyDescent="0.3">
      <c r="A381" s="42"/>
      <c r="B381" s="42"/>
      <c r="C381" s="74"/>
      <c r="D381" s="74"/>
      <c r="E381" s="70"/>
      <c r="F381" s="70"/>
      <c r="G381" s="70"/>
      <c r="H381" s="70"/>
      <c r="I381" s="70"/>
      <c r="J381" s="77"/>
      <c r="K381" s="77"/>
      <c r="L381" s="9"/>
      <c r="M381" s="42"/>
      <c r="N381" s="42"/>
      <c r="O381" s="9"/>
      <c r="P381" s="9"/>
      <c r="Q381" s="9"/>
      <c r="R381" s="33"/>
      <c r="S381" s="9"/>
      <c r="U381" s="8"/>
      <c r="V381" s="9"/>
      <c r="W381" s="9"/>
      <c r="X381" s="9"/>
      <c r="Y381" s="9"/>
      <c r="Z381" s="9"/>
      <c r="AA381" s="9"/>
      <c r="AB381" s="9"/>
      <c r="AC381" s="9"/>
      <c r="AD381" s="9"/>
    </row>
    <row r="382" spans="1:30" ht="18.75" x14ac:dyDescent="0.3">
      <c r="A382" s="42"/>
      <c r="B382" s="42"/>
      <c r="C382" s="74"/>
      <c r="D382" s="74"/>
      <c r="E382" s="70"/>
      <c r="F382" s="70"/>
      <c r="G382" s="70"/>
      <c r="H382" s="70"/>
      <c r="I382" s="70"/>
      <c r="J382" s="77"/>
      <c r="K382" s="77"/>
      <c r="L382" s="9"/>
      <c r="M382" s="42"/>
      <c r="N382" s="42"/>
      <c r="O382" s="9"/>
      <c r="P382" s="9"/>
      <c r="Q382" s="9"/>
      <c r="R382" s="33"/>
      <c r="S382" s="9"/>
      <c r="U382" s="8"/>
      <c r="V382" s="9"/>
      <c r="W382" s="9"/>
      <c r="X382" s="9"/>
      <c r="Y382" s="9"/>
      <c r="Z382" s="9"/>
      <c r="AA382" s="9"/>
      <c r="AB382" s="9"/>
      <c r="AC382" s="9"/>
      <c r="AD382" s="9"/>
    </row>
    <row r="383" spans="1:30" ht="18.75" x14ac:dyDescent="0.3">
      <c r="A383" s="42"/>
      <c r="B383" s="42"/>
      <c r="C383" s="74"/>
      <c r="D383" s="74"/>
      <c r="E383" s="70"/>
      <c r="F383" s="70"/>
      <c r="G383" s="70"/>
      <c r="H383" s="70"/>
      <c r="I383" s="70"/>
      <c r="J383" s="77"/>
      <c r="K383" s="77"/>
      <c r="L383" s="9"/>
      <c r="M383" s="42"/>
      <c r="N383" s="42"/>
      <c r="O383" s="9"/>
      <c r="P383" s="9"/>
      <c r="Q383" s="9"/>
      <c r="R383" s="33"/>
      <c r="S383" s="9"/>
      <c r="U383" s="8"/>
      <c r="V383" s="9"/>
      <c r="W383" s="9"/>
      <c r="X383" s="9"/>
      <c r="Y383" s="9"/>
      <c r="Z383" s="9"/>
      <c r="AA383" s="9"/>
      <c r="AB383" s="9"/>
      <c r="AC383" s="9"/>
      <c r="AD383" s="9"/>
    </row>
    <row r="384" spans="1:30" ht="18.75" x14ac:dyDescent="0.3">
      <c r="A384" s="42"/>
      <c r="B384" s="42"/>
      <c r="C384" s="74"/>
      <c r="D384" s="74"/>
      <c r="E384" s="70"/>
      <c r="F384" s="70"/>
      <c r="G384" s="70"/>
      <c r="H384" s="70"/>
      <c r="I384" s="70"/>
      <c r="J384" s="77"/>
      <c r="K384" s="77"/>
      <c r="L384" s="9"/>
      <c r="M384" s="42"/>
      <c r="N384" s="42"/>
      <c r="O384" s="9"/>
      <c r="P384" s="9"/>
      <c r="Q384" s="9"/>
      <c r="R384" s="33"/>
      <c r="S384" s="9"/>
      <c r="U384" s="8"/>
      <c r="V384" s="9"/>
      <c r="W384" s="9"/>
      <c r="X384" s="9"/>
      <c r="Y384" s="9"/>
      <c r="Z384" s="9"/>
      <c r="AA384" s="9"/>
      <c r="AB384" s="9"/>
      <c r="AC384" s="9"/>
      <c r="AD384" s="9"/>
    </row>
    <row r="385" spans="1:30" ht="18.75" x14ac:dyDescent="0.3">
      <c r="A385" s="42"/>
      <c r="B385" s="42"/>
      <c r="C385" s="74"/>
      <c r="D385" s="74"/>
      <c r="E385" s="70"/>
      <c r="F385" s="70"/>
      <c r="G385" s="70"/>
      <c r="H385" s="70"/>
      <c r="I385" s="70"/>
      <c r="J385" s="77"/>
      <c r="K385" s="77"/>
      <c r="L385" s="9"/>
      <c r="M385" s="42"/>
      <c r="N385" s="42"/>
      <c r="O385" s="9"/>
      <c r="P385" s="9"/>
      <c r="Q385" s="9"/>
      <c r="R385" s="33"/>
      <c r="S385" s="9"/>
      <c r="U385" s="8"/>
      <c r="V385" s="9"/>
      <c r="W385" s="9"/>
      <c r="X385" s="9"/>
      <c r="Y385" s="9"/>
      <c r="Z385" s="9"/>
      <c r="AA385" s="9"/>
      <c r="AB385" s="9"/>
      <c r="AC385" s="9"/>
      <c r="AD385" s="9"/>
    </row>
    <row r="386" spans="1:30" ht="18.75" x14ac:dyDescent="0.3">
      <c r="A386" s="42"/>
      <c r="B386" s="42"/>
      <c r="C386" s="74"/>
      <c r="D386" s="74"/>
      <c r="E386" s="70"/>
      <c r="F386" s="70"/>
      <c r="G386" s="70"/>
      <c r="H386" s="70"/>
      <c r="I386" s="70"/>
      <c r="J386" s="77"/>
      <c r="K386" s="77"/>
      <c r="L386" s="9"/>
      <c r="M386" s="42"/>
      <c r="N386" s="42"/>
      <c r="O386" s="9"/>
      <c r="P386" s="9"/>
      <c r="Q386" s="9"/>
      <c r="R386" s="33"/>
      <c r="S386" s="9"/>
      <c r="U386" s="8"/>
      <c r="V386" s="9"/>
      <c r="W386" s="9"/>
      <c r="X386" s="9"/>
      <c r="Y386" s="9"/>
      <c r="Z386" s="9"/>
      <c r="AA386" s="9"/>
      <c r="AB386" s="9"/>
      <c r="AC386" s="9"/>
      <c r="AD386" s="9"/>
    </row>
    <row r="387" spans="1:30" ht="18.75" x14ac:dyDescent="0.3">
      <c r="A387" s="42"/>
      <c r="B387" s="42"/>
      <c r="C387" s="74"/>
      <c r="D387" s="74"/>
      <c r="E387" s="70"/>
      <c r="F387" s="70"/>
      <c r="G387" s="70"/>
      <c r="H387" s="70"/>
      <c r="I387" s="70"/>
      <c r="J387" s="77"/>
      <c r="K387" s="77"/>
      <c r="L387" s="9"/>
      <c r="M387" s="42"/>
      <c r="N387" s="42"/>
      <c r="O387" s="9"/>
      <c r="P387" s="9"/>
      <c r="Q387" s="9"/>
      <c r="R387" s="33"/>
      <c r="S387" s="9"/>
      <c r="U387" s="8"/>
      <c r="V387" s="9"/>
      <c r="W387" s="9"/>
      <c r="X387" s="9"/>
      <c r="Y387" s="9"/>
      <c r="Z387" s="9"/>
      <c r="AA387" s="9"/>
      <c r="AB387" s="9"/>
      <c r="AC387" s="9"/>
      <c r="AD387" s="9"/>
    </row>
    <row r="388" spans="1:30" ht="18.75" x14ac:dyDescent="0.3">
      <c r="A388" s="42"/>
      <c r="B388" s="42"/>
      <c r="C388" s="74"/>
      <c r="D388" s="74"/>
      <c r="E388" s="70"/>
      <c r="F388" s="70"/>
      <c r="G388" s="70"/>
      <c r="H388" s="70"/>
      <c r="I388" s="70"/>
      <c r="J388" s="77"/>
      <c r="K388" s="77"/>
      <c r="L388" s="9"/>
      <c r="M388" s="42"/>
      <c r="N388" s="42"/>
      <c r="O388" s="9"/>
      <c r="P388" s="9"/>
      <c r="Q388" s="9"/>
      <c r="R388" s="33"/>
      <c r="S388" s="9"/>
      <c r="U388" s="8"/>
      <c r="V388" s="9"/>
      <c r="W388" s="9"/>
      <c r="X388" s="9"/>
      <c r="Y388" s="9"/>
      <c r="Z388" s="9"/>
      <c r="AA388" s="9"/>
      <c r="AB388" s="9"/>
      <c r="AC388" s="9"/>
      <c r="AD388" s="9"/>
    </row>
    <row r="389" spans="1:30" ht="18.75" x14ac:dyDescent="0.3">
      <c r="A389" s="42"/>
      <c r="B389" s="42"/>
      <c r="C389" s="74"/>
      <c r="D389" s="74"/>
      <c r="E389" s="70"/>
      <c r="F389" s="70"/>
      <c r="G389" s="70"/>
      <c r="H389" s="70"/>
      <c r="I389" s="70"/>
      <c r="J389" s="77"/>
      <c r="K389" s="77"/>
      <c r="L389" s="9"/>
      <c r="M389" s="42"/>
      <c r="N389" s="42"/>
      <c r="O389" s="9"/>
      <c r="P389" s="9"/>
      <c r="Q389" s="9"/>
      <c r="R389" s="33"/>
      <c r="S389" s="9"/>
      <c r="U389" s="8"/>
      <c r="V389" s="9"/>
      <c r="W389" s="9"/>
      <c r="X389" s="9"/>
      <c r="Y389" s="9"/>
      <c r="Z389" s="9"/>
      <c r="AA389" s="9"/>
      <c r="AB389" s="9"/>
      <c r="AC389" s="9"/>
      <c r="AD389" s="9"/>
    </row>
    <row r="390" spans="1:30" ht="18.75" x14ac:dyDescent="0.3">
      <c r="A390" s="42"/>
      <c r="B390" s="42"/>
      <c r="C390" s="74"/>
      <c r="D390" s="74"/>
      <c r="E390" s="70"/>
      <c r="F390" s="70"/>
      <c r="G390" s="70"/>
      <c r="H390" s="70"/>
      <c r="I390" s="70"/>
      <c r="J390" s="77"/>
      <c r="K390" s="77"/>
      <c r="L390" s="9"/>
      <c r="M390" s="42"/>
      <c r="N390" s="42"/>
      <c r="O390" s="9"/>
      <c r="P390" s="9"/>
      <c r="Q390" s="9"/>
      <c r="R390" s="33"/>
      <c r="S390" s="9"/>
      <c r="U390" s="8"/>
      <c r="V390" s="9"/>
      <c r="W390" s="9"/>
      <c r="X390" s="9"/>
      <c r="Y390" s="9"/>
      <c r="Z390" s="9"/>
      <c r="AA390" s="9"/>
      <c r="AB390" s="9"/>
      <c r="AC390" s="9"/>
      <c r="AD390" s="9"/>
    </row>
    <row r="391" spans="1:30" ht="18.75" x14ac:dyDescent="0.3">
      <c r="A391" s="42"/>
      <c r="B391" s="42"/>
      <c r="C391" s="74"/>
      <c r="D391" s="74"/>
      <c r="E391" s="70"/>
      <c r="F391" s="70"/>
      <c r="G391" s="70"/>
      <c r="H391" s="70"/>
      <c r="I391" s="70"/>
      <c r="J391" s="77"/>
      <c r="K391" s="77"/>
      <c r="L391" s="9"/>
      <c r="M391" s="42"/>
      <c r="N391" s="42"/>
      <c r="O391" s="9"/>
      <c r="P391" s="9"/>
      <c r="Q391" s="9"/>
      <c r="R391" s="33"/>
      <c r="S391" s="9"/>
      <c r="U391" s="8"/>
      <c r="V391" s="9"/>
      <c r="W391" s="9"/>
      <c r="X391" s="9"/>
      <c r="Y391" s="9"/>
      <c r="Z391" s="9"/>
      <c r="AA391" s="9"/>
      <c r="AB391" s="9"/>
      <c r="AC391" s="9"/>
      <c r="AD391" s="9"/>
    </row>
    <row r="392" spans="1:30" ht="18.75" x14ac:dyDescent="0.3">
      <c r="A392" s="42"/>
      <c r="B392" s="42"/>
      <c r="C392" s="74"/>
      <c r="D392" s="74"/>
      <c r="E392" s="70"/>
      <c r="F392" s="70"/>
      <c r="G392" s="70"/>
      <c r="H392" s="70"/>
      <c r="I392" s="70"/>
      <c r="J392" s="77"/>
      <c r="K392" s="77"/>
      <c r="L392" s="9"/>
      <c r="M392" s="42"/>
      <c r="N392" s="42"/>
      <c r="O392" s="9"/>
      <c r="P392" s="9"/>
      <c r="Q392" s="9"/>
      <c r="R392" s="33"/>
      <c r="S392" s="9"/>
      <c r="U392" s="8"/>
      <c r="V392" s="9"/>
      <c r="W392" s="9"/>
      <c r="X392" s="9"/>
      <c r="Y392" s="9"/>
      <c r="Z392" s="9"/>
      <c r="AA392" s="9"/>
      <c r="AB392" s="9"/>
      <c r="AC392" s="9"/>
      <c r="AD392" s="9"/>
    </row>
    <row r="393" spans="1:30" ht="18.75" x14ac:dyDescent="0.3">
      <c r="A393" s="42"/>
      <c r="B393" s="42"/>
      <c r="C393" s="74"/>
      <c r="D393" s="74"/>
      <c r="E393" s="70"/>
      <c r="F393" s="70"/>
      <c r="G393" s="70"/>
      <c r="H393" s="70"/>
      <c r="I393" s="70"/>
      <c r="J393" s="77"/>
      <c r="K393" s="77"/>
      <c r="L393" s="9"/>
      <c r="M393" s="42"/>
      <c r="N393" s="42"/>
      <c r="O393" s="9"/>
      <c r="P393" s="9"/>
      <c r="Q393" s="9"/>
      <c r="R393" s="33"/>
      <c r="S393" s="9"/>
      <c r="U393" s="8"/>
      <c r="V393" s="9"/>
      <c r="W393" s="9"/>
      <c r="X393" s="9"/>
      <c r="Y393" s="9"/>
      <c r="Z393" s="9"/>
      <c r="AA393" s="9"/>
      <c r="AB393" s="9"/>
      <c r="AC393" s="9"/>
      <c r="AD393" s="9"/>
    </row>
    <row r="394" spans="1:30" ht="18.75" x14ac:dyDescent="0.3">
      <c r="A394" s="42"/>
      <c r="B394" s="42"/>
      <c r="C394" s="74"/>
      <c r="D394" s="74"/>
      <c r="E394" s="70"/>
      <c r="F394" s="70"/>
      <c r="G394" s="70"/>
      <c r="H394" s="70"/>
      <c r="I394" s="70"/>
      <c r="J394" s="77"/>
      <c r="K394" s="77"/>
      <c r="L394" s="9"/>
      <c r="M394" s="42"/>
      <c r="N394" s="42"/>
      <c r="O394" s="9"/>
      <c r="P394" s="9"/>
      <c r="Q394" s="9"/>
      <c r="R394" s="33"/>
      <c r="S394" s="9"/>
      <c r="U394" s="8"/>
      <c r="V394" s="9"/>
      <c r="W394" s="9"/>
      <c r="X394" s="9"/>
      <c r="Y394" s="9"/>
      <c r="Z394" s="9"/>
      <c r="AA394" s="9"/>
      <c r="AB394" s="9"/>
      <c r="AC394" s="9"/>
      <c r="AD394" s="9"/>
    </row>
    <row r="395" spans="1:30" ht="18.75" x14ac:dyDescent="0.3">
      <c r="A395" s="42"/>
      <c r="B395" s="42"/>
      <c r="C395" s="74"/>
      <c r="D395" s="74"/>
      <c r="E395" s="70"/>
      <c r="F395" s="70"/>
      <c r="G395" s="70"/>
      <c r="H395" s="70"/>
      <c r="I395" s="70"/>
      <c r="J395" s="77"/>
      <c r="K395" s="77"/>
      <c r="L395" s="9"/>
      <c r="M395" s="42"/>
      <c r="N395" s="42"/>
      <c r="O395" s="9"/>
      <c r="P395" s="9"/>
      <c r="Q395" s="9"/>
      <c r="R395" s="33"/>
      <c r="S395" s="9"/>
      <c r="U395" s="8"/>
      <c r="V395" s="9"/>
      <c r="W395" s="9"/>
      <c r="X395" s="9"/>
      <c r="Y395" s="9"/>
      <c r="Z395" s="9"/>
      <c r="AA395" s="9"/>
      <c r="AB395" s="9"/>
      <c r="AC395" s="9"/>
      <c r="AD395" s="9"/>
    </row>
    <row r="396" spans="1:30" ht="18.75" x14ac:dyDescent="0.3">
      <c r="A396" s="42"/>
      <c r="B396" s="42"/>
      <c r="C396" s="74"/>
      <c r="D396" s="74"/>
      <c r="E396" s="70"/>
      <c r="F396" s="70"/>
      <c r="G396" s="70"/>
      <c r="H396" s="70"/>
      <c r="I396" s="70"/>
      <c r="J396" s="77"/>
      <c r="K396" s="77"/>
      <c r="L396" s="9"/>
      <c r="M396" s="42"/>
      <c r="N396" s="42"/>
      <c r="O396" s="9"/>
      <c r="P396" s="9"/>
      <c r="Q396" s="9"/>
      <c r="R396" s="33"/>
      <c r="S396" s="9"/>
      <c r="U396" s="8"/>
      <c r="V396" s="9"/>
      <c r="W396" s="9"/>
      <c r="X396" s="9"/>
      <c r="Y396" s="9"/>
      <c r="Z396" s="9"/>
      <c r="AA396" s="9"/>
      <c r="AB396" s="9"/>
      <c r="AC396" s="9"/>
      <c r="AD396" s="9"/>
    </row>
    <row r="397" spans="1:30" ht="18.75" x14ac:dyDescent="0.3">
      <c r="A397" s="42"/>
      <c r="B397" s="42"/>
      <c r="C397" s="74"/>
      <c r="D397" s="74"/>
      <c r="E397" s="70"/>
      <c r="F397" s="70"/>
      <c r="G397" s="70"/>
      <c r="H397" s="70"/>
      <c r="I397" s="70"/>
      <c r="J397" s="77"/>
      <c r="K397" s="77"/>
      <c r="L397" s="9"/>
      <c r="M397" s="42"/>
      <c r="N397" s="42"/>
      <c r="O397" s="9"/>
      <c r="P397" s="9"/>
      <c r="Q397" s="9"/>
      <c r="R397" s="33"/>
      <c r="S397" s="9"/>
      <c r="U397" s="8"/>
      <c r="V397" s="9"/>
      <c r="W397" s="9"/>
      <c r="X397" s="9"/>
      <c r="Y397" s="9"/>
      <c r="Z397" s="9"/>
      <c r="AA397" s="9"/>
      <c r="AB397" s="9"/>
      <c r="AC397" s="9"/>
      <c r="AD397" s="9"/>
    </row>
    <row r="398" spans="1:30" ht="18.75" x14ac:dyDescent="0.3">
      <c r="A398" s="42"/>
      <c r="B398" s="42"/>
      <c r="C398" s="74"/>
      <c r="D398" s="74"/>
      <c r="E398" s="70"/>
      <c r="F398" s="70"/>
      <c r="G398" s="70"/>
      <c r="H398" s="70"/>
      <c r="I398" s="70"/>
      <c r="J398" s="77"/>
      <c r="K398" s="77"/>
      <c r="L398" s="9"/>
      <c r="M398" s="42"/>
      <c r="N398" s="42"/>
      <c r="O398" s="9"/>
      <c r="P398" s="9"/>
      <c r="Q398" s="9"/>
      <c r="R398" s="33"/>
      <c r="S398" s="9"/>
      <c r="U398" s="8"/>
      <c r="V398" s="9"/>
      <c r="W398" s="9"/>
      <c r="X398" s="9"/>
      <c r="Y398" s="9"/>
      <c r="Z398" s="9"/>
      <c r="AA398" s="9"/>
      <c r="AB398" s="9"/>
      <c r="AC398" s="9"/>
      <c r="AD398" s="9"/>
    </row>
    <row r="399" spans="1:30" ht="18.75" x14ac:dyDescent="0.3">
      <c r="A399" s="42"/>
      <c r="B399" s="42"/>
      <c r="C399" s="74"/>
      <c r="D399" s="74"/>
      <c r="E399" s="70"/>
      <c r="F399" s="70"/>
      <c r="G399" s="70"/>
      <c r="H399" s="70"/>
      <c r="I399" s="70"/>
      <c r="J399" s="77"/>
      <c r="K399" s="77"/>
      <c r="L399" s="9"/>
      <c r="M399" s="42"/>
      <c r="N399" s="42"/>
      <c r="O399" s="9"/>
      <c r="P399" s="9"/>
      <c r="Q399" s="9"/>
      <c r="R399" s="33"/>
      <c r="S399" s="9"/>
      <c r="U399" s="8"/>
      <c r="V399" s="9"/>
      <c r="W399" s="9"/>
      <c r="X399" s="9"/>
      <c r="Y399" s="9"/>
      <c r="Z399" s="9"/>
      <c r="AA399" s="9"/>
      <c r="AB399" s="9"/>
      <c r="AC399" s="9"/>
      <c r="AD399" s="9"/>
    </row>
    <row r="400" spans="1:30" ht="18.75" x14ac:dyDescent="0.3">
      <c r="A400" s="42"/>
      <c r="B400" s="42"/>
      <c r="C400" s="74"/>
      <c r="D400" s="74"/>
      <c r="E400" s="70"/>
      <c r="F400" s="70"/>
      <c r="G400" s="70"/>
      <c r="H400" s="70"/>
      <c r="I400" s="70"/>
      <c r="J400" s="77"/>
      <c r="K400" s="77"/>
      <c r="L400" s="9"/>
      <c r="M400" s="42"/>
      <c r="N400" s="42"/>
      <c r="O400" s="9"/>
      <c r="P400" s="9"/>
      <c r="Q400" s="9"/>
      <c r="R400" s="33"/>
      <c r="S400" s="9"/>
      <c r="U400" s="8"/>
      <c r="V400" s="9"/>
      <c r="W400" s="9"/>
      <c r="X400" s="9"/>
      <c r="Y400" s="9"/>
      <c r="Z400" s="9"/>
      <c r="AA400" s="9"/>
      <c r="AB400" s="9"/>
      <c r="AC400" s="9"/>
      <c r="AD400" s="9"/>
    </row>
    <row r="401" spans="1:30" ht="18.75" x14ac:dyDescent="0.3">
      <c r="A401" s="42"/>
      <c r="B401" s="42"/>
      <c r="C401" s="74"/>
      <c r="D401" s="74"/>
      <c r="E401" s="70"/>
      <c r="F401" s="70"/>
      <c r="G401" s="70"/>
      <c r="H401" s="70"/>
      <c r="I401" s="70"/>
      <c r="J401" s="77"/>
      <c r="K401" s="77"/>
      <c r="L401" s="9"/>
      <c r="M401" s="42"/>
      <c r="N401" s="42"/>
      <c r="O401" s="9"/>
      <c r="P401" s="9"/>
      <c r="Q401" s="9"/>
      <c r="R401" s="33"/>
      <c r="S401" s="9"/>
      <c r="U401" s="8"/>
      <c r="V401" s="9"/>
      <c r="W401" s="9"/>
      <c r="X401" s="9"/>
      <c r="Y401" s="9"/>
      <c r="Z401" s="9"/>
      <c r="AA401" s="9"/>
      <c r="AB401" s="9"/>
      <c r="AC401" s="9"/>
      <c r="AD401" s="9"/>
    </row>
    <row r="402" spans="1:30" ht="18.75" x14ac:dyDescent="0.3">
      <c r="A402" s="42"/>
      <c r="B402" s="42"/>
      <c r="C402" s="74"/>
      <c r="D402" s="74"/>
      <c r="E402" s="70"/>
      <c r="F402" s="70"/>
      <c r="G402" s="70"/>
      <c r="H402" s="70"/>
      <c r="I402" s="70"/>
      <c r="J402" s="77"/>
      <c r="K402" s="77"/>
      <c r="L402" s="9"/>
      <c r="M402" s="42"/>
      <c r="N402" s="42"/>
      <c r="O402" s="9"/>
      <c r="P402" s="9"/>
      <c r="Q402" s="9"/>
      <c r="R402" s="33"/>
      <c r="S402" s="9"/>
      <c r="U402" s="8"/>
      <c r="V402" s="9"/>
      <c r="W402" s="9"/>
      <c r="X402" s="9"/>
      <c r="Y402" s="9"/>
      <c r="Z402" s="9"/>
      <c r="AA402" s="9"/>
      <c r="AB402" s="9"/>
      <c r="AC402" s="9"/>
      <c r="AD402" s="9"/>
    </row>
    <row r="403" spans="1:30" ht="18.75" x14ac:dyDescent="0.3">
      <c r="A403" s="42"/>
      <c r="B403" s="42"/>
      <c r="C403" s="74"/>
      <c r="D403" s="74"/>
      <c r="E403" s="70"/>
      <c r="F403" s="70"/>
      <c r="G403" s="70"/>
      <c r="H403" s="70"/>
      <c r="I403" s="70"/>
      <c r="J403" s="77"/>
      <c r="K403" s="77"/>
      <c r="L403" s="9"/>
      <c r="M403" s="42"/>
      <c r="N403" s="42"/>
      <c r="O403" s="9"/>
      <c r="P403" s="9"/>
      <c r="Q403" s="9"/>
      <c r="R403" s="33"/>
      <c r="S403" s="9"/>
      <c r="U403" s="8"/>
      <c r="V403" s="9"/>
      <c r="W403" s="9"/>
      <c r="X403" s="9"/>
      <c r="Y403" s="9"/>
      <c r="Z403" s="9"/>
      <c r="AA403" s="9"/>
      <c r="AB403" s="9"/>
      <c r="AC403" s="9"/>
      <c r="AD403" s="9"/>
    </row>
    <row r="404" spans="1:30" ht="18.75" x14ac:dyDescent="0.3">
      <c r="A404" s="42"/>
      <c r="B404" s="42"/>
      <c r="C404" s="74"/>
      <c r="D404" s="74"/>
      <c r="E404" s="70"/>
      <c r="F404" s="70"/>
      <c r="G404" s="70"/>
      <c r="H404" s="70"/>
      <c r="I404" s="70"/>
      <c r="J404" s="77"/>
      <c r="K404" s="77"/>
      <c r="L404" s="9"/>
      <c r="M404" s="42"/>
      <c r="N404" s="42"/>
      <c r="O404" s="9"/>
      <c r="P404" s="9"/>
      <c r="Q404" s="9"/>
      <c r="R404" s="33"/>
      <c r="S404" s="9"/>
      <c r="U404" s="8"/>
      <c r="V404" s="9"/>
      <c r="W404" s="9"/>
      <c r="X404" s="9"/>
      <c r="Y404" s="9"/>
      <c r="Z404" s="9"/>
      <c r="AA404" s="9"/>
      <c r="AB404" s="9"/>
      <c r="AC404" s="9"/>
      <c r="AD404" s="9"/>
    </row>
    <row r="405" spans="1:30" ht="18.75" x14ac:dyDescent="0.3">
      <c r="A405" s="42"/>
      <c r="B405" s="42"/>
      <c r="C405" s="74"/>
      <c r="D405" s="74"/>
      <c r="E405" s="70"/>
      <c r="F405" s="70"/>
      <c r="G405" s="70"/>
      <c r="H405" s="70"/>
      <c r="I405" s="70"/>
      <c r="J405" s="77"/>
      <c r="K405" s="77"/>
      <c r="L405" s="9"/>
      <c r="M405" s="42"/>
      <c r="N405" s="42"/>
      <c r="O405" s="9"/>
      <c r="P405" s="9"/>
      <c r="Q405" s="9"/>
      <c r="R405" s="33"/>
      <c r="S405" s="9"/>
      <c r="U405" s="8"/>
      <c r="V405" s="9"/>
      <c r="W405" s="9"/>
      <c r="X405" s="9"/>
      <c r="Y405" s="9"/>
      <c r="Z405" s="9"/>
      <c r="AA405" s="9"/>
      <c r="AB405" s="9"/>
      <c r="AC405" s="9"/>
      <c r="AD405" s="9"/>
    </row>
    <row r="406" spans="1:30" ht="18.75" x14ac:dyDescent="0.3">
      <c r="A406" s="42"/>
      <c r="B406" s="42"/>
      <c r="C406" s="74"/>
      <c r="D406" s="74"/>
      <c r="E406" s="70"/>
      <c r="F406" s="70"/>
      <c r="G406" s="70"/>
      <c r="H406" s="70"/>
      <c r="I406" s="70"/>
      <c r="J406" s="77"/>
      <c r="K406" s="77"/>
      <c r="L406" s="9"/>
      <c r="M406" s="42"/>
      <c r="N406" s="42"/>
      <c r="O406" s="9"/>
      <c r="P406" s="9"/>
      <c r="Q406" s="9"/>
      <c r="R406" s="33"/>
      <c r="S406" s="9"/>
      <c r="U406" s="8"/>
      <c r="V406" s="9"/>
      <c r="W406" s="9"/>
      <c r="X406" s="9"/>
      <c r="Y406" s="9"/>
      <c r="Z406" s="9"/>
      <c r="AA406" s="9"/>
      <c r="AB406" s="9"/>
      <c r="AC406" s="9"/>
      <c r="AD406" s="9"/>
    </row>
    <row r="407" spans="1:30" ht="18.75" x14ac:dyDescent="0.3">
      <c r="A407" s="42"/>
      <c r="B407" s="42"/>
      <c r="C407" s="74"/>
      <c r="D407" s="74"/>
      <c r="E407" s="70"/>
      <c r="F407" s="70"/>
      <c r="G407" s="70"/>
      <c r="H407" s="70"/>
      <c r="I407" s="70"/>
      <c r="J407" s="77"/>
      <c r="K407" s="77"/>
      <c r="L407" s="9"/>
      <c r="M407" s="42"/>
      <c r="N407" s="42"/>
      <c r="O407" s="9"/>
      <c r="P407" s="9"/>
      <c r="Q407" s="9"/>
      <c r="R407" s="33"/>
      <c r="S407" s="9"/>
      <c r="U407" s="8"/>
      <c r="V407" s="9"/>
      <c r="W407" s="9"/>
      <c r="X407" s="9"/>
      <c r="Y407" s="9"/>
      <c r="Z407" s="9"/>
      <c r="AA407" s="9"/>
      <c r="AB407" s="9"/>
      <c r="AC407" s="9"/>
      <c r="AD407" s="9"/>
    </row>
    <row r="408" spans="1:30" ht="18.75" x14ac:dyDescent="0.3">
      <c r="A408" s="42"/>
      <c r="B408" s="42"/>
      <c r="C408" s="74"/>
      <c r="D408" s="74"/>
      <c r="E408" s="70"/>
      <c r="F408" s="70"/>
      <c r="G408" s="70"/>
      <c r="H408" s="70"/>
      <c r="I408" s="70"/>
      <c r="J408" s="77"/>
      <c r="K408" s="77"/>
      <c r="L408" s="9"/>
      <c r="M408" s="42"/>
      <c r="N408" s="42"/>
      <c r="O408" s="9"/>
      <c r="P408" s="9"/>
      <c r="Q408" s="9"/>
      <c r="R408" s="33"/>
      <c r="S408" s="9"/>
      <c r="U408" s="8"/>
      <c r="V408" s="9"/>
      <c r="W408" s="9"/>
      <c r="X408" s="9"/>
      <c r="Y408" s="9"/>
      <c r="Z408" s="9"/>
      <c r="AA408" s="9"/>
      <c r="AB408" s="9"/>
      <c r="AC408" s="9"/>
      <c r="AD408" s="9"/>
    </row>
    <row r="409" spans="1:30" ht="18.75" x14ac:dyDescent="0.3">
      <c r="A409" s="42"/>
      <c r="B409" s="42"/>
      <c r="C409" s="74"/>
      <c r="D409" s="74"/>
      <c r="E409" s="70"/>
      <c r="F409" s="70"/>
      <c r="G409" s="70"/>
      <c r="H409" s="70"/>
      <c r="I409" s="70"/>
      <c r="J409" s="77"/>
      <c r="K409" s="77"/>
      <c r="L409" s="9"/>
      <c r="M409" s="42"/>
      <c r="N409" s="42"/>
      <c r="O409" s="9"/>
      <c r="P409" s="9"/>
      <c r="Q409" s="9"/>
      <c r="R409" s="33"/>
      <c r="S409" s="9"/>
      <c r="U409" s="8"/>
      <c r="V409" s="9"/>
      <c r="W409" s="9"/>
      <c r="X409" s="9"/>
      <c r="Y409" s="9"/>
      <c r="Z409" s="9"/>
      <c r="AA409" s="9"/>
      <c r="AB409" s="9"/>
      <c r="AC409" s="9"/>
      <c r="AD409" s="9"/>
    </row>
    <row r="410" spans="1:30" ht="18.75" x14ac:dyDescent="0.3">
      <c r="A410" s="42"/>
      <c r="B410" s="42"/>
      <c r="C410" s="74"/>
      <c r="D410" s="74"/>
      <c r="E410" s="70"/>
      <c r="F410" s="70"/>
      <c r="G410" s="70"/>
      <c r="H410" s="70"/>
      <c r="I410" s="70"/>
      <c r="J410" s="77"/>
      <c r="K410" s="77"/>
      <c r="L410" s="9"/>
      <c r="M410" s="42"/>
      <c r="N410" s="42"/>
      <c r="O410" s="9"/>
      <c r="P410" s="9"/>
      <c r="Q410" s="9"/>
      <c r="R410" s="33"/>
      <c r="S410" s="9"/>
      <c r="U410" s="8"/>
      <c r="V410" s="9"/>
      <c r="W410" s="9"/>
      <c r="X410" s="9"/>
      <c r="Y410" s="9"/>
      <c r="Z410" s="9"/>
      <c r="AA410" s="9"/>
      <c r="AB410" s="9"/>
      <c r="AC410" s="9"/>
      <c r="AD410" s="9"/>
    </row>
    <row r="411" spans="1:30" ht="18.75" x14ac:dyDescent="0.3">
      <c r="A411" s="42"/>
      <c r="B411" s="42"/>
      <c r="C411" s="74"/>
      <c r="D411" s="74"/>
      <c r="E411" s="70"/>
      <c r="F411" s="70"/>
      <c r="G411" s="70"/>
      <c r="H411" s="70"/>
      <c r="I411" s="70"/>
      <c r="J411" s="77"/>
      <c r="K411" s="77"/>
      <c r="L411" s="9"/>
      <c r="M411" s="42"/>
      <c r="N411" s="42"/>
      <c r="O411" s="9"/>
      <c r="P411" s="9"/>
      <c r="Q411" s="9"/>
      <c r="R411" s="33"/>
      <c r="S411" s="9"/>
      <c r="U411" s="8"/>
      <c r="V411" s="9"/>
      <c r="W411" s="9"/>
      <c r="X411" s="9"/>
      <c r="Y411" s="9"/>
      <c r="Z411" s="9"/>
      <c r="AA411" s="9"/>
      <c r="AB411" s="9"/>
      <c r="AC411" s="9"/>
      <c r="AD411" s="9"/>
    </row>
    <row r="412" spans="1:30" ht="18.75" x14ac:dyDescent="0.3">
      <c r="A412" s="42"/>
      <c r="B412" s="42"/>
      <c r="C412" s="74"/>
      <c r="D412" s="74"/>
      <c r="E412" s="70"/>
      <c r="F412" s="70"/>
      <c r="G412" s="70"/>
      <c r="H412" s="70"/>
      <c r="I412" s="70"/>
      <c r="J412" s="77"/>
      <c r="K412" s="77"/>
      <c r="L412" s="9"/>
      <c r="M412" s="42"/>
      <c r="N412" s="42"/>
      <c r="O412" s="9"/>
      <c r="P412" s="9"/>
      <c r="Q412" s="9"/>
      <c r="R412" s="33"/>
      <c r="S412" s="9"/>
      <c r="U412" s="8"/>
      <c r="V412" s="9"/>
      <c r="W412" s="9"/>
      <c r="X412" s="9"/>
      <c r="Y412" s="9"/>
      <c r="Z412" s="9"/>
      <c r="AA412" s="9"/>
      <c r="AB412" s="9"/>
      <c r="AC412" s="9"/>
      <c r="AD412" s="9"/>
    </row>
    <row r="413" spans="1:30" ht="18.75" x14ac:dyDescent="0.3">
      <c r="A413" s="42"/>
      <c r="B413" s="42"/>
      <c r="C413" s="74"/>
      <c r="D413" s="74"/>
      <c r="E413" s="70"/>
      <c r="F413" s="70"/>
      <c r="G413" s="70"/>
      <c r="H413" s="70"/>
      <c r="I413" s="70"/>
      <c r="J413" s="77"/>
      <c r="K413" s="77"/>
      <c r="L413" s="9"/>
      <c r="M413" s="42"/>
      <c r="N413" s="42"/>
      <c r="O413" s="9"/>
      <c r="P413" s="9"/>
      <c r="Q413" s="9"/>
      <c r="R413" s="33"/>
      <c r="S413" s="9"/>
      <c r="U413" s="8"/>
      <c r="V413" s="9"/>
      <c r="W413" s="9"/>
      <c r="X413" s="9"/>
      <c r="Y413" s="9"/>
      <c r="Z413" s="9"/>
      <c r="AA413" s="9"/>
      <c r="AB413" s="9"/>
      <c r="AC413" s="9"/>
      <c r="AD413" s="9"/>
    </row>
    <row r="414" spans="1:30" ht="18.75" x14ac:dyDescent="0.3">
      <c r="A414" s="42"/>
      <c r="B414" s="42"/>
      <c r="C414" s="74"/>
      <c r="D414" s="74"/>
      <c r="E414" s="70"/>
      <c r="F414" s="70"/>
      <c r="G414" s="70"/>
      <c r="H414" s="70"/>
      <c r="I414" s="70"/>
      <c r="J414" s="77"/>
      <c r="K414" s="77"/>
      <c r="L414" s="9"/>
      <c r="M414" s="42"/>
      <c r="N414" s="42"/>
      <c r="O414" s="9"/>
      <c r="P414" s="9"/>
      <c r="Q414" s="9"/>
      <c r="R414" s="33"/>
      <c r="S414" s="9"/>
      <c r="U414" s="8"/>
      <c r="V414" s="9"/>
      <c r="W414" s="9"/>
      <c r="X414" s="9"/>
      <c r="Y414" s="9"/>
      <c r="Z414" s="9"/>
      <c r="AA414" s="9"/>
      <c r="AB414" s="9"/>
      <c r="AC414" s="9"/>
      <c r="AD414" s="9"/>
    </row>
    <row r="415" spans="1:30" ht="18.75" x14ac:dyDescent="0.3">
      <c r="A415" s="42"/>
      <c r="B415" s="42"/>
      <c r="C415" s="74"/>
      <c r="D415" s="74"/>
      <c r="E415" s="70"/>
      <c r="F415" s="70"/>
      <c r="G415" s="70"/>
      <c r="H415" s="70"/>
      <c r="I415" s="70"/>
      <c r="J415" s="77"/>
      <c r="K415" s="77"/>
      <c r="L415" s="9"/>
      <c r="M415" s="42"/>
      <c r="N415" s="42"/>
      <c r="O415" s="9"/>
      <c r="P415" s="9"/>
      <c r="Q415" s="9"/>
      <c r="R415" s="33"/>
      <c r="S415" s="9"/>
      <c r="U415" s="8"/>
      <c r="V415" s="9"/>
      <c r="W415" s="9"/>
      <c r="X415" s="9"/>
      <c r="Y415" s="9"/>
      <c r="Z415" s="9"/>
      <c r="AA415" s="9"/>
      <c r="AB415" s="9"/>
      <c r="AC415" s="9"/>
      <c r="AD415" s="9"/>
    </row>
    <row r="416" spans="1:30" ht="18.75" x14ac:dyDescent="0.3">
      <c r="A416" s="42"/>
      <c r="B416" s="42"/>
      <c r="C416" s="74"/>
      <c r="D416" s="74"/>
      <c r="E416" s="70"/>
      <c r="F416" s="70"/>
      <c r="G416" s="70"/>
      <c r="H416" s="70"/>
      <c r="I416" s="70"/>
      <c r="J416" s="77"/>
      <c r="K416" s="77"/>
      <c r="L416" s="9"/>
      <c r="M416" s="42"/>
      <c r="N416" s="42"/>
      <c r="O416" s="9"/>
      <c r="P416" s="9"/>
      <c r="Q416" s="9"/>
      <c r="R416" s="33"/>
      <c r="S416" s="9"/>
      <c r="U416" s="8"/>
      <c r="V416" s="9"/>
      <c r="W416" s="9"/>
      <c r="X416" s="9"/>
      <c r="Y416" s="9"/>
      <c r="Z416" s="9"/>
      <c r="AA416" s="9"/>
      <c r="AB416" s="9"/>
      <c r="AC416" s="9"/>
      <c r="AD416" s="9"/>
    </row>
    <row r="417" spans="1:30" ht="18.75" x14ac:dyDescent="0.3">
      <c r="A417" s="42"/>
      <c r="B417" s="42"/>
      <c r="C417" s="74"/>
      <c r="D417" s="74"/>
      <c r="E417" s="70"/>
      <c r="F417" s="70"/>
      <c r="G417" s="70"/>
      <c r="H417" s="70"/>
      <c r="I417" s="70"/>
      <c r="J417" s="77"/>
      <c r="K417" s="77"/>
      <c r="L417" s="9"/>
      <c r="M417" s="42"/>
      <c r="N417" s="42"/>
      <c r="O417" s="9"/>
      <c r="P417" s="9"/>
      <c r="Q417" s="9"/>
      <c r="R417" s="33"/>
      <c r="S417" s="9"/>
      <c r="U417" s="8"/>
      <c r="V417" s="9"/>
      <c r="W417" s="9"/>
      <c r="X417" s="9"/>
      <c r="Y417" s="9"/>
      <c r="Z417" s="9"/>
      <c r="AA417" s="9"/>
      <c r="AB417" s="9"/>
      <c r="AC417" s="9"/>
      <c r="AD417" s="9"/>
    </row>
    <row r="418" spans="1:30" ht="18.75" x14ac:dyDescent="0.3">
      <c r="A418" s="42"/>
      <c r="B418" s="42"/>
      <c r="C418" s="74"/>
      <c r="D418" s="74"/>
      <c r="E418" s="70"/>
      <c r="F418" s="70"/>
      <c r="G418" s="70"/>
      <c r="H418" s="70"/>
      <c r="I418" s="70"/>
      <c r="J418" s="77"/>
      <c r="K418" s="77"/>
      <c r="L418" s="9"/>
      <c r="M418" s="42"/>
      <c r="N418" s="42"/>
      <c r="O418" s="9"/>
      <c r="P418" s="9"/>
      <c r="Q418" s="9"/>
      <c r="R418" s="33"/>
      <c r="S418" s="9"/>
      <c r="U418" s="8"/>
      <c r="V418" s="9"/>
      <c r="W418" s="9"/>
      <c r="X418" s="9"/>
      <c r="Y418" s="9"/>
      <c r="Z418" s="9"/>
      <c r="AA418" s="9"/>
      <c r="AB418" s="9"/>
      <c r="AC418" s="9"/>
      <c r="AD418" s="9"/>
    </row>
    <row r="419" spans="1:30" ht="18.75" x14ac:dyDescent="0.3">
      <c r="A419" s="42"/>
      <c r="B419" s="42"/>
      <c r="C419" s="74"/>
      <c r="D419" s="74"/>
      <c r="E419" s="70"/>
      <c r="F419" s="70"/>
      <c r="G419" s="70"/>
      <c r="H419" s="70"/>
      <c r="I419" s="70"/>
      <c r="J419" s="77"/>
      <c r="K419" s="77"/>
      <c r="L419" s="9"/>
      <c r="M419" s="42"/>
      <c r="N419" s="42"/>
      <c r="O419" s="9"/>
      <c r="P419" s="9"/>
      <c r="Q419" s="9"/>
      <c r="R419" s="33"/>
      <c r="S419" s="9"/>
      <c r="U419" s="8"/>
      <c r="V419" s="9"/>
      <c r="W419" s="9"/>
      <c r="X419" s="9"/>
      <c r="Y419" s="9"/>
      <c r="Z419" s="9"/>
      <c r="AA419" s="9"/>
      <c r="AB419" s="9"/>
      <c r="AC419" s="9"/>
      <c r="AD419" s="9"/>
    </row>
    <row r="420" spans="1:30" ht="18.75" x14ac:dyDescent="0.3">
      <c r="A420" s="42"/>
      <c r="B420" s="42"/>
      <c r="C420" s="74"/>
      <c r="D420" s="74"/>
      <c r="E420" s="70"/>
      <c r="F420" s="70"/>
      <c r="G420" s="70"/>
      <c r="H420" s="70"/>
      <c r="I420" s="70"/>
      <c r="J420" s="77"/>
      <c r="K420" s="77"/>
      <c r="L420" s="9"/>
      <c r="M420" s="42"/>
      <c r="N420" s="42"/>
      <c r="O420" s="9"/>
      <c r="P420" s="9"/>
      <c r="Q420" s="9"/>
      <c r="R420" s="33"/>
      <c r="S420" s="9"/>
      <c r="U420" s="8"/>
      <c r="V420" s="9"/>
      <c r="W420" s="9"/>
      <c r="X420" s="9"/>
      <c r="Y420" s="9"/>
      <c r="Z420" s="9"/>
      <c r="AA420" s="9"/>
      <c r="AB420" s="9"/>
      <c r="AC420" s="9"/>
      <c r="AD420" s="9"/>
    </row>
    <row r="421" spans="1:30" ht="18.75" x14ac:dyDescent="0.3">
      <c r="A421" s="42"/>
      <c r="B421" s="42"/>
      <c r="C421" s="74"/>
      <c r="D421" s="74"/>
      <c r="E421" s="70"/>
      <c r="F421" s="70"/>
      <c r="G421" s="70"/>
      <c r="H421" s="70"/>
      <c r="I421" s="70"/>
      <c r="J421" s="77"/>
      <c r="K421" s="77"/>
      <c r="L421" s="9"/>
      <c r="M421" s="42"/>
      <c r="N421" s="42"/>
      <c r="O421" s="9"/>
      <c r="P421" s="9"/>
      <c r="Q421" s="9"/>
      <c r="R421" s="33"/>
      <c r="S421" s="9"/>
      <c r="U421" s="8"/>
      <c r="V421" s="9"/>
      <c r="W421" s="9"/>
      <c r="X421" s="9"/>
      <c r="Y421" s="9"/>
      <c r="Z421" s="9"/>
      <c r="AA421" s="9"/>
      <c r="AB421" s="9"/>
      <c r="AC421" s="9"/>
      <c r="AD421" s="9"/>
    </row>
    <row r="422" spans="1:30" ht="18.75" x14ac:dyDescent="0.3">
      <c r="A422" s="42"/>
      <c r="B422" s="42"/>
      <c r="C422" s="74"/>
      <c r="D422" s="74"/>
      <c r="E422" s="70"/>
      <c r="F422" s="70"/>
      <c r="G422" s="70"/>
      <c r="H422" s="70"/>
      <c r="I422" s="70"/>
      <c r="J422" s="77"/>
      <c r="K422" s="77"/>
      <c r="L422" s="9"/>
      <c r="M422" s="42"/>
      <c r="N422" s="42"/>
      <c r="O422" s="9"/>
      <c r="P422" s="9"/>
      <c r="Q422" s="9"/>
      <c r="R422" s="33"/>
      <c r="S422" s="9"/>
      <c r="U422" s="8"/>
      <c r="V422" s="9"/>
      <c r="W422" s="9"/>
      <c r="X422" s="9"/>
      <c r="Y422" s="9"/>
      <c r="Z422" s="9"/>
      <c r="AA422" s="9"/>
      <c r="AB422" s="9"/>
      <c r="AC422" s="9"/>
      <c r="AD422" s="9"/>
    </row>
    <row r="423" spans="1:30" ht="18.75" x14ac:dyDescent="0.3">
      <c r="A423" s="42"/>
      <c r="B423" s="42"/>
      <c r="C423" s="74"/>
      <c r="D423" s="74"/>
      <c r="E423" s="70"/>
      <c r="F423" s="70"/>
      <c r="G423" s="70"/>
      <c r="H423" s="70"/>
      <c r="I423" s="70"/>
      <c r="J423" s="77"/>
      <c r="K423" s="77"/>
      <c r="L423" s="9"/>
      <c r="M423" s="42"/>
      <c r="N423" s="42"/>
      <c r="O423" s="9"/>
      <c r="P423" s="9"/>
      <c r="Q423" s="9"/>
      <c r="R423" s="33"/>
      <c r="S423" s="9"/>
      <c r="U423" s="8"/>
      <c r="V423" s="9"/>
      <c r="W423" s="9"/>
      <c r="X423" s="9"/>
      <c r="Y423" s="9"/>
      <c r="Z423" s="9"/>
      <c r="AA423" s="9"/>
      <c r="AB423" s="9"/>
      <c r="AC423" s="9"/>
      <c r="AD423" s="9"/>
    </row>
    <row r="424" spans="1:30" ht="18.75" x14ac:dyDescent="0.3">
      <c r="A424" s="42"/>
      <c r="B424" s="42"/>
      <c r="C424" s="74"/>
      <c r="D424" s="74"/>
      <c r="E424" s="70"/>
      <c r="F424" s="70"/>
      <c r="G424" s="70"/>
      <c r="H424" s="70"/>
      <c r="I424" s="70"/>
      <c r="J424" s="77"/>
      <c r="K424" s="77"/>
      <c r="L424" s="9"/>
      <c r="M424" s="42"/>
      <c r="N424" s="42"/>
      <c r="O424" s="9"/>
      <c r="P424" s="9"/>
      <c r="Q424" s="9"/>
      <c r="R424" s="33"/>
      <c r="S424" s="9"/>
      <c r="U424" s="8"/>
      <c r="V424" s="9"/>
      <c r="W424" s="9"/>
      <c r="X424" s="9"/>
      <c r="Y424" s="9"/>
      <c r="Z424" s="9"/>
      <c r="AA424" s="9"/>
      <c r="AB424" s="9"/>
      <c r="AC424" s="9"/>
      <c r="AD424" s="9"/>
    </row>
    <row r="425" spans="1:30" ht="18.75" x14ac:dyDescent="0.3">
      <c r="A425" s="42"/>
      <c r="B425" s="42"/>
      <c r="C425" s="74"/>
      <c r="D425" s="74"/>
      <c r="E425" s="70"/>
      <c r="F425" s="70"/>
      <c r="G425" s="70"/>
      <c r="H425" s="70"/>
      <c r="I425" s="70"/>
      <c r="J425" s="77"/>
      <c r="K425" s="77"/>
      <c r="L425" s="9"/>
      <c r="M425" s="42"/>
      <c r="N425" s="42"/>
      <c r="O425" s="9"/>
      <c r="P425" s="9"/>
      <c r="Q425" s="9"/>
      <c r="R425" s="33"/>
      <c r="S425" s="9"/>
      <c r="U425" s="8"/>
      <c r="V425" s="9"/>
      <c r="W425" s="9"/>
      <c r="X425" s="9"/>
      <c r="Y425" s="9"/>
      <c r="Z425" s="9"/>
      <c r="AA425" s="9"/>
      <c r="AB425" s="9"/>
      <c r="AC425" s="9"/>
      <c r="AD425" s="9"/>
    </row>
    <row r="426" spans="1:30" ht="18.75" x14ac:dyDescent="0.3">
      <c r="A426" s="42"/>
      <c r="B426" s="42"/>
      <c r="C426" s="74"/>
      <c r="D426" s="74"/>
      <c r="E426" s="70"/>
      <c r="F426" s="70"/>
      <c r="G426" s="70"/>
      <c r="H426" s="70"/>
      <c r="I426" s="70"/>
      <c r="J426" s="77"/>
      <c r="K426" s="77"/>
      <c r="L426" s="9"/>
      <c r="M426" s="42"/>
      <c r="N426" s="42"/>
      <c r="O426" s="9"/>
      <c r="P426" s="9"/>
      <c r="Q426" s="9"/>
      <c r="R426" s="33"/>
      <c r="S426" s="9"/>
      <c r="U426" s="8"/>
      <c r="V426" s="9"/>
      <c r="W426" s="9"/>
      <c r="X426" s="9"/>
      <c r="Y426" s="9"/>
      <c r="Z426" s="9"/>
      <c r="AA426" s="9"/>
      <c r="AB426" s="9"/>
      <c r="AC426" s="9"/>
      <c r="AD426" s="9"/>
    </row>
    <row r="427" spans="1:30" ht="18.75" x14ac:dyDescent="0.3">
      <c r="A427" s="42"/>
      <c r="B427" s="42"/>
      <c r="C427" s="74"/>
      <c r="D427" s="74"/>
      <c r="E427" s="70"/>
      <c r="F427" s="70"/>
      <c r="G427" s="70"/>
      <c r="H427" s="70"/>
      <c r="I427" s="70"/>
      <c r="J427" s="77"/>
      <c r="K427" s="77"/>
      <c r="L427" s="9"/>
      <c r="M427" s="42"/>
      <c r="N427" s="42"/>
      <c r="O427" s="9"/>
      <c r="P427" s="9"/>
      <c r="Q427" s="9"/>
      <c r="R427" s="33"/>
      <c r="S427" s="9"/>
      <c r="U427" s="8"/>
      <c r="V427" s="9"/>
      <c r="W427" s="9"/>
      <c r="X427" s="9"/>
      <c r="Y427" s="9"/>
      <c r="Z427" s="9"/>
      <c r="AA427" s="9"/>
      <c r="AB427" s="9"/>
      <c r="AC427" s="9"/>
      <c r="AD427" s="9"/>
    </row>
    <row r="428" spans="1:30" ht="18.75" x14ac:dyDescent="0.3">
      <c r="A428" s="42"/>
      <c r="B428" s="42"/>
      <c r="C428" s="74"/>
      <c r="D428" s="74"/>
      <c r="E428" s="70"/>
      <c r="F428" s="70"/>
      <c r="G428" s="70"/>
      <c r="H428" s="70"/>
      <c r="I428" s="70"/>
      <c r="J428" s="77"/>
      <c r="K428" s="77"/>
      <c r="L428" s="9"/>
      <c r="M428" s="42"/>
      <c r="N428" s="42"/>
      <c r="O428" s="9"/>
      <c r="P428" s="9"/>
      <c r="Q428" s="9"/>
      <c r="R428" s="33"/>
      <c r="S428" s="9"/>
      <c r="U428" s="8"/>
      <c r="V428" s="9"/>
      <c r="W428" s="9"/>
      <c r="X428" s="9"/>
      <c r="Y428" s="9"/>
      <c r="Z428" s="9"/>
      <c r="AA428" s="9"/>
      <c r="AB428" s="9"/>
      <c r="AC428" s="9"/>
      <c r="AD428" s="9"/>
    </row>
    <row r="429" spans="1:30" ht="18.75" x14ac:dyDescent="0.3">
      <c r="A429" s="42"/>
      <c r="B429" s="42"/>
      <c r="C429" s="74"/>
      <c r="D429" s="74"/>
      <c r="E429" s="70"/>
      <c r="F429" s="70"/>
      <c r="G429" s="70"/>
      <c r="H429" s="70"/>
      <c r="I429" s="70"/>
      <c r="J429" s="77"/>
      <c r="K429" s="77"/>
      <c r="L429" s="9"/>
      <c r="M429" s="42"/>
      <c r="N429" s="42"/>
      <c r="O429" s="9"/>
      <c r="P429" s="9"/>
      <c r="Q429" s="9"/>
      <c r="R429" s="33"/>
      <c r="S429" s="9"/>
      <c r="U429" s="8"/>
      <c r="V429" s="9"/>
      <c r="W429" s="9"/>
      <c r="X429" s="9"/>
      <c r="Y429" s="9"/>
      <c r="Z429" s="9"/>
      <c r="AA429" s="9"/>
      <c r="AB429" s="9"/>
      <c r="AC429" s="9"/>
      <c r="AD429" s="9"/>
    </row>
    <row r="430" spans="1:30" ht="18.75" x14ac:dyDescent="0.3">
      <c r="A430" s="42"/>
      <c r="B430" s="42"/>
      <c r="C430" s="74"/>
      <c r="D430" s="74"/>
      <c r="E430" s="70"/>
      <c r="F430" s="70"/>
      <c r="G430" s="70"/>
      <c r="H430" s="70"/>
      <c r="I430" s="70"/>
      <c r="J430" s="77"/>
      <c r="K430" s="77"/>
      <c r="L430" s="9"/>
      <c r="M430" s="42"/>
      <c r="N430" s="42"/>
      <c r="O430" s="9"/>
      <c r="P430" s="9"/>
      <c r="Q430" s="9"/>
      <c r="R430" s="33"/>
      <c r="S430" s="9"/>
      <c r="U430" s="8"/>
      <c r="V430" s="9"/>
      <c r="W430" s="9"/>
      <c r="X430" s="9"/>
      <c r="Y430" s="9"/>
      <c r="Z430" s="9"/>
      <c r="AA430" s="9"/>
      <c r="AB430" s="9"/>
      <c r="AC430" s="9"/>
      <c r="AD430" s="9"/>
    </row>
    <row r="431" spans="1:30" ht="18.75" x14ac:dyDescent="0.3">
      <c r="A431" s="42"/>
      <c r="B431" s="42"/>
      <c r="C431" s="74"/>
      <c r="D431" s="74"/>
      <c r="E431" s="70"/>
      <c r="F431" s="70"/>
      <c r="G431" s="70"/>
      <c r="H431" s="70"/>
      <c r="I431" s="70"/>
      <c r="J431" s="77"/>
      <c r="K431" s="77"/>
      <c r="L431" s="9"/>
      <c r="M431" s="42"/>
      <c r="N431" s="42"/>
      <c r="O431" s="9"/>
      <c r="P431" s="9"/>
      <c r="Q431" s="9"/>
      <c r="R431" s="33"/>
      <c r="S431" s="9"/>
      <c r="U431" s="8"/>
      <c r="V431" s="9"/>
      <c r="W431" s="9"/>
      <c r="X431" s="9"/>
      <c r="Y431" s="9"/>
      <c r="Z431" s="9"/>
      <c r="AA431" s="9"/>
      <c r="AB431" s="9"/>
      <c r="AC431" s="9"/>
      <c r="AD431" s="9"/>
    </row>
    <row r="432" spans="1:30" ht="18.75" x14ac:dyDescent="0.3">
      <c r="A432" s="42"/>
      <c r="B432" s="42"/>
      <c r="C432" s="74"/>
      <c r="D432" s="74"/>
      <c r="E432" s="70"/>
      <c r="F432" s="70"/>
      <c r="G432" s="70"/>
      <c r="H432" s="70"/>
      <c r="I432" s="70"/>
      <c r="J432" s="77"/>
      <c r="K432" s="77"/>
      <c r="L432" s="9"/>
      <c r="M432" s="42"/>
      <c r="N432" s="42"/>
      <c r="O432" s="9"/>
      <c r="P432" s="9"/>
      <c r="Q432" s="9"/>
      <c r="R432" s="33"/>
      <c r="S432" s="9"/>
      <c r="U432" s="8"/>
      <c r="V432" s="9"/>
      <c r="W432" s="9"/>
      <c r="X432" s="9"/>
      <c r="Y432" s="9"/>
      <c r="Z432" s="9"/>
      <c r="AA432" s="9"/>
      <c r="AB432" s="9"/>
      <c r="AC432" s="9"/>
      <c r="AD432" s="9"/>
    </row>
    <row r="433" spans="1:30" ht="18.75" x14ac:dyDescent="0.3">
      <c r="A433" s="42"/>
      <c r="B433" s="42"/>
      <c r="C433" s="74"/>
      <c r="D433" s="74"/>
      <c r="E433" s="70"/>
      <c r="F433" s="70"/>
      <c r="G433" s="70"/>
      <c r="H433" s="70"/>
      <c r="I433" s="70"/>
      <c r="J433" s="77"/>
      <c r="K433" s="77"/>
      <c r="L433" s="9"/>
      <c r="M433" s="42"/>
      <c r="N433" s="42"/>
      <c r="O433" s="9"/>
      <c r="P433" s="9"/>
      <c r="Q433" s="9"/>
      <c r="R433" s="33"/>
      <c r="S433" s="9"/>
      <c r="U433" s="8"/>
      <c r="V433" s="9"/>
      <c r="W433" s="9"/>
      <c r="X433" s="9"/>
      <c r="Y433" s="9"/>
      <c r="Z433" s="9"/>
      <c r="AA433" s="9"/>
      <c r="AB433" s="9"/>
      <c r="AC433" s="9"/>
      <c r="AD433" s="9"/>
    </row>
    <row r="434" spans="1:30" ht="18.75" x14ac:dyDescent="0.3">
      <c r="A434" s="42"/>
      <c r="B434" s="42"/>
      <c r="C434" s="74"/>
      <c r="D434" s="74"/>
      <c r="E434" s="70"/>
      <c r="F434" s="70"/>
      <c r="G434" s="70"/>
      <c r="H434" s="70"/>
      <c r="I434" s="70"/>
      <c r="J434" s="77"/>
      <c r="K434" s="77"/>
      <c r="L434" s="9"/>
      <c r="M434" s="42"/>
      <c r="N434" s="42"/>
      <c r="O434" s="9"/>
      <c r="P434" s="9"/>
      <c r="Q434" s="9"/>
      <c r="R434" s="33"/>
      <c r="S434" s="9"/>
      <c r="U434" s="8"/>
      <c r="V434" s="9"/>
      <c r="W434" s="9"/>
      <c r="X434" s="9"/>
      <c r="Y434" s="9"/>
      <c r="Z434" s="9"/>
      <c r="AA434" s="9"/>
      <c r="AB434" s="9"/>
      <c r="AC434" s="9"/>
      <c r="AD434" s="9"/>
    </row>
    <row r="435" spans="1:30" ht="18.75" x14ac:dyDescent="0.3">
      <c r="A435" s="42"/>
      <c r="B435" s="42"/>
      <c r="C435" s="74"/>
      <c r="D435" s="74"/>
      <c r="E435" s="70"/>
      <c r="F435" s="70"/>
      <c r="G435" s="70"/>
      <c r="H435" s="70"/>
      <c r="I435" s="70"/>
      <c r="J435" s="77"/>
      <c r="K435" s="77"/>
      <c r="L435" s="9"/>
      <c r="M435" s="42"/>
      <c r="N435" s="42"/>
      <c r="O435" s="9"/>
      <c r="P435" s="9"/>
      <c r="Q435" s="9"/>
      <c r="R435" s="33"/>
      <c r="S435" s="9"/>
      <c r="U435" s="8"/>
      <c r="V435" s="9"/>
      <c r="W435" s="9"/>
      <c r="X435" s="9"/>
      <c r="Y435" s="9"/>
      <c r="Z435" s="9"/>
      <c r="AA435" s="9"/>
      <c r="AB435" s="9"/>
      <c r="AC435" s="9"/>
      <c r="AD435" s="9"/>
    </row>
    <row r="436" spans="1:30" ht="18.75" x14ac:dyDescent="0.3">
      <c r="A436" s="42"/>
      <c r="B436" s="42"/>
      <c r="C436" s="74"/>
      <c r="D436" s="74"/>
      <c r="E436" s="70"/>
      <c r="F436" s="70"/>
      <c r="G436" s="70"/>
      <c r="H436" s="70"/>
      <c r="I436" s="70"/>
      <c r="J436" s="77"/>
      <c r="K436" s="77"/>
      <c r="L436" s="9"/>
      <c r="M436" s="42"/>
      <c r="N436" s="42"/>
      <c r="O436" s="9"/>
      <c r="P436" s="9"/>
      <c r="Q436" s="9"/>
      <c r="R436" s="33"/>
      <c r="S436" s="9"/>
      <c r="U436" s="8"/>
      <c r="V436" s="9"/>
      <c r="W436" s="9"/>
      <c r="X436" s="9"/>
      <c r="Y436" s="9"/>
      <c r="Z436" s="9"/>
      <c r="AA436" s="9"/>
      <c r="AB436" s="9"/>
      <c r="AC436" s="9"/>
      <c r="AD436" s="9"/>
    </row>
    <row r="437" spans="1:30" ht="18.75" x14ac:dyDescent="0.3">
      <c r="A437" s="42"/>
      <c r="B437" s="42"/>
      <c r="C437" s="74"/>
      <c r="D437" s="74"/>
      <c r="E437" s="70"/>
      <c r="F437" s="70"/>
      <c r="G437" s="70"/>
      <c r="H437" s="70"/>
      <c r="I437" s="70"/>
      <c r="J437" s="77"/>
      <c r="K437" s="77"/>
      <c r="L437" s="9"/>
      <c r="M437" s="42"/>
      <c r="N437" s="42"/>
      <c r="O437" s="9"/>
      <c r="P437" s="9"/>
      <c r="Q437" s="9"/>
      <c r="R437" s="33"/>
      <c r="S437" s="9"/>
      <c r="U437" s="8"/>
      <c r="V437" s="9"/>
      <c r="W437" s="9"/>
      <c r="X437" s="9"/>
      <c r="Y437" s="9"/>
      <c r="Z437" s="9"/>
      <c r="AA437" s="9"/>
      <c r="AB437" s="9"/>
      <c r="AC437" s="9"/>
      <c r="AD437" s="9"/>
    </row>
    <row r="438" spans="1:30" ht="18.75" x14ac:dyDescent="0.3">
      <c r="A438" s="42"/>
      <c r="B438" s="42"/>
      <c r="C438" s="74"/>
      <c r="D438" s="74"/>
      <c r="E438" s="70"/>
      <c r="F438" s="70"/>
      <c r="G438" s="70"/>
      <c r="H438" s="70"/>
      <c r="I438" s="70"/>
      <c r="J438" s="77"/>
      <c r="K438" s="77"/>
      <c r="L438" s="9"/>
      <c r="M438" s="42"/>
      <c r="N438" s="42"/>
      <c r="O438" s="9"/>
      <c r="P438" s="9"/>
      <c r="Q438" s="9"/>
      <c r="R438" s="33"/>
      <c r="S438" s="9"/>
      <c r="U438" s="8"/>
      <c r="V438" s="9"/>
      <c r="W438" s="9"/>
      <c r="X438" s="9"/>
      <c r="Y438" s="9"/>
      <c r="Z438" s="9"/>
      <c r="AA438" s="9"/>
      <c r="AB438" s="9"/>
      <c r="AC438" s="9"/>
      <c r="AD438" s="9"/>
    </row>
    <row r="439" spans="1:30" ht="18.75" x14ac:dyDescent="0.3">
      <c r="A439" s="42"/>
      <c r="B439" s="42"/>
      <c r="C439" s="74"/>
      <c r="D439" s="74"/>
      <c r="E439" s="70"/>
      <c r="F439" s="70"/>
      <c r="G439" s="70"/>
      <c r="H439" s="70"/>
      <c r="I439" s="70"/>
      <c r="J439" s="77"/>
      <c r="K439" s="77"/>
      <c r="L439" s="9"/>
      <c r="M439" s="42"/>
      <c r="N439" s="42"/>
      <c r="O439" s="9"/>
      <c r="P439" s="9"/>
      <c r="Q439" s="9"/>
      <c r="R439" s="33"/>
      <c r="S439" s="9"/>
      <c r="U439" s="8"/>
      <c r="V439" s="9"/>
      <c r="W439" s="9"/>
      <c r="X439" s="9"/>
      <c r="Y439" s="9"/>
      <c r="Z439" s="9"/>
      <c r="AA439" s="9"/>
      <c r="AB439" s="9"/>
      <c r="AC439" s="9"/>
      <c r="AD439" s="9"/>
    </row>
    <row r="440" spans="1:30" ht="18.75" x14ac:dyDescent="0.3">
      <c r="A440" s="42"/>
      <c r="B440" s="42"/>
      <c r="C440" s="74"/>
      <c r="D440" s="74"/>
      <c r="E440" s="70"/>
      <c r="F440" s="70"/>
      <c r="G440" s="70"/>
      <c r="H440" s="70"/>
      <c r="I440" s="70"/>
      <c r="J440" s="77"/>
      <c r="K440" s="77"/>
      <c r="L440" s="9"/>
      <c r="M440" s="42"/>
      <c r="N440" s="42"/>
      <c r="O440" s="9"/>
      <c r="P440" s="9"/>
      <c r="Q440" s="9"/>
      <c r="R440" s="33"/>
      <c r="S440" s="9"/>
      <c r="U440" s="8"/>
      <c r="V440" s="9"/>
      <c r="W440" s="9"/>
      <c r="X440" s="9"/>
      <c r="Y440" s="9"/>
      <c r="Z440" s="9"/>
      <c r="AA440" s="9"/>
      <c r="AB440" s="9"/>
      <c r="AC440" s="9"/>
      <c r="AD440" s="9"/>
    </row>
    <row r="441" spans="1:30" ht="18.75" x14ac:dyDescent="0.3">
      <c r="A441" s="42"/>
      <c r="B441" s="42"/>
      <c r="C441" s="74"/>
      <c r="D441" s="74"/>
      <c r="E441" s="70"/>
      <c r="F441" s="70"/>
      <c r="G441" s="70"/>
      <c r="H441" s="70"/>
      <c r="I441" s="70"/>
      <c r="J441" s="77"/>
      <c r="K441" s="77"/>
      <c r="L441" s="9"/>
      <c r="M441" s="42"/>
      <c r="N441" s="42"/>
      <c r="O441" s="9"/>
      <c r="P441" s="9"/>
      <c r="Q441" s="9"/>
      <c r="R441" s="33"/>
      <c r="S441" s="9"/>
      <c r="U441" s="8"/>
      <c r="V441" s="9"/>
      <c r="W441" s="9"/>
      <c r="X441" s="9"/>
      <c r="Y441" s="9"/>
      <c r="Z441" s="9"/>
      <c r="AA441" s="9"/>
      <c r="AB441" s="9"/>
      <c r="AC441" s="9"/>
      <c r="AD441" s="9"/>
    </row>
    <row r="442" spans="1:30" ht="18.75" x14ac:dyDescent="0.3">
      <c r="A442" s="42"/>
      <c r="B442" s="42"/>
      <c r="C442" s="74"/>
      <c r="D442" s="74"/>
      <c r="E442" s="70"/>
      <c r="F442" s="70"/>
      <c r="G442" s="70"/>
      <c r="H442" s="70"/>
      <c r="I442" s="70"/>
      <c r="J442" s="77"/>
      <c r="K442" s="77"/>
      <c r="L442" s="9"/>
      <c r="M442" s="42"/>
      <c r="N442" s="42"/>
      <c r="O442" s="9"/>
      <c r="P442" s="9"/>
      <c r="Q442" s="9"/>
      <c r="R442" s="33"/>
      <c r="S442" s="9"/>
      <c r="U442" s="8"/>
      <c r="V442" s="9"/>
      <c r="W442" s="9"/>
      <c r="X442" s="9"/>
      <c r="Y442" s="9"/>
      <c r="Z442" s="9"/>
      <c r="AA442" s="9"/>
      <c r="AB442" s="9"/>
      <c r="AC442" s="9"/>
      <c r="AD442" s="9"/>
    </row>
    <row r="443" spans="1:30" ht="18.75" x14ac:dyDescent="0.3">
      <c r="A443" s="42"/>
      <c r="B443" s="42"/>
      <c r="C443" s="74"/>
      <c r="D443" s="74"/>
      <c r="E443" s="70"/>
      <c r="F443" s="70"/>
      <c r="G443" s="70"/>
      <c r="H443" s="70"/>
      <c r="I443" s="70"/>
      <c r="J443" s="77"/>
      <c r="K443" s="77"/>
      <c r="L443" s="9"/>
      <c r="M443" s="42"/>
      <c r="N443" s="42"/>
      <c r="O443" s="9"/>
      <c r="P443" s="9"/>
      <c r="Q443" s="9"/>
      <c r="R443" s="33"/>
      <c r="S443" s="9"/>
      <c r="U443" s="8"/>
      <c r="V443" s="9"/>
      <c r="W443" s="9"/>
      <c r="X443" s="9"/>
      <c r="Y443" s="9"/>
      <c r="Z443" s="9"/>
      <c r="AA443" s="9"/>
      <c r="AB443" s="9"/>
      <c r="AC443" s="9"/>
      <c r="AD443" s="9"/>
    </row>
    <row r="444" spans="1:30" ht="18.75" x14ac:dyDescent="0.3">
      <c r="A444" s="42"/>
      <c r="B444" s="42"/>
      <c r="C444" s="74"/>
      <c r="D444" s="74"/>
      <c r="E444" s="70"/>
      <c r="F444" s="70"/>
      <c r="G444" s="70"/>
      <c r="H444" s="70"/>
      <c r="I444" s="70"/>
      <c r="J444" s="77"/>
      <c r="K444" s="77"/>
      <c r="L444" s="9"/>
      <c r="M444" s="42"/>
      <c r="N444" s="42"/>
      <c r="O444" s="9"/>
      <c r="P444" s="9"/>
      <c r="Q444" s="9"/>
      <c r="R444" s="33"/>
      <c r="S444" s="9"/>
      <c r="U444" s="8"/>
      <c r="V444" s="9"/>
      <c r="W444" s="9"/>
      <c r="X444" s="9"/>
      <c r="Y444" s="9"/>
      <c r="Z444" s="9"/>
      <c r="AA444" s="9"/>
      <c r="AB444" s="9"/>
      <c r="AC444" s="9"/>
      <c r="AD444" s="9"/>
    </row>
    <row r="445" spans="1:30" ht="18.75" x14ac:dyDescent="0.3">
      <c r="A445" s="42"/>
      <c r="B445" s="42"/>
      <c r="C445" s="74"/>
      <c r="D445" s="74"/>
      <c r="E445" s="70"/>
      <c r="F445" s="70"/>
      <c r="G445" s="70"/>
      <c r="H445" s="70"/>
      <c r="I445" s="70"/>
      <c r="J445" s="77"/>
      <c r="K445" s="77"/>
      <c r="L445" s="9"/>
      <c r="M445" s="42"/>
      <c r="N445" s="42"/>
      <c r="O445" s="9"/>
      <c r="P445" s="9"/>
      <c r="Q445" s="9"/>
      <c r="R445" s="33"/>
      <c r="S445" s="9"/>
      <c r="U445" s="8"/>
      <c r="V445" s="9"/>
      <c r="W445" s="9"/>
      <c r="X445" s="9"/>
      <c r="Y445" s="9"/>
      <c r="Z445" s="9"/>
      <c r="AA445" s="9"/>
      <c r="AB445" s="9"/>
      <c r="AC445" s="9"/>
      <c r="AD445" s="9"/>
    </row>
    <row r="446" spans="1:30" ht="18.75" x14ac:dyDescent="0.3">
      <c r="A446" s="42"/>
      <c r="B446" s="42"/>
      <c r="C446" s="74"/>
      <c r="D446" s="74"/>
      <c r="E446" s="70"/>
      <c r="F446" s="70"/>
      <c r="G446" s="70"/>
      <c r="H446" s="70"/>
      <c r="I446" s="70"/>
      <c r="J446" s="77"/>
      <c r="K446" s="77"/>
      <c r="L446" s="9"/>
      <c r="M446" s="42"/>
      <c r="N446" s="42"/>
      <c r="O446" s="9"/>
      <c r="P446" s="9"/>
      <c r="Q446" s="9"/>
      <c r="R446" s="33"/>
      <c r="S446" s="9"/>
      <c r="U446" s="8"/>
      <c r="V446" s="9"/>
      <c r="W446" s="9"/>
      <c r="X446" s="9"/>
      <c r="Y446" s="9"/>
      <c r="Z446" s="9"/>
      <c r="AA446" s="9"/>
      <c r="AB446" s="9"/>
      <c r="AC446" s="9"/>
      <c r="AD446" s="9"/>
    </row>
    <row r="447" spans="1:30" ht="18.75" x14ac:dyDescent="0.3">
      <c r="A447" s="42"/>
      <c r="B447" s="42"/>
      <c r="C447" s="74"/>
      <c r="D447" s="74"/>
      <c r="E447" s="70"/>
      <c r="F447" s="70"/>
      <c r="G447" s="70"/>
      <c r="H447" s="70"/>
      <c r="I447" s="70"/>
      <c r="J447" s="77"/>
      <c r="K447" s="77"/>
      <c r="L447" s="9"/>
      <c r="M447" s="42"/>
      <c r="N447" s="42"/>
      <c r="O447" s="9"/>
      <c r="P447" s="9"/>
      <c r="Q447" s="9"/>
      <c r="R447" s="33"/>
      <c r="S447" s="9"/>
      <c r="U447" s="8"/>
      <c r="V447" s="9"/>
      <c r="W447" s="9"/>
      <c r="X447" s="9"/>
      <c r="Y447" s="9"/>
      <c r="Z447" s="9"/>
      <c r="AA447" s="9"/>
      <c r="AB447" s="9"/>
      <c r="AC447" s="9"/>
      <c r="AD447" s="9"/>
    </row>
    <row r="448" spans="1:30" ht="18.75" x14ac:dyDescent="0.3">
      <c r="A448" s="42"/>
      <c r="B448" s="42"/>
      <c r="C448" s="74"/>
      <c r="D448" s="74"/>
      <c r="E448" s="70"/>
      <c r="F448" s="70"/>
      <c r="G448" s="70"/>
      <c r="H448" s="70"/>
      <c r="I448" s="70"/>
      <c r="J448" s="77"/>
      <c r="K448" s="77"/>
      <c r="L448" s="9"/>
      <c r="M448" s="42"/>
      <c r="N448" s="42"/>
      <c r="O448" s="9"/>
      <c r="P448" s="9"/>
      <c r="Q448" s="9"/>
      <c r="R448" s="33"/>
      <c r="S448" s="9"/>
      <c r="U448" s="8"/>
      <c r="V448" s="9"/>
      <c r="W448" s="9"/>
      <c r="X448" s="9"/>
      <c r="Y448" s="9"/>
      <c r="Z448" s="9"/>
      <c r="AA448" s="9"/>
      <c r="AB448" s="9"/>
      <c r="AC448" s="9"/>
      <c r="AD448" s="9"/>
    </row>
    <row r="449" spans="1:30" ht="18.75" x14ac:dyDescent="0.3">
      <c r="A449" s="42"/>
      <c r="B449" s="42"/>
      <c r="C449" s="74"/>
      <c r="D449" s="74"/>
      <c r="E449" s="70"/>
      <c r="F449" s="70"/>
      <c r="G449" s="70"/>
      <c r="H449" s="70"/>
      <c r="I449" s="70"/>
      <c r="J449" s="77"/>
      <c r="K449" s="77"/>
      <c r="L449" s="9"/>
      <c r="M449" s="42"/>
      <c r="N449" s="42"/>
      <c r="O449" s="9"/>
      <c r="P449" s="9"/>
      <c r="Q449" s="9"/>
      <c r="R449" s="33"/>
      <c r="S449" s="9"/>
      <c r="U449" s="8"/>
      <c r="V449" s="9"/>
      <c r="W449" s="9"/>
      <c r="X449" s="9"/>
      <c r="Y449" s="9"/>
      <c r="Z449" s="9"/>
      <c r="AA449" s="9"/>
      <c r="AB449" s="9"/>
      <c r="AC449" s="9"/>
      <c r="AD449" s="9"/>
    </row>
    <row r="450" spans="1:30" ht="18.75" x14ac:dyDescent="0.3">
      <c r="A450" s="42"/>
      <c r="B450" s="42"/>
      <c r="C450" s="74"/>
      <c r="D450" s="74"/>
      <c r="E450" s="70"/>
      <c r="F450" s="70"/>
      <c r="G450" s="70"/>
      <c r="H450" s="70"/>
      <c r="I450" s="70"/>
      <c r="J450" s="77"/>
      <c r="K450" s="77"/>
      <c r="L450" s="9"/>
      <c r="M450" s="42"/>
      <c r="N450" s="42"/>
      <c r="O450" s="9"/>
      <c r="P450" s="9"/>
      <c r="Q450" s="9"/>
      <c r="R450" s="33"/>
      <c r="S450" s="9"/>
      <c r="U450" s="8"/>
      <c r="V450" s="9"/>
      <c r="W450" s="9"/>
      <c r="X450" s="9"/>
      <c r="Y450" s="9"/>
      <c r="Z450" s="9"/>
      <c r="AA450" s="9"/>
      <c r="AB450" s="9"/>
      <c r="AC450" s="9"/>
      <c r="AD450" s="9"/>
    </row>
    <row r="451" spans="1:30" ht="18.75" x14ac:dyDescent="0.3">
      <c r="A451" s="42"/>
      <c r="B451" s="42"/>
      <c r="C451" s="74"/>
      <c r="D451" s="74"/>
      <c r="E451" s="70"/>
      <c r="F451" s="70"/>
      <c r="G451" s="70"/>
      <c r="H451" s="70"/>
      <c r="I451" s="70"/>
      <c r="J451" s="77"/>
      <c r="K451" s="77"/>
      <c r="L451" s="9"/>
      <c r="M451" s="42"/>
      <c r="N451" s="42"/>
      <c r="O451" s="9"/>
      <c r="P451" s="9"/>
      <c r="Q451" s="9"/>
      <c r="R451" s="33"/>
      <c r="S451" s="9"/>
      <c r="U451" s="8"/>
      <c r="V451" s="9"/>
      <c r="W451" s="9"/>
      <c r="X451" s="9"/>
      <c r="Y451" s="9"/>
      <c r="Z451" s="9"/>
      <c r="AA451" s="9"/>
      <c r="AB451" s="9"/>
      <c r="AC451" s="9"/>
      <c r="AD451" s="9"/>
    </row>
    <row r="452" spans="1:30" ht="18.75" x14ac:dyDescent="0.3">
      <c r="A452" s="42"/>
      <c r="B452" s="42"/>
      <c r="C452" s="74"/>
      <c r="D452" s="74"/>
      <c r="E452" s="70"/>
      <c r="F452" s="70"/>
      <c r="G452" s="70"/>
      <c r="H452" s="70"/>
      <c r="I452" s="70"/>
      <c r="J452" s="77"/>
      <c r="K452" s="77"/>
      <c r="L452" s="9"/>
      <c r="M452" s="42"/>
      <c r="N452" s="42"/>
      <c r="O452" s="9"/>
      <c r="P452" s="9"/>
      <c r="Q452" s="9"/>
      <c r="R452" s="33"/>
      <c r="S452" s="9"/>
      <c r="U452" s="8"/>
      <c r="V452" s="9"/>
      <c r="W452" s="9"/>
      <c r="X452" s="9"/>
      <c r="Y452" s="9"/>
      <c r="Z452" s="9"/>
      <c r="AA452" s="9"/>
      <c r="AB452" s="9"/>
      <c r="AC452" s="9"/>
      <c r="AD452" s="9"/>
    </row>
    <row r="453" spans="1:30" ht="18.75" x14ac:dyDescent="0.3">
      <c r="A453" s="42"/>
      <c r="B453" s="42"/>
      <c r="C453" s="74"/>
      <c r="D453" s="74"/>
      <c r="E453" s="70"/>
      <c r="F453" s="70"/>
      <c r="G453" s="70"/>
      <c r="H453" s="70"/>
      <c r="I453" s="70"/>
      <c r="J453" s="77"/>
      <c r="K453" s="77"/>
      <c r="L453" s="9"/>
      <c r="M453" s="42"/>
      <c r="N453" s="42"/>
      <c r="O453" s="9"/>
      <c r="P453" s="9"/>
      <c r="Q453" s="9"/>
      <c r="R453" s="33"/>
      <c r="S453" s="9"/>
      <c r="U453" s="8"/>
      <c r="V453" s="9"/>
      <c r="W453" s="9"/>
      <c r="X453" s="9"/>
      <c r="Y453" s="9"/>
      <c r="Z453" s="9"/>
      <c r="AA453" s="9"/>
      <c r="AB453" s="9"/>
      <c r="AC453" s="9"/>
      <c r="AD453" s="9"/>
    </row>
    <row r="454" spans="1:30" ht="18.75" x14ac:dyDescent="0.3">
      <c r="A454" s="42"/>
      <c r="B454" s="42"/>
      <c r="C454" s="74"/>
      <c r="D454" s="74"/>
      <c r="E454" s="70"/>
      <c r="F454" s="70"/>
      <c r="G454" s="70"/>
      <c r="H454" s="70"/>
      <c r="I454" s="70"/>
      <c r="J454" s="77"/>
      <c r="K454" s="77"/>
      <c r="L454" s="9"/>
      <c r="M454" s="42"/>
      <c r="N454" s="42"/>
      <c r="O454" s="9"/>
      <c r="P454" s="9"/>
      <c r="Q454" s="9"/>
      <c r="R454" s="33"/>
      <c r="S454" s="9"/>
      <c r="U454" s="8"/>
      <c r="V454" s="9"/>
      <c r="W454" s="9"/>
      <c r="X454" s="9"/>
      <c r="Y454" s="9"/>
      <c r="Z454" s="9"/>
      <c r="AA454" s="9"/>
      <c r="AB454" s="9"/>
      <c r="AC454" s="9"/>
      <c r="AD454" s="9"/>
    </row>
    <row r="455" spans="1:30" ht="18.75" x14ac:dyDescent="0.3">
      <c r="A455" s="42"/>
      <c r="B455" s="42"/>
      <c r="C455" s="74"/>
      <c r="D455" s="74"/>
      <c r="E455" s="70"/>
      <c r="F455" s="70"/>
      <c r="G455" s="70"/>
      <c r="H455" s="70"/>
      <c r="I455" s="70"/>
      <c r="J455" s="77"/>
      <c r="K455" s="77"/>
      <c r="L455" s="9"/>
      <c r="M455" s="42"/>
      <c r="N455" s="42"/>
      <c r="O455" s="9"/>
      <c r="P455" s="9"/>
      <c r="Q455" s="9"/>
      <c r="R455" s="33"/>
      <c r="S455" s="9"/>
      <c r="U455" s="8"/>
      <c r="V455" s="9"/>
      <c r="W455" s="9"/>
      <c r="X455" s="9"/>
      <c r="Y455" s="9"/>
      <c r="Z455" s="9"/>
      <c r="AA455" s="9"/>
      <c r="AB455" s="9"/>
      <c r="AC455" s="9"/>
      <c r="AD455" s="9"/>
    </row>
    <row r="456" spans="1:30" ht="18.75" x14ac:dyDescent="0.3">
      <c r="A456" s="42"/>
      <c r="B456" s="42"/>
      <c r="C456" s="74"/>
      <c r="D456" s="74"/>
      <c r="E456" s="70"/>
      <c r="F456" s="70"/>
      <c r="G456" s="70"/>
      <c r="H456" s="70"/>
      <c r="I456" s="70"/>
      <c r="J456" s="77"/>
      <c r="K456" s="77"/>
      <c r="L456" s="9"/>
      <c r="M456" s="42"/>
      <c r="N456" s="42"/>
      <c r="O456" s="9"/>
      <c r="P456" s="9"/>
      <c r="Q456" s="9"/>
      <c r="R456" s="33"/>
      <c r="S456" s="9"/>
      <c r="U456" s="8"/>
      <c r="V456" s="9"/>
      <c r="W456" s="9"/>
      <c r="X456" s="9"/>
      <c r="Y456" s="9"/>
      <c r="Z456" s="9"/>
      <c r="AA456" s="9"/>
      <c r="AB456" s="9"/>
      <c r="AC456" s="9"/>
      <c r="AD456" s="9"/>
    </row>
    <row r="457" spans="1:30" ht="18.75" x14ac:dyDescent="0.3">
      <c r="A457" s="42"/>
      <c r="B457" s="42"/>
      <c r="C457" s="74"/>
      <c r="D457" s="74"/>
      <c r="E457" s="70"/>
      <c r="F457" s="70"/>
      <c r="G457" s="70"/>
      <c r="H457" s="70"/>
      <c r="I457" s="70"/>
      <c r="J457" s="77"/>
      <c r="K457" s="77"/>
      <c r="L457" s="9"/>
      <c r="M457" s="42"/>
      <c r="N457" s="42"/>
      <c r="O457" s="9"/>
      <c r="P457" s="9"/>
      <c r="Q457" s="9"/>
      <c r="R457" s="33"/>
      <c r="S457" s="9"/>
      <c r="U457" s="8"/>
      <c r="V457" s="9"/>
      <c r="W457" s="9"/>
      <c r="X457" s="9"/>
      <c r="Y457" s="9"/>
      <c r="Z457" s="9"/>
      <c r="AA457" s="9"/>
      <c r="AB457" s="9"/>
      <c r="AC457" s="9"/>
      <c r="AD457" s="9"/>
    </row>
    <row r="458" spans="1:30" ht="18.75" x14ac:dyDescent="0.3">
      <c r="A458" s="42"/>
      <c r="B458" s="42"/>
      <c r="C458" s="74"/>
      <c r="D458" s="74"/>
      <c r="E458" s="70"/>
      <c r="F458" s="70"/>
      <c r="G458" s="70"/>
      <c r="H458" s="70"/>
      <c r="I458" s="70"/>
      <c r="J458" s="77"/>
      <c r="K458" s="77"/>
      <c r="L458" s="9"/>
      <c r="M458" s="42"/>
      <c r="N458" s="42"/>
      <c r="O458" s="9"/>
      <c r="P458" s="9"/>
      <c r="Q458" s="9"/>
      <c r="R458" s="33"/>
      <c r="S458" s="9"/>
      <c r="U458" s="8"/>
      <c r="V458" s="9"/>
      <c r="W458" s="9"/>
      <c r="X458" s="9"/>
      <c r="Y458" s="9"/>
      <c r="Z458" s="9"/>
      <c r="AA458" s="9"/>
      <c r="AB458" s="9"/>
      <c r="AC458" s="9"/>
      <c r="AD458" s="9"/>
    </row>
    <row r="459" spans="1:30" ht="18.75" x14ac:dyDescent="0.3">
      <c r="A459" s="42"/>
      <c r="B459" s="42"/>
      <c r="C459" s="74"/>
      <c r="D459" s="74"/>
      <c r="E459" s="70"/>
      <c r="F459" s="70"/>
      <c r="G459" s="70"/>
      <c r="H459" s="70"/>
      <c r="I459" s="70"/>
      <c r="J459" s="77"/>
      <c r="K459" s="77"/>
      <c r="L459" s="9"/>
      <c r="M459" s="42"/>
      <c r="N459" s="42"/>
      <c r="O459" s="9"/>
      <c r="P459" s="9"/>
      <c r="Q459" s="9"/>
      <c r="R459" s="33"/>
      <c r="S459" s="9"/>
      <c r="U459" s="8"/>
      <c r="V459" s="9"/>
      <c r="W459" s="9"/>
      <c r="X459" s="9"/>
      <c r="Y459" s="9"/>
      <c r="Z459" s="9"/>
      <c r="AA459" s="9"/>
      <c r="AB459" s="9"/>
      <c r="AC459" s="9"/>
      <c r="AD459" s="9"/>
    </row>
    <row r="460" spans="1:30" ht="18.75" x14ac:dyDescent="0.3">
      <c r="A460" s="42"/>
      <c r="B460" s="42"/>
      <c r="C460" s="74"/>
      <c r="D460" s="74"/>
      <c r="E460" s="70"/>
      <c r="F460" s="70"/>
      <c r="G460" s="70"/>
      <c r="H460" s="70"/>
      <c r="I460" s="70"/>
      <c r="J460" s="77"/>
      <c r="K460" s="77"/>
      <c r="L460" s="9"/>
      <c r="M460" s="42"/>
      <c r="N460" s="42"/>
      <c r="O460" s="9"/>
      <c r="P460" s="9"/>
      <c r="Q460" s="9"/>
      <c r="R460" s="33"/>
      <c r="S460" s="9"/>
      <c r="U460" s="8"/>
      <c r="V460" s="9"/>
      <c r="W460" s="9"/>
      <c r="X460" s="9"/>
      <c r="Y460" s="9"/>
      <c r="Z460" s="9"/>
      <c r="AA460" s="9"/>
      <c r="AB460" s="9"/>
      <c r="AC460" s="9"/>
      <c r="AD460" s="9"/>
    </row>
    <row r="461" spans="1:30" ht="18.75" x14ac:dyDescent="0.3">
      <c r="A461" s="42"/>
      <c r="B461" s="42"/>
      <c r="C461" s="74"/>
      <c r="D461" s="74"/>
      <c r="E461" s="70"/>
      <c r="F461" s="70"/>
      <c r="G461" s="70"/>
      <c r="H461" s="70"/>
      <c r="I461" s="70"/>
      <c r="J461" s="77"/>
      <c r="K461" s="77"/>
      <c r="L461" s="9"/>
      <c r="M461" s="42"/>
      <c r="N461" s="42"/>
      <c r="O461" s="9"/>
      <c r="P461" s="9"/>
      <c r="Q461" s="9"/>
      <c r="R461" s="33"/>
      <c r="S461" s="9"/>
      <c r="U461" s="8"/>
      <c r="V461" s="9"/>
      <c r="W461" s="9"/>
      <c r="X461" s="9"/>
      <c r="Y461" s="9"/>
      <c r="Z461" s="9"/>
      <c r="AA461" s="9"/>
      <c r="AB461" s="9"/>
      <c r="AC461" s="9"/>
      <c r="AD461" s="9"/>
    </row>
    <row r="462" spans="1:30" ht="18.75" x14ac:dyDescent="0.3">
      <c r="A462" s="42"/>
      <c r="B462" s="42"/>
      <c r="C462" s="74"/>
      <c r="D462" s="74"/>
      <c r="E462" s="70"/>
      <c r="F462" s="70"/>
      <c r="G462" s="70"/>
      <c r="H462" s="70"/>
      <c r="I462" s="70"/>
      <c r="J462" s="77"/>
      <c r="K462" s="77"/>
      <c r="L462" s="9"/>
      <c r="M462" s="42"/>
      <c r="N462" s="42"/>
      <c r="O462" s="9"/>
      <c r="P462" s="9"/>
      <c r="Q462" s="9"/>
      <c r="R462" s="33"/>
      <c r="S462" s="9"/>
      <c r="U462" s="8"/>
      <c r="V462" s="9"/>
      <c r="W462" s="9"/>
      <c r="X462" s="9"/>
      <c r="Y462" s="9"/>
      <c r="Z462" s="9"/>
      <c r="AA462" s="9"/>
      <c r="AB462" s="9"/>
      <c r="AC462" s="9"/>
      <c r="AD462" s="9"/>
    </row>
    <row r="463" spans="1:30" ht="18.75" x14ac:dyDescent="0.3">
      <c r="A463" s="42"/>
      <c r="B463" s="42"/>
      <c r="C463" s="74"/>
      <c r="D463" s="74"/>
      <c r="E463" s="70"/>
      <c r="F463" s="70"/>
      <c r="G463" s="70"/>
      <c r="H463" s="70"/>
      <c r="I463" s="70"/>
      <c r="J463" s="77"/>
      <c r="K463" s="77"/>
      <c r="L463" s="9"/>
      <c r="M463" s="42"/>
      <c r="N463" s="42"/>
      <c r="O463" s="9"/>
      <c r="P463" s="9"/>
      <c r="Q463" s="9"/>
      <c r="R463" s="33"/>
      <c r="S463" s="9"/>
      <c r="U463" s="8"/>
      <c r="V463" s="9"/>
      <c r="W463" s="9"/>
      <c r="X463" s="9"/>
      <c r="Y463" s="9"/>
      <c r="Z463" s="9"/>
      <c r="AA463" s="9"/>
      <c r="AB463" s="9"/>
      <c r="AC463" s="9"/>
      <c r="AD463" s="9"/>
    </row>
    <row r="464" spans="1:30" ht="18.75" x14ac:dyDescent="0.3">
      <c r="A464" s="42"/>
      <c r="B464" s="42"/>
      <c r="C464" s="74"/>
      <c r="D464" s="74"/>
      <c r="E464" s="70"/>
      <c r="F464" s="70"/>
      <c r="G464" s="70"/>
      <c r="H464" s="70"/>
      <c r="I464" s="70"/>
      <c r="J464" s="77"/>
      <c r="K464" s="77"/>
      <c r="L464" s="9"/>
      <c r="M464" s="42"/>
      <c r="N464" s="42"/>
      <c r="O464" s="9"/>
      <c r="P464" s="9"/>
      <c r="Q464" s="9"/>
      <c r="R464" s="33"/>
      <c r="S464" s="9"/>
      <c r="U464" s="8"/>
      <c r="V464" s="9"/>
      <c r="W464" s="9"/>
      <c r="X464" s="9"/>
      <c r="Y464" s="9"/>
      <c r="Z464" s="9"/>
      <c r="AA464" s="9"/>
      <c r="AB464" s="9"/>
      <c r="AC464" s="9"/>
      <c r="AD464" s="9"/>
    </row>
    <row r="465" spans="1:30" ht="18.75" x14ac:dyDescent="0.3">
      <c r="A465" s="42"/>
      <c r="B465" s="42"/>
      <c r="C465" s="74"/>
      <c r="D465" s="74"/>
      <c r="E465" s="70"/>
      <c r="F465" s="70"/>
      <c r="G465" s="70"/>
      <c r="H465" s="70"/>
      <c r="I465" s="70"/>
      <c r="J465" s="77"/>
      <c r="K465" s="77"/>
      <c r="L465" s="9"/>
      <c r="M465" s="42"/>
      <c r="N465" s="42"/>
      <c r="O465" s="9"/>
      <c r="P465" s="9"/>
      <c r="Q465" s="9"/>
      <c r="R465" s="33"/>
      <c r="S465" s="9"/>
      <c r="U465" s="8"/>
      <c r="V465" s="9"/>
      <c r="W465" s="9"/>
      <c r="X465" s="9"/>
      <c r="Y465" s="9"/>
      <c r="Z465" s="9"/>
      <c r="AA465" s="9"/>
      <c r="AB465" s="9"/>
      <c r="AC465" s="9"/>
      <c r="AD465" s="9"/>
    </row>
    <row r="466" spans="1:30" ht="18.75" x14ac:dyDescent="0.3">
      <c r="A466" s="42"/>
      <c r="B466" s="42"/>
      <c r="C466" s="74"/>
      <c r="D466" s="74"/>
      <c r="E466" s="70"/>
      <c r="F466" s="70"/>
      <c r="G466" s="70"/>
      <c r="H466" s="70"/>
      <c r="I466" s="70"/>
      <c r="J466" s="77"/>
      <c r="K466" s="77"/>
      <c r="L466" s="9"/>
      <c r="M466" s="42"/>
      <c r="N466" s="42"/>
      <c r="O466" s="9"/>
      <c r="P466" s="9"/>
      <c r="Q466" s="9"/>
      <c r="R466" s="33"/>
      <c r="S466" s="9"/>
      <c r="U466" s="8"/>
      <c r="V466" s="9"/>
      <c r="W466" s="9"/>
      <c r="X466" s="9"/>
      <c r="Y466" s="9"/>
      <c r="Z466" s="9"/>
      <c r="AA466" s="9"/>
      <c r="AB466" s="9"/>
      <c r="AC466" s="9"/>
      <c r="AD466" s="9"/>
    </row>
    <row r="467" spans="1:30" ht="18.75" x14ac:dyDescent="0.3">
      <c r="A467" s="42"/>
      <c r="B467" s="42"/>
      <c r="C467" s="74"/>
      <c r="D467" s="74"/>
      <c r="E467" s="70"/>
      <c r="F467" s="70"/>
      <c r="G467" s="70"/>
      <c r="H467" s="70"/>
      <c r="I467" s="70"/>
      <c r="J467" s="77"/>
      <c r="K467" s="77"/>
      <c r="L467" s="9"/>
      <c r="M467" s="42"/>
      <c r="N467" s="42"/>
      <c r="O467" s="9"/>
      <c r="P467" s="9"/>
      <c r="Q467" s="9"/>
      <c r="R467" s="33"/>
      <c r="S467" s="9"/>
      <c r="U467" s="8"/>
      <c r="V467" s="9"/>
      <c r="W467" s="9"/>
      <c r="X467" s="9"/>
      <c r="Y467" s="9"/>
      <c r="Z467" s="9"/>
      <c r="AA467" s="9"/>
      <c r="AB467" s="9"/>
      <c r="AC467" s="9"/>
      <c r="AD467" s="9"/>
    </row>
    <row r="468" spans="1:30" ht="18.75" x14ac:dyDescent="0.3">
      <c r="A468" s="42"/>
      <c r="B468" s="42"/>
      <c r="C468" s="74"/>
      <c r="D468" s="74"/>
      <c r="E468" s="70"/>
      <c r="F468" s="70"/>
      <c r="G468" s="70"/>
      <c r="H468" s="70"/>
      <c r="I468" s="70"/>
      <c r="J468" s="77"/>
      <c r="K468" s="77"/>
      <c r="L468" s="9"/>
      <c r="M468" s="42"/>
      <c r="N468" s="42"/>
      <c r="O468" s="9"/>
      <c r="P468" s="9"/>
      <c r="Q468" s="9"/>
      <c r="R468" s="33"/>
      <c r="S468" s="9"/>
      <c r="U468" s="8"/>
      <c r="V468" s="9"/>
      <c r="W468" s="9"/>
      <c r="X468" s="9"/>
      <c r="Y468" s="9"/>
      <c r="Z468" s="9"/>
      <c r="AA468" s="9"/>
      <c r="AB468" s="9"/>
      <c r="AC468" s="9"/>
      <c r="AD468" s="9"/>
    </row>
    <row r="469" spans="1:30" ht="18.75" x14ac:dyDescent="0.3">
      <c r="A469" s="42"/>
      <c r="B469" s="42"/>
      <c r="C469" s="74"/>
      <c r="D469" s="74"/>
      <c r="E469" s="70"/>
      <c r="F469" s="70"/>
      <c r="G469" s="70"/>
      <c r="H469" s="70"/>
      <c r="I469" s="70"/>
      <c r="J469" s="77"/>
      <c r="K469" s="77"/>
      <c r="L469" s="9"/>
      <c r="M469" s="42"/>
      <c r="N469" s="42"/>
      <c r="O469" s="9"/>
      <c r="P469" s="9"/>
      <c r="Q469" s="9"/>
      <c r="R469" s="33"/>
      <c r="S469" s="9"/>
      <c r="U469" s="8"/>
      <c r="V469" s="9"/>
      <c r="W469" s="9"/>
      <c r="X469" s="9"/>
      <c r="Y469" s="9"/>
      <c r="Z469" s="9"/>
      <c r="AA469" s="9"/>
      <c r="AB469" s="9"/>
      <c r="AC469" s="9"/>
      <c r="AD469" s="9"/>
    </row>
    <row r="470" spans="1:30" ht="18.75" x14ac:dyDescent="0.3">
      <c r="A470" s="42"/>
      <c r="B470" s="42"/>
      <c r="C470" s="74"/>
      <c r="D470" s="74"/>
      <c r="E470" s="70"/>
      <c r="F470" s="70"/>
      <c r="G470" s="70"/>
      <c r="H470" s="70"/>
      <c r="I470" s="70"/>
      <c r="J470" s="77"/>
      <c r="K470" s="77"/>
      <c r="L470" s="9"/>
      <c r="M470" s="42"/>
      <c r="N470" s="42"/>
      <c r="O470" s="9"/>
      <c r="P470" s="9"/>
      <c r="Q470" s="9"/>
      <c r="R470" s="33"/>
      <c r="S470" s="9"/>
      <c r="U470" s="8"/>
      <c r="V470" s="9"/>
      <c r="W470" s="9"/>
      <c r="X470" s="9"/>
      <c r="Y470" s="9"/>
      <c r="Z470" s="9"/>
      <c r="AA470" s="9"/>
      <c r="AB470" s="9"/>
      <c r="AC470" s="9"/>
      <c r="AD470" s="9"/>
    </row>
    <row r="471" spans="1:30" ht="18.75" x14ac:dyDescent="0.3">
      <c r="A471" s="42"/>
      <c r="B471" s="42"/>
      <c r="C471" s="74"/>
      <c r="D471" s="74"/>
      <c r="E471" s="70"/>
      <c r="F471" s="70"/>
      <c r="G471" s="70"/>
      <c r="H471" s="70"/>
      <c r="I471" s="70"/>
      <c r="J471" s="77"/>
      <c r="K471" s="77"/>
      <c r="L471" s="9"/>
      <c r="M471" s="42"/>
      <c r="N471" s="42"/>
      <c r="O471" s="9"/>
      <c r="P471" s="9"/>
      <c r="Q471" s="9"/>
      <c r="R471" s="33"/>
      <c r="S471" s="9"/>
      <c r="U471" s="8"/>
      <c r="V471" s="9"/>
      <c r="W471" s="9"/>
      <c r="X471" s="9"/>
      <c r="Y471" s="9"/>
      <c r="Z471" s="9"/>
      <c r="AA471" s="9"/>
      <c r="AB471" s="9"/>
      <c r="AC471" s="9"/>
      <c r="AD471" s="9"/>
    </row>
    <row r="472" spans="1:30" ht="18.75" x14ac:dyDescent="0.3">
      <c r="A472" s="42"/>
      <c r="B472" s="42"/>
      <c r="C472" s="74"/>
      <c r="D472" s="74"/>
      <c r="E472" s="70"/>
      <c r="F472" s="70"/>
      <c r="G472" s="70"/>
      <c r="H472" s="70"/>
      <c r="I472" s="70"/>
      <c r="J472" s="77"/>
      <c r="K472" s="77"/>
      <c r="L472" s="9"/>
      <c r="M472" s="42"/>
      <c r="N472" s="42"/>
      <c r="O472" s="9"/>
      <c r="P472" s="9"/>
      <c r="Q472" s="9"/>
      <c r="R472" s="33"/>
      <c r="S472" s="9"/>
      <c r="U472" s="8"/>
      <c r="V472" s="9"/>
      <c r="W472" s="9"/>
      <c r="X472" s="9"/>
      <c r="Y472" s="9"/>
      <c r="Z472" s="9"/>
      <c r="AA472" s="9"/>
      <c r="AB472" s="9"/>
      <c r="AC472" s="9"/>
      <c r="AD472" s="9"/>
    </row>
    <row r="473" spans="1:30" ht="18.75" x14ac:dyDescent="0.3">
      <c r="A473" s="42"/>
      <c r="B473" s="42"/>
      <c r="C473" s="74"/>
      <c r="D473" s="74"/>
      <c r="E473" s="70"/>
      <c r="F473" s="70"/>
      <c r="G473" s="70"/>
      <c r="H473" s="70"/>
      <c r="I473" s="70"/>
      <c r="J473" s="77"/>
      <c r="K473" s="77"/>
      <c r="L473" s="9"/>
      <c r="M473" s="42"/>
      <c r="N473" s="42"/>
      <c r="O473" s="9"/>
      <c r="P473" s="9"/>
      <c r="Q473" s="9"/>
      <c r="R473" s="33"/>
      <c r="S473" s="9"/>
      <c r="U473" s="8"/>
      <c r="V473" s="9"/>
      <c r="W473" s="9"/>
      <c r="X473" s="9"/>
      <c r="Y473" s="9"/>
      <c r="Z473" s="9"/>
      <c r="AA473" s="9"/>
      <c r="AB473" s="9"/>
      <c r="AC473" s="9"/>
      <c r="AD473" s="9"/>
    </row>
    <row r="474" spans="1:30" ht="18.75" x14ac:dyDescent="0.3">
      <c r="A474" s="42"/>
      <c r="B474" s="42"/>
      <c r="C474" s="74"/>
      <c r="D474" s="74"/>
      <c r="E474" s="70"/>
      <c r="F474" s="70"/>
      <c r="G474" s="70"/>
      <c r="H474" s="70"/>
      <c r="I474" s="70"/>
      <c r="J474" s="77"/>
      <c r="K474" s="77"/>
      <c r="L474" s="9"/>
      <c r="M474" s="42"/>
      <c r="N474" s="42"/>
      <c r="O474" s="9"/>
      <c r="P474" s="9"/>
      <c r="Q474" s="9"/>
      <c r="R474" s="33"/>
      <c r="S474" s="9"/>
      <c r="U474" s="8"/>
      <c r="V474" s="9"/>
      <c r="W474" s="9"/>
      <c r="X474" s="9"/>
      <c r="Y474" s="9"/>
      <c r="Z474" s="9"/>
      <c r="AA474" s="9"/>
      <c r="AB474" s="9"/>
      <c r="AC474" s="9"/>
      <c r="AD474" s="9"/>
    </row>
    <row r="475" spans="1:30" ht="18.75" x14ac:dyDescent="0.3">
      <c r="A475" s="42"/>
      <c r="B475" s="42"/>
      <c r="C475" s="74"/>
      <c r="D475" s="74"/>
      <c r="E475" s="70"/>
      <c r="F475" s="70"/>
      <c r="G475" s="70"/>
      <c r="H475" s="70"/>
      <c r="I475" s="70"/>
      <c r="J475" s="77"/>
      <c r="K475" s="77"/>
      <c r="L475" s="9"/>
      <c r="M475" s="42"/>
      <c r="N475" s="42"/>
      <c r="O475" s="9"/>
      <c r="P475" s="9"/>
      <c r="Q475" s="9"/>
      <c r="R475" s="33"/>
      <c r="S475" s="9"/>
      <c r="U475" s="8"/>
      <c r="V475" s="9"/>
      <c r="W475" s="9"/>
      <c r="X475" s="9"/>
      <c r="Y475" s="9"/>
      <c r="Z475" s="9"/>
      <c r="AA475" s="9"/>
      <c r="AB475" s="9"/>
      <c r="AC475" s="9"/>
      <c r="AD475" s="9"/>
    </row>
    <row r="476" spans="1:30" ht="18.75" x14ac:dyDescent="0.3">
      <c r="A476" s="42"/>
      <c r="B476" s="42"/>
      <c r="C476" s="74"/>
      <c r="D476" s="74"/>
      <c r="E476" s="70"/>
      <c r="F476" s="70"/>
      <c r="G476" s="70"/>
      <c r="H476" s="70"/>
      <c r="I476" s="70"/>
      <c r="J476" s="77"/>
      <c r="K476" s="77"/>
      <c r="L476" s="9"/>
      <c r="M476" s="42"/>
      <c r="N476" s="42"/>
      <c r="O476" s="9"/>
      <c r="P476" s="9"/>
      <c r="Q476" s="9"/>
      <c r="R476" s="33"/>
      <c r="S476" s="9"/>
      <c r="U476" s="8"/>
      <c r="V476" s="9"/>
      <c r="W476" s="9"/>
      <c r="X476" s="9"/>
      <c r="Y476" s="9"/>
      <c r="Z476" s="9"/>
      <c r="AA476" s="9"/>
      <c r="AB476" s="9"/>
      <c r="AC476" s="9"/>
      <c r="AD476" s="9"/>
    </row>
    <row r="477" spans="1:30" ht="18.75" x14ac:dyDescent="0.3">
      <c r="A477" s="42"/>
      <c r="B477" s="42"/>
      <c r="C477" s="74"/>
      <c r="D477" s="74"/>
      <c r="E477" s="70"/>
      <c r="F477" s="70"/>
      <c r="G477" s="70"/>
      <c r="H477" s="70"/>
      <c r="I477" s="70"/>
      <c r="J477" s="77"/>
      <c r="K477" s="77"/>
      <c r="L477" s="9"/>
      <c r="M477" s="42"/>
      <c r="N477" s="42"/>
      <c r="O477" s="9"/>
      <c r="P477" s="9"/>
      <c r="Q477" s="9"/>
      <c r="R477" s="33"/>
      <c r="S477" s="9"/>
      <c r="U477" s="8"/>
      <c r="V477" s="9"/>
      <c r="W477" s="9"/>
      <c r="X477" s="9"/>
      <c r="Y477" s="9"/>
      <c r="Z477" s="9"/>
      <c r="AA477" s="9"/>
      <c r="AB477" s="9"/>
      <c r="AC477" s="9"/>
      <c r="AD477" s="9"/>
    </row>
    <row r="478" spans="1:30" ht="18.75" x14ac:dyDescent="0.3">
      <c r="A478" s="42"/>
      <c r="B478" s="42"/>
      <c r="C478" s="74"/>
      <c r="D478" s="74"/>
      <c r="E478" s="70"/>
      <c r="F478" s="70"/>
      <c r="G478" s="70"/>
      <c r="H478" s="70"/>
      <c r="I478" s="70"/>
      <c r="J478" s="77"/>
      <c r="K478" s="77"/>
      <c r="L478" s="9"/>
      <c r="M478" s="42"/>
      <c r="N478" s="42"/>
      <c r="O478" s="9"/>
      <c r="P478" s="9"/>
      <c r="Q478" s="9"/>
      <c r="R478" s="33"/>
      <c r="S478" s="9"/>
      <c r="U478" s="8"/>
      <c r="V478" s="9"/>
      <c r="W478" s="9"/>
      <c r="X478" s="9"/>
      <c r="Y478" s="9"/>
      <c r="Z478" s="9"/>
      <c r="AA478" s="9"/>
      <c r="AB478" s="9"/>
      <c r="AC478" s="9"/>
      <c r="AD478" s="9"/>
    </row>
    <row r="479" spans="1:30" ht="18.75" x14ac:dyDescent="0.3">
      <c r="A479" s="42"/>
      <c r="B479" s="42"/>
      <c r="C479" s="74"/>
      <c r="D479" s="74"/>
      <c r="E479" s="70"/>
      <c r="F479" s="70"/>
      <c r="G479" s="70"/>
      <c r="H479" s="70"/>
      <c r="I479" s="70"/>
      <c r="J479" s="77"/>
      <c r="K479" s="77"/>
      <c r="L479" s="9"/>
      <c r="M479" s="42"/>
      <c r="N479" s="42"/>
      <c r="O479" s="9"/>
      <c r="P479" s="9"/>
      <c r="Q479" s="9"/>
      <c r="R479" s="33"/>
      <c r="S479" s="9"/>
      <c r="U479" s="8"/>
      <c r="V479" s="9"/>
      <c r="W479" s="9"/>
      <c r="X479" s="9"/>
      <c r="Y479" s="9"/>
      <c r="Z479" s="9"/>
      <c r="AA479" s="9"/>
      <c r="AB479" s="9"/>
      <c r="AC479" s="9"/>
      <c r="AD479" s="9"/>
    </row>
    <row r="480" spans="1:30" ht="18.75" x14ac:dyDescent="0.3">
      <c r="A480" s="42"/>
      <c r="B480" s="42"/>
      <c r="C480" s="74"/>
      <c r="D480" s="74"/>
      <c r="E480" s="70"/>
      <c r="F480" s="70"/>
      <c r="G480" s="70"/>
      <c r="H480" s="70"/>
      <c r="I480" s="70"/>
      <c r="J480" s="77"/>
      <c r="K480" s="77"/>
      <c r="L480" s="9"/>
      <c r="M480" s="42"/>
      <c r="N480" s="42"/>
      <c r="O480" s="9"/>
      <c r="P480" s="9"/>
      <c r="Q480" s="9"/>
      <c r="R480" s="33"/>
      <c r="S480" s="9"/>
      <c r="U480" s="8"/>
      <c r="V480" s="9"/>
      <c r="W480" s="9"/>
      <c r="X480" s="9"/>
      <c r="Y480" s="9"/>
      <c r="Z480" s="9"/>
      <c r="AA480" s="9"/>
      <c r="AB480" s="9"/>
      <c r="AC480" s="9"/>
      <c r="AD480" s="9"/>
    </row>
    <row r="481" spans="1:30" ht="18.75" x14ac:dyDescent="0.3">
      <c r="A481" s="42"/>
      <c r="B481" s="42"/>
      <c r="C481" s="74"/>
      <c r="D481" s="74"/>
      <c r="E481" s="70"/>
      <c r="F481" s="70"/>
      <c r="G481" s="70"/>
      <c r="H481" s="70"/>
      <c r="I481" s="70"/>
      <c r="J481" s="77"/>
      <c r="K481" s="77"/>
      <c r="L481" s="9"/>
      <c r="M481" s="42"/>
      <c r="N481" s="42"/>
      <c r="O481" s="9"/>
      <c r="P481" s="9"/>
      <c r="Q481" s="9"/>
      <c r="R481" s="33"/>
      <c r="S481" s="9"/>
      <c r="U481" s="8"/>
      <c r="V481" s="9"/>
      <c r="W481" s="9"/>
      <c r="X481" s="9"/>
      <c r="Y481" s="9"/>
      <c r="Z481" s="9"/>
      <c r="AA481" s="9"/>
      <c r="AB481" s="9"/>
      <c r="AC481" s="9"/>
      <c r="AD481" s="9"/>
    </row>
    <row r="482" spans="1:30" ht="18.75" x14ac:dyDescent="0.3">
      <c r="A482" s="42"/>
      <c r="B482" s="42"/>
      <c r="C482" s="74"/>
      <c r="D482" s="74"/>
      <c r="E482" s="70"/>
      <c r="F482" s="70"/>
      <c r="G482" s="70"/>
      <c r="H482" s="70"/>
      <c r="I482" s="70"/>
      <c r="J482" s="77"/>
      <c r="K482" s="77"/>
      <c r="L482" s="9"/>
      <c r="M482" s="42"/>
      <c r="N482" s="42"/>
      <c r="O482" s="9"/>
      <c r="P482" s="9"/>
      <c r="Q482" s="9"/>
      <c r="R482" s="33"/>
      <c r="S482" s="9"/>
      <c r="U482" s="8"/>
      <c r="V482" s="9"/>
      <c r="W482" s="9"/>
      <c r="X482" s="9"/>
      <c r="Y482" s="9"/>
      <c r="Z482" s="9"/>
      <c r="AA482" s="9"/>
      <c r="AB482" s="9"/>
      <c r="AC482" s="9"/>
      <c r="AD482" s="9"/>
    </row>
    <row r="483" spans="1:30" ht="18.75" x14ac:dyDescent="0.3">
      <c r="A483" s="42"/>
      <c r="B483" s="42"/>
      <c r="C483" s="74"/>
      <c r="D483" s="74"/>
      <c r="E483" s="70"/>
      <c r="F483" s="70"/>
      <c r="G483" s="70"/>
      <c r="H483" s="70"/>
      <c r="I483" s="70"/>
      <c r="J483" s="77"/>
      <c r="K483" s="77"/>
      <c r="L483" s="9"/>
      <c r="M483" s="42"/>
      <c r="N483" s="42"/>
      <c r="O483" s="9"/>
      <c r="P483" s="9"/>
      <c r="Q483" s="9"/>
      <c r="R483" s="33"/>
      <c r="S483" s="9"/>
      <c r="U483" s="8"/>
      <c r="V483" s="9"/>
      <c r="W483" s="9"/>
      <c r="X483" s="9"/>
      <c r="Y483" s="9"/>
      <c r="Z483" s="9"/>
      <c r="AA483" s="9"/>
      <c r="AB483" s="9"/>
      <c r="AC483" s="9"/>
      <c r="AD483" s="9"/>
    </row>
    <row r="484" spans="1:30" ht="18.75" x14ac:dyDescent="0.3">
      <c r="A484" s="42"/>
      <c r="B484" s="42"/>
      <c r="C484" s="74"/>
      <c r="D484" s="74"/>
      <c r="E484" s="70"/>
      <c r="F484" s="70"/>
      <c r="G484" s="70"/>
      <c r="H484" s="70"/>
      <c r="I484" s="70"/>
      <c r="J484" s="77"/>
      <c r="K484" s="77"/>
      <c r="L484" s="9"/>
      <c r="M484" s="42"/>
      <c r="N484" s="42"/>
      <c r="O484" s="9"/>
      <c r="P484" s="9"/>
      <c r="Q484" s="9"/>
      <c r="R484" s="33"/>
      <c r="S484" s="9"/>
      <c r="U484" s="8"/>
      <c r="V484" s="9"/>
      <c r="W484" s="9"/>
      <c r="X484" s="9"/>
      <c r="Y484" s="9"/>
      <c r="Z484" s="9"/>
      <c r="AA484" s="9"/>
      <c r="AB484" s="9"/>
      <c r="AC484" s="9"/>
      <c r="AD484" s="9"/>
    </row>
    <row r="485" spans="1:30" ht="18.75" x14ac:dyDescent="0.3">
      <c r="A485" s="42"/>
      <c r="B485" s="42"/>
      <c r="C485" s="74"/>
      <c r="D485" s="74"/>
      <c r="E485" s="70"/>
      <c r="F485" s="70"/>
      <c r="G485" s="70"/>
      <c r="H485" s="70"/>
      <c r="I485" s="70"/>
      <c r="J485" s="77"/>
      <c r="K485" s="77"/>
      <c r="L485" s="9"/>
      <c r="M485" s="42"/>
      <c r="N485" s="42"/>
      <c r="O485" s="9"/>
      <c r="P485" s="9"/>
      <c r="Q485" s="9"/>
      <c r="R485" s="33"/>
      <c r="S485" s="9"/>
      <c r="U485" s="8"/>
      <c r="V485" s="9"/>
      <c r="W485" s="9"/>
      <c r="X485" s="9"/>
      <c r="Y485" s="9"/>
      <c r="Z485" s="9"/>
      <c r="AA485" s="9"/>
      <c r="AB485" s="9"/>
      <c r="AC485" s="9"/>
      <c r="AD485" s="9"/>
    </row>
    <row r="486" spans="1:30" ht="18.75" x14ac:dyDescent="0.3">
      <c r="A486" s="42"/>
      <c r="B486" s="42"/>
      <c r="C486" s="74"/>
      <c r="D486" s="74"/>
      <c r="E486" s="70"/>
      <c r="F486" s="70"/>
      <c r="G486" s="70"/>
      <c r="H486" s="70"/>
      <c r="I486" s="70"/>
      <c r="J486" s="77"/>
      <c r="K486" s="77"/>
      <c r="L486" s="9"/>
      <c r="M486" s="42"/>
      <c r="N486" s="42"/>
      <c r="O486" s="9"/>
      <c r="P486" s="9"/>
      <c r="Q486" s="9"/>
      <c r="R486" s="33"/>
      <c r="S486" s="9"/>
      <c r="U486" s="8"/>
      <c r="V486" s="9"/>
      <c r="W486" s="9"/>
      <c r="X486" s="9"/>
      <c r="Y486" s="9"/>
      <c r="Z486" s="9"/>
      <c r="AA486" s="9"/>
      <c r="AB486" s="9"/>
      <c r="AC486" s="9"/>
      <c r="AD486" s="9"/>
    </row>
    <row r="487" spans="1:30" ht="18.75" x14ac:dyDescent="0.3">
      <c r="A487" s="42"/>
      <c r="B487" s="42"/>
      <c r="C487" s="74"/>
      <c r="D487" s="74"/>
      <c r="E487" s="70"/>
      <c r="F487" s="70"/>
      <c r="G487" s="70"/>
      <c r="H487" s="70"/>
      <c r="I487" s="70"/>
      <c r="J487" s="77"/>
      <c r="K487" s="77"/>
      <c r="L487" s="9"/>
      <c r="M487" s="42"/>
      <c r="N487" s="42"/>
      <c r="O487" s="9"/>
      <c r="P487" s="9"/>
      <c r="Q487" s="9"/>
      <c r="R487" s="33"/>
      <c r="S487" s="9"/>
      <c r="U487" s="8"/>
      <c r="V487" s="9"/>
      <c r="W487" s="9"/>
      <c r="X487" s="9"/>
      <c r="Y487" s="9"/>
      <c r="Z487" s="9"/>
      <c r="AA487" s="9"/>
      <c r="AB487" s="9"/>
      <c r="AC487" s="9"/>
      <c r="AD487" s="9"/>
    </row>
    <row r="488" spans="1:30" ht="18.75" x14ac:dyDescent="0.3">
      <c r="A488" s="42"/>
      <c r="B488" s="42"/>
      <c r="C488" s="74"/>
      <c r="D488" s="74"/>
      <c r="E488" s="70"/>
      <c r="F488" s="70"/>
      <c r="G488" s="70"/>
      <c r="H488" s="70"/>
      <c r="I488" s="70"/>
      <c r="J488" s="77"/>
      <c r="K488" s="77"/>
      <c r="L488" s="9"/>
      <c r="M488" s="42"/>
      <c r="N488" s="42"/>
      <c r="O488" s="9"/>
      <c r="P488" s="9"/>
      <c r="Q488" s="9"/>
      <c r="R488" s="33"/>
      <c r="S488" s="9"/>
      <c r="U488" s="8"/>
      <c r="V488" s="9"/>
      <c r="W488" s="9"/>
      <c r="X488" s="9"/>
      <c r="Y488" s="9"/>
      <c r="Z488" s="9"/>
      <c r="AA488" s="9"/>
      <c r="AB488" s="9"/>
      <c r="AC488" s="9"/>
      <c r="AD488" s="9"/>
    </row>
    <row r="489" spans="1:30" ht="18.75" x14ac:dyDescent="0.3">
      <c r="A489" s="42"/>
      <c r="B489" s="42"/>
      <c r="C489" s="74"/>
      <c r="D489" s="74"/>
      <c r="E489" s="70"/>
      <c r="F489" s="70"/>
      <c r="G489" s="70"/>
      <c r="H489" s="70"/>
      <c r="I489" s="70"/>
      <c r="J489" s="77"/>
      <c r="K489" s="77"/>
      <c r="L489" s="9"/>
      <c r="M489" s="42"/>
      <c r="N489" s="42"/>
      <c r="O489" s="9"/>
      <c r="P489" s="9"/>
      <c r="Q489" s="9"/>
      <c r="R489" s="33"/>
      <c r="S489" s="9"/>
      <c r="U489" s="8"/>
      <c r="V489" s="9"/>
      <c r="W489" s="9"/>
      <c r="X489" s="9"/>
      <c r="Y489" s="9"/>
      <c r="Z489" s="9"/>
      <c r="AA489" s="9"/>
      <c r="AB489" s="9"/>
      <c r="AC489" s="9"/>
      <c r="AD489" s="9"/>
    </row>
    <row r="490" spans="1:30" ht="18.75" x14ac:dyDescent="0.3">
      <c r="A490" s="42"/>
      <c r="B490" s="42"/>
      <c r="C490" s="74"/>
      <c r="D490" s="74"/>
      <c r="E490" s="70"/>
      <c r="F490" s="70"/>
      <c r="G490" s="70"/>
      <c r="H490" s="70"/>
      <c r="I490" s="70"/>
      <c r="J490" s="77"/>
      <c r="K490" s="77"/>
      <c r="L490" s="9"/>
      <c r="M490" s="42"/>
      <c r="N490" s="42"/>
      <c r="O490" s="9"/>
      <c r="P490" s="9"/>
      <c r="Q490" s="9"/>
      <c r="R490" s="33"/>
      <c r="S490" s="9"/>
      <c r="U490" s="8"/>
      <c r="V490" s="9"/>
      <c r="W490" s="9"/>
      <c r="X490" s="9"/>
      <c r="Y490" s="9"/>
      <c r="Z490" s="9"/>
      <c r="AA490" s="9"/>
      <c r="AB490" s="9"/>
      <c r="AC490" s="9"/>
      <c r="AD490" s="9"/>
    </row>
    <row r="491" spans="1:30" ht="18.75" x14ac:dyDescent="0.3">
      <c r="A491" s="42"/>
      <c r="B491" s="42"/>
      <c r="C491" s="74"/>
      <c r="D491" s="74"/>
      <c r="E491" s="70"/>
      <c r="F491" s="70"/>
      <c r="G491" s="70"/>
      <c r="H491" s="70"/>
      <c r="I491" s="70"/>
      <c r="J491" s="77"/>
      <c r="K491" s="77"/>
      <c r="L491" s="9"/>
      <c r="M491" s="42"/>
      <c r="N491" s="42"/>
      <c r="O491" s="9"/>
      <c r="P491" s="9"/>
      <c r="Q491" s="9"/>
      <c r="R491" s="33"/>
      <c r="S491" s="9"/>
      <c r="U491" s="8"/>
      <c r="V491" s="9"/>
      <c r="W491" s="9"/>
      <c r="X491" s="9"/>
      <c r="Y491" s="9"/>
      <c r="Z491" s="9"/>
      <c r="AA491" s="9"/>
      <c r="AB491" s="9"/>
      <c r="AC491" s="9"/>
      <c r="AD491" s="9"/>
    </row>
    <row r="492" spans="1:30" ht="18.75" x14ac:dyDescent="0.3">
      <c r="A492" s="42"/>
      <c r="B492" s="42"/>
      <c r="C492" s="74"/>
      <c r="D492" s="74"/>
      <c r="E492" s="70"/>
      <c r="F492" s="70"/>
      <c r="G492" s="70"/>
      <c r="H492" s="70"/>
      <c r="I492" s="70"/>
      <c r="J492" s="77"/>
      <c r="K492" s="77"/>
      <c r="L492" s="9"/>
      <c r="M492" s="42"/>
      <c r="N492" s="42"/>
      <c r="O492" s="9"/>
      <c r="P492" s="9"/>
      <c r="Q492" s="9"/>
      <c r="R492" s="33"/>
      <c r="S492" s="9"/>
      <c r="U492" s="8"/>
      <c r="V492" s="9"/>
      <c r="W492" s="9"/>
      <c r="X492" s="9"/>
      <c r="Y492" s="9"/>
      <c r="Z492" s="9"/>
      <c r="AA492" s="9"/>
      <c r="AB492" s="9"/>
      <c r="AC492" s="9"/>
      <c r="AD492" s="9"/>
    </row>
    <row r="493" spans="1:30" ht="18.75" x14ac:dyDescent="0.3">
      <c r="A493" s="42"/>
      <c r="B493" s="42"/>
      <c r="C493" s="74"/>
      <c r="D493" s="74"/>
      <c r="E493" s="70"/>
      <c r="F493" s="70"/>
      <c r="G493" s="70"/>
      <c r="H493" s="70"/>
      <c r="I493" s="70"/>
      <c r="J493" s="77"/>
      <c r="K493" s="77"/>
      <c r="L493" s="9"/>
      <c r="M493" s="42"/>
      <c r="N493" s="42"/>
      <c r="O493" s="9"/>
      <c r="P493" s="9"/>
      <c r="Q493" s="9"/>
      <c r="R493" s="33"/>
      <c r="S493" s="9"/>
      <c r="U493" s="8"/>
      <c r="V493" s="9"/>
      <c r="W493" s="9"/>
      <c r="X493" s="9"/>
      <c r="Y493" s="9"/>
      <c r="Z493" s="9"/>
      <c r="AA493" s="9"/>
      <c r="AB493" s="9"/>
      <c r="AC493" s="9"/>
      <c r="AD493" s="9"/>
    </row>
    <row r="494" spans="1:30" ht="18.75" x14ac:dyDescent="0.3">
      <c r="A494" s="42"/>
      <c r="B494" s="42"/>
      <c r="C494" s="74"/>
      <c r="D494" s="74"/>
      <c r="E494" s="70"/>
      <c r="F494" s="70"/>
      <c r="G494" s="70"/>
      <c r="H494" s="70"/>
      <c r="I494" s="70"/>
      <c r="J494" s="77"/>
      <c r="K494" s="77"/>
      <c r="L494" s="9"/>
      <c r="M494" s="42"/>
      <c r="N494" s="42"/>
      <c r="O494" s="9"/>
      <c r="P494" s="9"/>
      <c r="Q494" s="9"/>
      <c r="R494" s="33"/>
      <c r="S494" s="9"/>
      <c r="U494" s="8"/>
      <c r="V494" s="9"/>
      <c r="W494" s="9"/>
      <c r="X494" s="9"/>
      <c r="Y494" s="9"/>
      <c r="Z494" s="9"/>
      <c r="AA494" s="9"/>
      <c r="AB494" s="9"/>
      <c r="AC494" s="9"/>
      <c r="AD494" s="9"/>
    </row>
    <row r="495" spans="1:30" ht="18.75" x14ac:dyDescent="0.3">
      <c r="A495" s="42"/>
      <c r="B495" s="42"/>
      <c r="C495" s="74"/>
      <c r="D495" s="74"/>
      <c r="E495" s="70"/>
      <c r="F495" s="70"/>
      <c r="G495" s="70"/>
      <c r="H495" s="70"/>
      <c r="I495" s="70"/>
      <c r="J495" s="77"/>
      <c r="K495" s="77"/>
      <c r="L495" s="9"/>
      <c r="M495" s="42"/>
      <c r="N495" s="42"/>
      <c r="O495" s="9"/>
      <c r="P495" s="9"/>
      <c r="Q495" s="9"/>
      <c r="R495" s="33"/>
      <c r="S495" s="9"/>
      <c r="U495" s="8"/>
      <c r="V495" s="9"/>
      <c r="W495" s="9"/>
      <c r="X495" s="9"/>
      <c r="Y495" s="9"/>
      <c r="Z495" s="9"/>
      <c r="AA495" s="9"/>
      <c r="AB495" s="9"/>
      <c r="AC495" s="9"/>
      <c r="AD495" s="9"/>
    </row>
    <row r="496" spans="1:30" ht="18.75" x14ac:dyDescent="0.3">
      <c r="A496" s="42"/>
      <c r="B496" s="42"/>
      <c r="C496" s="74"/>
      <c r="D496" s="74"/>
      <c r="E496" s="70"/>
      <c r="F496" s="70"/>
      <c r="G496" s="70"/>
      <c r="H496" s="70"/>
      <c r="I496" s="70"/>
      <c r="J496" s="77"/>
      <c r="K496" s="77"/>
      <c r="L496" s="9"/>
      <c r="M496" s="42"/>
      <c r="N496" s="42"/>
      <c r="O496" s="9"/>
      <c r="P496" s="9"/>
      <c r="Q496" s="9"/>
      <c r="R496" s="33"/>
      <c r="S496" s="9"/>
      <c r="U496" s="8"/>
      <c r="V496" s="9"/>
      <c r="W496" s="9"/>
      <c r="X496" s="9"/>
      <c r="Y496" s="9"/>
      <c r="Z496" s="9"/>
      <c r="AA496" s="9"/>
      <c r="AB496" s="9"/>
      <c r="AC496" s="9"/>
      <c r="AD496" s="9"/>
    </row>
    <row r="497" spans="1:30" ht="18.75" x14ac:dyDescent="0.3">
      <c r="A497" s="42"/>
      <c r="B497" s="42"/>
      <c r="C497" s="74"/>
      <c r="D497" s="74"/>
      <c r="E497" s="70"/>
      <c r="F497" s="70"/>
      <c r="G497" s="70"/>
      <c r="H497" s="70"/>
      <c r="I497" s="70"/>
      <c r="J497" s="77"/>
      <c r="K497" s="77"/>
      <c r="L497" s="9"/>
      <c r="M497" s="42"/>
      <c r="N497" s="42"/>
      <c r="O497" s="9"/>
      <c r="P497" s="9"/>
      <c r="Q497" s="9"/>
      <c r="R497" s="33"/>
      <c r="S497" s="9"/>
      <c r="U497" s="8"/>
      <c r="V497" s="9"/>
      <c r="W497" s="9"/>
      <c r="X497" s="9"/>
      <c r="Y497" s="9"/>
      <c r="Z497" s="9"/>
      <c r="AA497" s="9"/>
      <c r="AB497" s="9"/>
      <c r="AC497" s="9"/>
      <c r="AD497" s="9"/>
    </row>
    <row r="498" spans="1:30" ht="18.75" x14ac:dyDescent="0.3">
      <c r="A498" s="42"/>
      <c r="B498" s="42"/>
      <c r="C498" s="74"/>
      <c r="D498" s="74"/>
      <c r="E498" s="70"/>
      <c r="F498" s="70"/>
      <c r="G498" s="70"/>
      <c r="H498" s="70"/>
      <c r="I498" s="70"/>
      <c r="J498" s="77"/>
      <c r="K498" s="77"/>
      <c r="L498" s="9"/>
      <c r="M498" s="42"/>
      <c r="N498" s="42"/>
      <c r="O498" s="9"/>
      <c r="P498" s="9"/>
      <c r="Q498" s="9"/>
      <c r="R498" s="33"/>
      <c r="S498" s="9"/>
      <c r="U498" s="8"/>
      <c r="V498" s="9"/>
      <c r="W498" s="9"/>
      <c r="X498" s="9"/>
      <c r="Y498" s="9"/>
      <c r="Z498" s="9"/>
      <c r="AA498" s="9"/>
      <c r="AB498" s="9"/>
      <c r="AC498" s="9"/>
      <c r="AD498" s="9"/>
    </row>
    <row r="499" spans="1:30" ht="18.75" x14ac:dyDescent="0.3">
      <c r="A499" s="42"/>
      <c r="B499" s="42"/>
      <c r="C499" s="74"/>
      <c r="D499" s="74"/>
      <c r="E499" s="70"/>
      <c r="F499" s="70"/>
      <c r="G499" s="70"/>
      <c r="H499" s="70"/>
      <c r="I499" s="70"/>
      <c r="J499" s="77"/>
      <c r="K499" s="77"/>
      <c r="L499" s="9"/>
      <c r="M499" s="42"/>
      <c r="N499" s="42"/>
      <c r="O499" s="9"/>
      <c r="P499" s="9"/>
      <c r="Q499" s="9"/>
      <c r="R499" s="33"/>
      <c r="S499" s="9"/>
      <c r="U499" s="8"/>
      <c r="V499" s="9"/>
      <c r="W499" s="9"/>
      <c r="X499" s="9"/>
      <c r="Y499" s="9"/>
      <c r="Z499" s="9"/>
      <c r="AA499" s="9"/>
      <c r="AB499" s="9"/>
      <c r="AC499" s="9"/>
      <c r="AD499" s="9"/>
    </row>
    <row r="500" spans="1:30" ht="18.75" x14ac:dyDescent="0.3">
      <c r="A500" s="42"/>
      <c r="B500" s="42"/>
      <c r="C500" s="74"/>
      <c r="D500" s="74"/>
      <c r="E500" s="70"/>
      <c r="F500" s="70"/>
      <c r="G500" s="70"/>
      <c r="H500" s="70"/>
      <c r="I500" s="70"/>
      <c r="J500" s="77"/>
      <c r="K500" s="77"/>
      <c r="L500" s="9"/>
      <c r="M500" s="42"/>
      <c r="N500" s="42"/>
      <c r="O500" s="9"/>
      <c r="P500" s="9"/>
      <c r="Q500" s="9"/>
      <c r="R500" s="33"/>
      <c r="S500" s="9"/>
      <c r="U500" s="8"/>
      <c r="V500" s="9"/>
      <c r="W500" s="9"/>
      <c r="X500" s="9"/>
      <c r="Y500" s="9"/>
      <c r="Z500" s="9"/>
      <c r="AA500" s="9"/>
      <c r="AB500" s="9"/>
      <c r="AC500" s="9"/>
      <c r="AD500" s="9"/>
    </row>
    <row r="501" spans="1:30" ht="18.75" x14ac:dyDescent="0.3">
      <c r="A501" s="42"/>
      <c r="B501" s="42"/>
      <c r="C501" s="74"/>
      <c r="D501" s="74"/>
      <c r="E501" s="70"/>
      <c r="F501" s="70"/>
      <c r="G501" s="70"/>
      <c r="H501" s="70"/>
      <c r="I501" s="70"/>
      <c r="J501" s="77"/>
      <c r="K501" s="77"/>
      <c r="L501" s="9"/>
      <c r="M501" s="42"/>
      <c r="N501" s="42"/>
      <c r="O501" s="9"/>
      <c r="P501" s="9"/>
      <c r="Q501" s="9"/>
      <c r="R501" s="33"/>
      <c r="S501" s="9"/>
      <c r="U501" s="8"/>
      <c r="V501" s="9"/>
      <c r="W501" s="9"/>
      <c r="X501" s="9"/>
      <c r="Y501" s="9"/>
      <c r="Z501" s="9"/>
      <c r="AA501" s="9"/>
      <c r="AB501" s="9"/>
      <c r="AC501" s="9"/>
      <c r="AD501" s="9"/>
    </row>
    <row r="502" spans="1:30" ht="18.75" x14ac:dyDescent="0.3">
      <c r="A502" s="42"/>
      <c r="B502" s="42"/>
      <c r="C502" s="74"/>
      <c r="D502" s="74"/>
      <c r="E502" s="70"/>
      <c r="F502" s="70"/>
      <c r="G502" s="70"/>
      <c r="H502" s="70"/>
      <c r="I502" s="70"/>
      <c r="J502" s="77"/>
      <c r="K502" s="77"/>
      <c r="L502" s="9"/>
      <c r="M502" s="42"/>
      <c r="N502" s="42"/>
      <c r="O502" s="9"/>
      <c r="P502" s="9"/>
      <c r="Q502" s="9"/>
      <c r="R502" s="33"/>
      <c r="S502" s="9"/>
      <c r="U502" s="8"/>
      <c r="V502" s="9"/>
      <c r="W502" s="9"/>
      <c r="X502" s="9"/>
      <c r="Y502" s="9"/>
      <c r="Z502" s="9"/>
      <c r="AA502" s="9"/>
      <c r="AB502" s="9"/>
      <c r="AC502" s="9"/>
      <c r="AD502" s="9"/>
    </row>
    <row r="503" spans="1:30" ht="18.75" x14ac:dyDescent="0.3">
      <c r="A503" s="42"/>
      <c r="B503" s="42"/>
      <c r="C503" s="74"/>
      <c r="D503" s="74"/>
      <c r="E503" s="70"/>
      <c r="F503" s="70"/>
      <c r="G503" s="70"/>
      <c r="H503" s="70"/>
      <c r="I503" s="70"/>
      <c r="J503" s="77"/>
      <c r="K503" s="77"/>
      <c r="L503" s="9"/>
      <c r="M503" s="42"/>
      <c r="N503" s="42"/>
      <c r="O503" s="9"/>
      <c r="P503" s="9"/>
      <c r="Q503" s="9"/>
      <c r="R503" s="33"/>
      <c r="S503" s="9"/>
      <c r="U503" s="8"/>
      <c r="V503" s="9"/>
      <c r="W503" s="9"/>
      <c r="X503" s="9"/>
      <c r="Y503" s="9"/>
      <c r="Z503" s="9"/>
      <c r="AA503" s="9"/>
      <c r="AB503" s="9"/>
      <c r="AC503" s="9"/>
      <c r="AD503" s="9"/>
    </row>
    <row r="504" spans="1:30" ht="18.75" x14ac:dyDescent="0.3">
      <c r="A504" s="42"/>
      <c r="B504" s="42"/>
      <c r="C504" s="74"/>
      <c r="D504" s="74"/>
      <c r="E504" s="70"/>
      <c r="F504" s="70"/>
      <c r="G504" s="70"/>
      <c r="H504" s="70"/>
      <c r="I504" s="70"/>
      <c r="J504" s="77"/>
      <c r="K504" s="77"/>
      <c r="L504" s="9"/>
      <c r="M504" s="42"/>
      <c r="N504" s="42"/>
      <c r="O504" s="9"/>
      <c r="P504" s="9"/>
      <c r="Q504" s="9"/>
      <c r="R504" s="33"/>
      <c r="S504" s="9"/>
      <c r="U504" s="8"/>
      <c r="V504" s="9"/>
      <c r="W504" s="9"/>
      <c r="X504" s="9"/>
      <c r="Y504" s="9"/>
      <c r="Z504" s="9"/>
      <c r="AA504" s="9"/>
      <c r="AB504" s="9"/>
      <c r="AC504" s="9"/>
      <c r="AD504" s="9"/>
    </row>
    <row r="505" spans="1:30" ht="18.75" x14ac:dyDescent="0.3">
      <c r="A505" s="42"/>
      <c r="B505" s="42"/>
      <c r="C505" s="74"/>
      <c r="D505" s="74"/>
      <c r="E505" s="70"/>
      <c r="F505" s="70"/>
      <c r="G505" s="70"/>
      <c r="H505" s="70"/>
      <c r="I505" s="70"/>
      <c r="J505" s="77"/>
      <c r="K505" s="77"/>
      <c r="L505" s="9"/>
      <c r="M505" s="42"/>
      <c r="N505" s="42"/>
      <c r="O505" s="9"/>
      <c r="P505" s="9"/>
      <c r="Q505" s="9"/>
      <c r="R505" s="33"/>
      <c r="S505" s="9"/>
      <c r="U505" s="8"/>
      <c r="V505" s="9"/>
      <c r="W505" s="9"/>
      <c r="X505" s="9"/>
      <c r="Y505" s="9"/>
      <c r="Z505" s="9"/>
      <c r="AA505" s="9"/>
      <c r="AB505" s="9"/>
      <c r="AC505" s="9"/>
      <c r="AD505" s="9"/>
    </row>
    <row r="506" spans="1:30" ht="18.75" x14ac:dyDescent="0.3">
      <c r="A506" s="42"/>
      <c r="B506" s="42"/>
      <c r="C506" s="74"/>
      <c r="D506" s="74"/>
      <c r="E506" s="70"/>
      <c r="F506" s="70"/>
      <c r="G506" s="70"/>
      <c r="H506" s="70"/>
      <c r="I506" s="70"/>
      <c r="J506" s="77"/>
      <c r="K506" s="77"/>
      <c r="L506" s="9"/>
      <c r="M506" s="42"/>
      <c r="N506" s="42"/>
      <c r="O506" s="9"/>
      <c r="P506" s="9"/>
      <c r="Q506" s="9"/>
      <c r="R506" s="33"/>
      <c r="S506" s="9"/>
      <c r="U506" s="8"/>
      <c r="V506" s="9"/>
      <c r="W506" s="9"/>
      <c r="X506" s="9"/>
      <c r="Y506" s="9"/>
      <c r="Z506" s="9"/>
      <c r="AA506" s="9"/>
      <c r="AB506" s="9"/>
      <c r="AC506" s="9"/>
      <c r="AD506" s="9"/>
    </row>
    <row r="507" spans="1:30" ht="18.75" x14ac:dyDescent="0.3">
      <c r="A507" s="42"/>
      <c r="B507" s="42"/>
      <c r="C507" s="74"/>
      <c r="D507" s="74"/>
      <c r="E507" s="70"/>
      <c r="F507" s="70"/>
      <c r="G507" s="70"/>
      <c r="H507" s="70"/>
      <c r="I507" s="70"/>
      <c r="J507" s="77"/>
      <c r="K507" s="77"/>
      <c r="L507" s="9"/>
      <c r="M507" s="42"/>
      <c r="N507" s="42"/>
      <c r="O507" s="9"/>
      <c r="P507" s="9"/>
      <c r="Q507" s="9"/>
      <c r="R507" s="33"/>
      <c r="S507" s="9"/>
      <c r="U507" s="8"/>
      <c r="V507" s="9"/>
      <c r="W507" s="9"/>
      <c r="X507" s="9"/>
      <c r="Y507" s="9"/>
      <c r="Z507" s="9"/>
      <c r="AA507" s="9"/>
      <c r="AB507" s="9"/>
      <c r="AC507" s="9"/>
      <c r="AD507" s="9"/>
    </row>
    <row r="508" spans="1:30" ht="18.75" x14ac:dyDescent="0.3">
      <c r="A508" s="42"/>
      <c r="B508" s="42"/>
      <c r="C508" s="74"/>
      <c r="D508" s="74"/>
      <c r="E508" s="70"/>
      <c r="F508" s="70"/>
      <c r="G508" s="70"/>
      <c r="H508" s="70"/>
      <c r="I508" s="70"/>
      <c r="J508" s="77"/>
      <c r="K508" s="77"/>
      <c r="L508" s="9"/>
      <c r="M508" s="42"/>
      <c r="N508" s="42"/>
      <c r="O508" s="9"/>
      <c r="P508" s="9"/>
      <c r="Q508" s="9"/>
      <c r="R508" s="33"/>
      <c r="S508" s="9"/>
      <c r="U508" s="8"/>
      <c r="V508" s="9"/>
      <c r="W508" s="9"/>
      <c r="X508" s="9"/>
      <c r="Y508" s="9"/>
      <c r="Z508" s="9"/>
      <c r="AA508" s="9"/>
      <c r="AB508" s="9"/>
      <c r="AC508" s="9"/>
      <c r="AD508" s="9"/>
    </row>
    <row r="509" spans="1:30" ht="18.75" x14ac:dyDescent="0.3">
      <c r="A509" s="42"/>
      <c r="B509" s="42"/>
      <c r="C509" s="74"/>
      <c r="D509" s="74"/>
      <c r="E509" s="70"/>
      <c r="F509" s="70"/>
      <c r="G509" s="70"/>
      <c r="H509" s="70"/>
      <c r="I509" s="70"/>
      <c r="J509" s="77"/>
      <c r="K509" s="77"/>
      <c r="L509" s="9"/>
      <c r="M509" s="42"/>
      <c r="N509" s="42"/>
      <c r="O509" s="9"/>
      <c r="P509" s="9"/>
      <c r="Q509" s="9"/>
      <c r="R509" s="33"/>
      <c r="S509" s="9"/>
      <c r="U509" s="8"/>
      <c r="V509" s="9"/>
      <c r="W509" s="9"/>
      <c r="X509" s="9"/>
      <c r="Y509" s="9"/>
      <c r="Z509" s="9"/>
      <c r="AA509" s="9"/>
      <c r="AB509" s="9"/>
      <c r="AC509" s="9"/>
      <c r="AD509" s="9"/>
    </row>
    <row r="510" spans="1:30" ht="18.75" x14ac:dyDescent="0.3">
      <c r="A510" s="42"/>
      <c r="B510" s="42"/>
      <c r="C510" s="74"/>
      <c r="D510" s="74"/>
      <c r="E510" s="70"/>
      <c r="F510" s="70"/>
      <c r="G510" s="70"/>
      <c r="H510" s="70"/>
      <c r="I510" s="70"/>
      <c r="J510" s="77"/>
      <c r="K510" s="77"/>
      <c r="L510" s="9"/>
      <c r="M510" s="42"/>
      <c r="N510" s="42"/>
      <c r="O510" s="9"/>
      <c r="P510" s="9"/>
      <c r="Q510" s="9"/>
      <c r="R510" s="33"/>
      <c r="S510" s="9"/>
      <c r="U510" s="8"/>
      <c r="V510" s="9"/>
      <c r="W510" s="9"/>
      <c r="X510" s="9"/>
      <c r="Y510" s="9"/>
      <c r="Z510" s="9"/>
      <c r="AA510" s="9"/>
      <c r="AB510" s="9"/>
      <c r="AC510" s="9"/>
      <c r="AD510" s="9"/>
    </row>
    <row r="511" spans="1:30" ht="18.75" x14ac:dyDescent="0.3">
      <c r="A511" s="42"/>
      <c r="B511" s="42"/>
      <c r="C511" s="74"/>
      <c r="D511" s="74"/>
      <c r="E511" s="70"/>
      <c r="F511" s="70"/>
      <c r="G511" s="70"/>
      <c r="H511" s="70"/>
      <c r="I511" s="70"/>
      <c r="J511" s="77"/>
      <c r="K511" s="77"/>
      <c r="L511" s="9"/>
      <c r="M511" s="42"/>
      <c r="N511" s="42"/>
      <c r="O511" s="9"/>
      <c r="P511" s="9"/>
      <c r="Q511" s="9"/>
      <c r="R511" s="33"/>
      <c r="S511" s="9"/>
      <c r="U511" s="8"/>
      <c r="V511" s="9"/>
      <c r="W511" s="9"/>
      <c r="X511" s="9"/>
      <c r="Y511" s="9"/>
      <c r="Z511" s="9"/>
      <c r="AA511" s="9"/>
      <c r="AB511" s="9"/>
      <c r="AC511" s="9"/>
      <c r="AD511" s="9"/>
    </row>
    <row r="512" spans="1:30" ht="18.75" x14ac:dyDescent="0.3">
      <c r="A512" s="42"/>
      <c r="B512" s="42"/>
      <c r="C512" s="74"/>
      <c r="D512" s="74"/>
      <c r="E512" s="70"/>
      <c r="F512" s="70"/>
      <c r="G512" s="70"/>
      <c r="H512" s="70"/>
      <c r="I512" s="70"/>
      <c r="J512" s="77"/>
      <c r="K512" s="77"/>
      <c r="L512" s="9"/>
      <c r="M512" s="42"/>
      <c r="N512" s="42"/>
      <c r="O512" s="9"/>
      <c r="P512" s="9"/>
      <c r="Q512" s="9"/>
      <c r="R512" s="33"/>
      <c r="S512" s="9"/>
      <c r="U512" s="8"/>
      <c r="V512" s="9"/>
      <c r="W512" s="9"/>
      <c r="X512" s="9"/>
      <c r="Y512" s="9"/>
      <c r="Z512" s="9"/>
      <c r="AA512" s="9"/>
      <c r="AB512" s="9"/>
      <c r="AC512" s="9"/>
      <c r="AD512" s="9"/>
    </row>
    <row r="513" spans="1:30" ht="18.75" x14ac:dyDescent="0.3">
      <c r="A513" s="42"/>
      <c r="B513" s="42"/>
      <c r="C513" s="74"/>
      <c r="D513" s="74"/>
      <c r="E513" s="70"/>
      <c r="F513" s="70"/>
      <c r="G513" s="70"/>
      <c r="H513" s="70"/>
      <c r="I513" s="70"/>
      <c r="J513" s="77"/>
      <c r="K513" s="77"/>
      <c r="L513" s="9"/>
      <c r="M513" s="42"/>
      <c r="N513" s="42"/>
      <c r="O513" s="9"/>
      <c r="P513" s="9"/>
      <c r="Q513" s="9"/>
      <c r="R513" s="33"/>
      <c r="S513" s="9"/>
      <c r="U513" s="8"/>
      <c r="V513" s="9"/>
      <c r="W513" s="9"/>
      <c r="X513" s="9"/>
      <c r="Y513" s="9"/>
      <c r="Z513" s="9"/>
      <c r="AA513" s="9"/>
      <c r="AB513" s="9"/>
      <c r="AC513" s="9"/>
      <c r="AD513" s="9"/>
    </row>
    <row r="514" spans="1:30" ht="18.75" x14ac:dyDescent="0.3">
      <c r="A514" s="42"/>
      <c r="B514" s="42"/>
      <c r="C514" s="74"/>
      <c r="D514" s="74"/>
      <c r="E514" s="70"/>
      <c r="F514" s="70"/>
      <c r="G514" s="70"/>
      <c r="H514" s="70"/>
      <c r="I514" s="70"/>
      <c r="J514" s="77"/>
      <c r="K514" s="77"/>
      <c r="L514" s="9"/>
      <c r="M514" s="42"/>
      <c r="N514" s="42"/>
      <c r="O514" s="9"/>
      <c r="P514" s="9"/>
      <c r="Q514" s="9"/>
      <c r="R514" s="33"/>
      <c r="S514" s="9"/>
      <c r="U514" s="8"/>
      <c r="V514" s="9"/>
      <c r="W514" s="9"/>
      <c r="X514" s="9"/>
      <c r="Y514" s="9"/>
      <c r="Z514" s="9"/>
      <c r="AA514" s="9"/>
      <c r="AB514" s="9"/>
      <c r="AC514" s="9"/>
      <c r="AD514" s="9"/>
    </row>
    <row r="515" spans="1:30" ht="18.75" x14ac:dyDescent="0.3">
      <c r="A515" s="42"/>
      <c r="B515" s="42"/>
      <c r="C515" s="74"/>
      <c r="D515" s="74"/>
      <c r="E515" s="70"/>
      <c r="F515" s="70"/>
      <c r="G515" s="70"/>
      <c r="H515" s="70"/>
      <c r="I515" s="70"/>
      <c r="J515" s="77"/>
      <c r="K515" s="77"/>
      <c r="L515" s="9"/>
      <c r="M515" s="42"/>
      <c r="N515" s="42"/>
      <c r="O515" s="9"/>
      <c r="P515" s="9"/>
      <c r="Q515" s="9"/>
      <c r="R515" s="33"/>
      <c r="S515" s="9"/>
      <c r="U515" s="8"/>
      <c r="V515" s="9"/>
      <c r="W515" s="9"/>
      <c r="X515" s="9"/>
      <c r="Y515" s="9"/>
      <c r="Z515" s="9"/>
      <c r="AA515" s="9"/>
      <c r="AB515" s="9"/>
      <c r="AC515" s="9"/>
      <c r="AD515" s="9"/>
    </row>
    <row r="516" spans="1:30" ht="18.75" x14ac:dyDescent="0.3">
      <c r="A516" s="42"/>
      <c r="B516" s="42"/>
      <c r="C516" s="74"/>
      <c r="D516" s="74"/>
      <c r="E516" s="70"/>
      <c r="F516" s="70"/>
      <c r="G516" s="70"/>
      <c r="H516" s="70"/>
      <c r="I516" s="70"/>
      <c r="J516" s="77"/>
      <c r="K516" s="77"/>
      <c r="L516" s="9"/>
      <c r="M516" s="42"/>
      <c r="N516" s="42"/>
      <c r="O516" s="9"/>
      <c r="P516" s="9"/>
      <c r="Q516" s="9"/>
      <c r="R516" s="33"/>
      <c r="S516" s="9"/>
      <c r="U516" s="8"/>
      <c r="V516" s="9"/>
      <c r="W516" s="9"/>
      <c r="X516" s="9"/>
      <c r="Y516" s="9"/>
      <c r="Z516" s="9"/>
      <c r="AA516" s="9"/>
      <c r="AB516" s="9"/>
      <c r="AC516" s="9"/>
      <c r="AD516" s="9"/>
    </row>
    <row r="517" spans="1:30" ht="18.75" x14ac:dyDescent="0.3">
      <c r="A517" s="42"/>
      <c r="B517" s="42"/>
      <c r="C517" s="74"/>
      <c r="D517" s="74"/>
      <c r="E517" s="70"/>
      <c r="F517" s="70"/>
      <c r="G517" s="70"/>
      <c r="H517" s="70"/>
      <c r="I517" s="70"/>
      <c r="J517" s="77"/>
      <c r="K517" s="77"/>
      <c r="L517" s="9"/>
      <c r="M517" s="42"/>
      <c r="N517" s="42"/>
      <c r="O517" s="9"/>
      <c r="P517" s="9"/>
      <c r="Q517" s="9"/>
      <c r="R517" s="33"/>
      <c r="S517" s="9"/>
      <c r="U517" s="8"/>
      <c r="V517" s="9"/>
      <c r="W517" s="9"/>
      <c r="X517" s="9"/>
      <c r="Y517" s="9"/>
      <c r="Z517" s="9"/>
      <c r="AA517" s="9"/>
      <c r="AB517" s="9"/>
      <c r="AC517" s="9"/>
      <c r="AD517" s="9"/>
    </row>
    <row r="518" spans="1:30" ht="18.75" x14ac:dyDescent="0.3">
      <c r="A518" s="42"/>
      <c r="B518" s="42"/>
      <c r="C518" s="74"/>
      <c r="D518" s="74"/>
      <c r="E518" s="70"/>
      <c r="F518" s="70"/>
      <c r="G518" s="70"/>
      <c r="H518" s="70"/>
      <c r="I518" s="70"/>
      <c r="J518" s="77"/>
      <c r="K518" s="77"/>
      <c r="L518" s="9"/>
      <c r="M518" s="42"/>
      <c r="N518" s="42"/>
      <c r="O518" s="9"/>
      <c r="P518" s="9"/>
      <c r="Q518" s="9"/>
      <c r="R518" s="33"/>
      <c r="S518" s="9"/>
      <c r="U518" s="8"/>
      <c r="V518" s="9"/>
      <c r="W518" s="9"/>
      <c r="X518" s="9"/>
      <c r="Y518" s="9"/>
      <c r="Z518" s="9"/>
      <c r="AA518" s="9"/>
      <c r="AB518" s="9"/>
      <c r="AC518" s="9"/>
      <c r="AD518" s="9"/>
    </row>
    <row r="519" spans="1:30" ht="18.75" x14ac:dyDescent="0.3">
      <c r="A519" s="42"/>
      <c r="B519" s="42"/>
      <c r="C519" s="74"/>
      <c r="D519" s="74"/>
      <c r="E519" s="70"/>
      <c r="F519" s="70"/>
      <c r="G519" s="70"/>
      <c r="H519" s="70"/>
      <c r="I519" s="70"/>
      <c r="J519" s="77"/>
      <c r="K519" s="77"/>
      <c r="L519" s="9"/>
      <c r="M519" s="42"/>
      <c r="N519" s="42"/>
      <c r="O519" s="9"/>
      <c r="P519" s="9"/>
      <c r="Q519" s="9"/>
      <c r="R519" s="33"/>
      <c r="S519" s="9"/>
      <c r="U519" s="8"/>
      <c r="V519" s="9"/>
      <c r="W519" s="9"/>
      <c r="X519" s="9"/>
      <c r="Y519" s="9"/>
      <c r="Z519" s="9"/>
      <c r="AA519" s="9"/>
      <c r="AB519" s="9"/>
      <c r="AC519" s="9"/>
      <c r="AD519" s="9"/>
    </row>
    <row r="520" spans="1:30" ht="18.75" x14ac:dyDescent="0.3">
      <c r="A520" s="42"/>
      <c r="B520" s="42"/>
      <c r="C520" s="74"/>
      <c r="D520" s="74"/>
      <c r="E520" s="70"/>
      <c r="F520" s="70"/>
      <c r="G520" s="70"/>
      <c r="H520" s="70"/>
      <c r="I520" s="70"/>
      <c r="J520" s="77"/>
      <c r="K520" s="77"/>
      <c r="L520" s="9"/>
      <c r="M520" s="42"/>
      <c r="N520" s="42"/>
      <c r="O520" s="9"/>
      <c r="P520" s="9"/>
      <c r="Q520" s="9"/>
      <c r="R520" s="33"/>
      <c r="S520" s="9"/>
      <c r="U520" s="8"/>
      <c r="V520" s="9"/>
      <c r="W520" s="9"/>
      <c r="X520" s="9"/>
      <c r="Y520" s="9"/>
      <c r="Z520" s="9"/>
      <c r="AA520" s="9"/>
      <c r="AB520" s="9"/>
      <c r="AC520" s="9"/>
      <c r="AD520" s="9"/>
    </row>
    <row r="521" spans="1:30" ht="18.75" x14ac:dyDescent="0.3">
      <c r="A521" s="42"/>
      <c r="B521" s="42"/>
      <c r="C521" s="74"/>
      <c r="D521" s="74"/>
      <c r="E521" s="70"/>
      <c r="F521" s="70"/>
      <c r="G521" s="70"/>
      <c r="H521" s="70"/>
      <c r="I521" s="70"/>
      <c r="J521" s="77"/>
      <c r="K521" s="77"/>
      <c r="L521" s="9"/>
      <c r="M521" s="42"/>
      <c r="N521" s="42"/>
      <c r="O521" s="9"/>
      <c r="P521" s="9"/>
      <c r="Q521" s="9"/>
      <c r="R521" s="33"/>
      <c r="S521" s="9"/>
      <c r="U521" s="8"/>
      <c r="V521" s="9"/>
      <c r="W521" s="9"/>
      <c r="X521" s="9"/>
      <c r="Y521" s="9"/>
      <c r="Z521" s="9"/>
      <c r="AA521" s="9"/>
      <c r="AB521" s="9"/>
      <c r="AC521" s="9"/>
      <c r="AD521" s="9"/>
    </row>
    <row r="522" spans="1:30" ht="18.75" x14ac:dyDescent="0.3">
      <c r="A522" s="42"/>
      <c r="B522" s="42"/>
      <c r="C522" s="74"/>
      <c r="D522" s="74"/>
      <c r="E522" s="70"/>
      <c r="F522" s="70"/>
      <c r="G522" s="70"/>
      <c r="H522" s="70"/>
      <c r="I522" s="70"/>
      <c r="J522" s="77"/>
      <c r="K522" s="77"/>
      <c r="L522" s="9"/>
      <c r="M522" s="42"/>
      <c r="N522" s="42"/>
      <c r="O522" s="9"/>
      <c r="P522" s="9"/>
      <c r="Q522" s="9"/>
      <c r="R522" s="33"/>
      <c r="S522" s="9"/>
      <c r="U522" s="8"/>
      <c r="V522" s="9"/>
      <c r="W522" s="9"/>
      <c r="X522" s="9"/>
      <c r="Y522" s="9"/>
      <c r="Z522" s="9"/>
      <c r="AA522" s="9"/>
      <c r="AB522" s="9"/>
      <c r="AC522" s="9"/>
      <c r="AD522" s="9"/>
    </row>
    <row r="523" spans="1:30" ht="18.75" x14ac:dyDescent="0.3">
      <c r="A523" s="42"/>
      <c r="B523" s="42"/>
      <c r="C523" s="74"/>
      <c r="D523" s="74"/>
      <c r="E523" s="70"/>
      <c r="F523" s="70"/>
      <c r="G523" s="70"/>
      <c r="H523" s="70"/>
      <c r="I523" s="70"/>
      <c r="J523" s="77"/>
      <c r="K523" s="77"/>
      <c r="L523" s="9"/>
      <c r="M523" s="42"/>
      <c r="N523" s="42"/>
      <c r="O523" s="9"/>
      <c r="P523" s="9"/>
      <c r="Q523" s="9"/>
      <c r="R523" s="33"/>
      <c r="S523" s="9"/>
      <c r="U523" s="8"/>
      <c r="V523" s="9"/>
      <c r="W523" s="9"/>
      <c r="X523" s="9"/>
      <c r="Y523" s="9"/>
      <c r="Z523" s="9"/>
      <c r="AA523" s="9"/>
      <c r="AB523" s="9"/>
      <c r="AC523" s="9"/>
      <c r="AD523" s="9"/>
    </row>
    <row r="524" spans="1:30" ht="18.75" x14ac:dyDescent="0.3">
      <c r="A524" s="42"/>
      <c r="B524" s="42"/>
      <c r="C524" s="74"/>
      <c r="D524" s="74"/>
      <c r="E524" s="70"/>
      <c r="F524" s="70"/>
      <c r="G524" s="70"/>
      <c r="H524" s="70"/>
      <c r="I524" s="70"/>
      <c r="J524" s="77"/>
      <c r="K524" s="77"/>
      <c r="L524" s="9"/>
      <c r="M524" s="42"/>
      <c r="N524" s="42"/>
      <c r="O524" s="9"/>
      <c r="P524" s="9"/>
      <c r="Q524" s="9"/>
      <c r="R524" s="33"/>
      <c r="S524" s="9"/>
      <c r="U524" s="8"/>
      <c r="V524" s="9"/>
      <c r="W524" s="9"/>
      <c r="X524" s="9"/>
      <c r="Y524" s="9"/>
      <c r="Z524" s="9"/>
      <c r="AA524" s="9"/>
      <c r="AB524" s="9"/>
      <c r="AC524" s="9"/>
      <c r="AD524" s="9"/>
    </row>
    <row r="525" spans="1:30" ht="18.75" x14ac:dyDescent="0.3">
      <c r="A525" s="42"/>
      <c r="B525" s="42"/>
      <c r="C525" s="74"/>
      <c r="D525" s="74"/>
      <c r="E525" s="70"/>
      <c r="F525" s="70"/>
      <c r="G525" s="70"/>
      <c r="H525" s="70"/>
      <c r="I525" s="70"/>
      <c r="J525" s="77"/>
      <c r="K525" s="77"/>
      <c r="L525" s="9"/>
      <c r="M525" s="42"/>
      <c r="N525" s="42"/>
      <c r="O525" s="9"/>
      <c r="P525" s="9"/>
      <c r="Q525" s="9"/>
      <c r="R525" s="33"/>
      <c r="S525" s="9"/>
      <c r="U525" s="8"/>
      <c r="V525" s="9"/>
      <c r="W525" s="9"/>
      <c r="X525" s="9"/>
      <c r="Y525" s="9"/>
      <c r="Z525" s="9"/>
      <c r="AA525" s="9"/>
      <c r="AB525" s="9"/>
      <c r="AC525" s="9"/>
      <c r="AD525" s="9"/>
    </row>
    <row r="526" spans="1:30" ht="18.75" x14ac:dyDescent="0.3">
      <c r="A526" s="42"/>
      <c r="B526" s="42"/>
      <c r="C526" s="74"/>
      <c r="D526" s="74"/>
      <c r="E526" s="70"/>
      <c r="F526" s="70"/>
      <c r="G526" s="70"/>
      <c r="H526" s="70"/>
      <c r="I526" s="70"/>
      <c r="J526" s="77"/>
      <c r="K526" s="77"/>
      <c r="L526" s="9"/>
      <c r="M526" s="42"/>
      <c r="N526" s="42"/>
      <c r="O526" s="9"/>
      <c r="P526" s="9"/>
      <c r="Q526" s="9"/>
      <c r="R526" s="33"/>
      <c r="S526" s="9"/>
      <c r="U526" s="8"/>
      <c r="V526" s="9"/>
      <c r="W526" s="9"/>
      <c r="X526" s="9"/>
      <c r="Y526" s="9"/>
      <c r="Z526" s="9"/>
      <c r="AA526" s="9"/>
      <c r="AB526" s="9"/>
      <c r="AC526" s="9"/>
      <c r="AD526" s="9"/>
    </row>
    <row r="527" spans="1:30" ht="18.75" x14ac:dyDescent="0.3">
      <c r="A527" s="42"/>
      <c r="B527" s="42"/>
      <c r="C527" s="74"/>
      <c r="D527" s="74"/>
      <c r="E527" s="70"/>
      <c r="F527" s="70"/>
      <c r="G527" s="70"/>
      <c r="H527" s="70"/>
      <c r="I527" s="70"/>
      <c r="J527" s="77"/>
      <c r="K527" s="77"/>
      <c r="L527" s="9"/>
      <c r="M527" s="42"/>
      <c r="N527" s="42"/>
      <c r="O527" s="9"/>
      <c r="P527" s="9"/>
      <c r="Q527" s="9"/>
      <c r="R527" s="33"/>
      <c r="S527" s="9"/>
      <c r="U527" s="8"/>
      <c r="V527" s="9"/>
      <c r="W527" s="9"/>
      <c r="X527" s="9"/>
      <c r="Y527" s="9"/>
      <c r="Z527" s="9"/>
      <c r="AA527" s="9"/>
      <c r="AB527" s="9"/>
      <c r="AC527" s="9"/>
      <c r="AD527" s="9"/>
    </row>
    <row r="528" spans="1:30" ht="18.75" x14ac:dyDescent="0.3">
      <c r="A528" s="42"/>
      <c r="B528" s="42"/>
      <c r="C528" s="74"/>
      <c r="D528" s="74"/>
      <c r="E528" s="70"/>
      <c r="F528" s="70"/>
      <c r="G528" s="70"/>
      <c r="H528" s="70"/>
      <c r="I528" s="70"/>
      <c r="J528" s="77"/>
      <c r="K528" s="77"/>
      <c r="L528" s="9"/>
      <c r="M528" s="42"/>
      <c r="N528" s="42"/>
      <c r="O528" s="9"/>
      <c r="P528" s="9"/>
      <c r="Q528" s="9"/>
      <c r="R528" s="33"/>
      <c r="S528" s="9"/>
      <c r="U528" s="8"/>
      <c r="V528" s="9"/>
      <c r="W528" s="9"/>
      <c r="X528" s="9"/>
      <c r="Y528" s="9"/>
      <c r="Z528" s="9"/>
      <c r="AA528" s="9"/>
      <c r="AB528" s="9"/>
      <c r="AC528" s="9"/>
      <c r="AD528" s="9"/>
    </row>
    <row r="529" spans="1:30" ht="18.75" x14ac:dyDescent="0.3">
      <c r="A529" s="42"/>
      <c r="B529" s="42"/>
      <c r="C529" s="74"/>
      <c r="D529" s="74"/>
      <c r="E529" s="70"/>
      <c r="F529" s="70"/>
      <c r="G529" s="70"/>
      <c r="H529" s="70"/>
      <c r="I529" s="70"/>
      <c r="J529" s="77"/>
      <c r="K529" s="77"/>
      <c r="L529" s="9"/>
      <c r="M529" s="42"/>
      <c r="N529" s="42"/>
      <c r="O529" s="9"/>
      <c r="P529" s="9"/>
      <c r="Q529" s="9"/>
      <c r="R529" s="33"/>
      <c r="S529" s="9"/>
      <c r="U529" s="8"/>
      <c r="V529" s="9"/>
      <c r="W529" s="9"/>
      <c r="X529" s="9"/>
      <c r="Y529" s="9"/>
      <c r="Z529" s="9"/>
      <c r="AA529" s="9"/>
      <c r="AB529" s="9"/>
      <c r="AC529" s="9"/>
      <c r="AD529" s="9"/>
    </row>
    <row r="530" spans="1:30" ht="18.75" x14ac:dyDescent="0.3">
      <c r="A530" s="42"/>
      <c r="B530" s="42"/>
      <c r="C530" s="74"/>
      <c r="D530" s="74"/>
      <c r="E530" s="70"/>
      <c r="F530" s="70"/>
      <c r="G530" s="70"/>
      <c r="H530" s="70"/>
      <c r="I530" s="70"/>
      <c r="J530" s="77"/>
      <c r="K530" s="77"/>
      <c r="L530" s="9"/>
      <c r="M530" s="42"/>
      <c r="N530" s="42"/>
      <c r="O530" s="9"/>
      <c r="P530" s="9"/>
      <c r="Q530" s="9"/>
      <c r="R530" s="33"/>
      <c r="S530" s="9"/>
      <c r="U530" s="8"/>
      <c r="V530" s="9"/>
      <c r="W530" s="9"/>
      <c r="X530" s="9"/>
      <c r="Y530" s="9"/>
      <c r="Z530" s="9"/>
      <c r="AA530" s="9"/>
      <c r="AB530" s="9"/>
      <c r="AC530" s="9"/>
      <c r="AD530" s="9"/>
    </row>
    <row r="531" spans="1:30" ht="18.75" x14ac:dyDescent="0.3">
      <c r="A531" s="42"/>
      <c r="B531" s="42"/>
      <c r="C531" s="74"/>
      <c r="D531" s="74"/>
      <c r="E531" s="70"/>
      <c r="F531" s="70"/>
      <c r="G531" s="70"/>
      <c r="H531" s="70"/>
      <c r="I531" s="70"/>
      <c r="J531" s="77"/>
      <c r="K531" s="77"/>
      <c r="L531" s="9"/>
      <c r="M531" s="42"/>
      <c r="N531" s="42"/>
      <c r="O531" s="9"/>
      <c r="P531" s="9"/>
      <c r="Q531" s="9"/>
      <c r="R531" s="33"/>
      <c r="S531" s="9"/>
      <c r="U531" s="8"/>
      <c r="V531" s="9"/>
      <c r="W531" s="9"/>
      <c r="X531" s="9"/>
      <c r="Y531" s="9"/>
      <c r="Z531" s="9"/>
      <c r="AA531" s="9"/>
      <c r="AB531" s="9"/>
      <c r="AC531" s="9"/>
      <c r="AD531" s="9"/>
    </row>
    <row r="532" spans="1:30" ht="18.75" x14ac:dyDescent="0.3">
      <c r="A532" s="42"/>
      <c r="B532" s="42"/>
      <c r="C532" s="74"/>
      <c r="D532" s="74"/>
      <c r="E532" s="70"/>
      <c r="F532" s="70"/>
      <c r="G532" s="70"/>
      <c r="H532" s="70"/>
      <c r="I532" s="70"/>
      <c r="J532" s="77"/>
      <c r="K532" s="77"/>
      <c r="L532" s="9"/>
      <c r="M532" s="42"/>
      <c r="N532" s="42"/>
      <c r="O532" s="9"/>
      <c r="P532" s="9"/>
      <c r="Q532" s="9"/>
      <c r="R532" s="33"/>
      <c r="S532" s="9"/>
      <c r="U532" s="8"/>
      <c r="V532" s="9"/>
      <c r="W532" s="9"/>
      <c r="X532" s="9"/>
      <c r="Y532" s="9"/>
      <c r="Z532" s="9"/>
      <c r="AA532" s="9"/>
      <c r="AB532" s="9"/>
      <c r="AC532" s="9"/>
      <c r="AD532" s="9"/>
    </row>
    <row r="533" spans="1:30" ht="18.75" x14ac:dyDescent="0.3">
      <c r="A533" s="42"/>
      <c r="B533" s="42"/>
      <c r="C533" s="74"/>
      <c r="D533" s="74"/>
      <c r="E533" s="70"/>
      <c r="F533" s="70"/>
      <c r="G533" s="70"/>
      <c r="H533" s="70"/>
      <c r="I533" s="70"/>
      <c r="J533" s="77"/>
      <c r="K533" s="77"/>
      <c r="L533" s="9"/>
      <c r="M533" s="42"/>
      <c r="N533" s="42"/>
      <c r="O533" s="9"/>
      <c r="P533" s="9"/>
      <c r="Q533" s="9"/>
      <c r="R533" s="33"/>
      <c r="S533" s="9"/>
      <c r="U533" s="8"/>
      <c r="V533" s="9"/>
      <c r="W533" s="9"/>
      <c r="X533" s="9"/>
      <c r="Y533" s="9"/>
      <c r="Z533" s="9"/>
      <c r="AA533" s="9"/>
      <c r="AB533" s="9"/>
      <c r="AC533" s="9"/>
      <c r="AD533" s="9"/>
    </row>
    <row r="534" spans="1:30" ht="18.75" x14ac:dyDescent="0.3">
      <c r="A534" s="42"/>
      <c r="B534" s="42"/>
      <c r="C534" s="74"/>
      <c r="D534" s="74"/>
      <c r="E534" s="70"/>
      <c r="F534" s="70"/>
      <c r="G534" s="70"/>
      <c r="H534" s="70"/>
      <c r="I534" s="70"/>
      <c r="J534" s="77"/>
      <c r="K534" s="77"/>
      <c r="L534" s="9"/>
      <c r="M534" s="42"/>
      <c r="N534" s="42"/>
      <c r="O534" s="9"/>
      <c r="P534" s="9"/>
      <c r="Q534" s="9"/>
      <c r="R534" s="33"/>
      <c r="S534" s="9"/>
      <c r="U534" s="8"/>
      <c r="V534" s="9"/>
      <c r="W534" s="9"/>
      <c r="X534" s="9"/>
      <c r="Y534" s="9"/>
      <c r="Z534" s="9"/>
      <c r="AA534" s="9"/>
      <c r="AB534" s="9"/>
      <c r="AC534" s="9"/>
      <c r="AD534" s="9"/>
    </row>
    <row r="535" spans="1:30" ht="18.75" x14ac:dyDescent="0.3">
      <c r="A535" s="42"/>
      <c r="B535" s="42"/>
      <c r="C535" s="74"/>
      <c r="D535" s="74"/>
      <c r="E535" s="70"/>
      <c r="F535" s="70"/>
      <c r="G535" s="70"/>
      <c r="H535" s="70"/>
      <c r="I535" s="70"/>
      <c r="J535" s="77"/>
      <c r="K535" s="77"/>
      <c r="L535" s="9"/>
      <c r="M535" s="42"/>
      <c r="N535" s="42"/>
      <c r="O535" s="9"/>
      <c r="P535" s="9"/>
      <c r="Q535" s="9"/>
      <c r="R535" s="33"/>
      <c r="S535" s="9"/>
      <c r="U535" s="8"/>
      <c r="V535" s="9"/>
      <c r="W535" s="9"/>
      <c r="X535" s="9"/>
      <c r="Y535" s="9"/>
      <c r="Z535" s="9"/>
      <c r="AA535" s="9"/>
      <c r="AB535" s="9"/>
      <c r="AC535" s="9"/>
      <c r="AD535" s="9"/>
    </row>
    <row r="536" spans="1:30" ht="18.75" x14ac:dyDescent="0.3">
      <c r="A536" s="42"/>
      <c r="B536" s="42"/>
      <c r="C536" s="74"/>
      <c r="D536" s="74"/>
      <c r="E536" s="70"/>
      <c r="F536" s="70"/>
      <c r="G536" s="70"/>
      <c r="H536" s="70"/>
      <c r="I536" s="70"/>
      <c r="J536" s="77"/>
      <c r="K536" s="77"/>
      <c r="L536" s="9"/>
      <c r="M536" s="42"/>
      <c r="N536" s="42"/>
      <c r="O536" s="9"/>
      <c r="P536" s="9"/>
      <c r="Q536" s="9"/>
      <c r="R536" s="33"/>
      <c r="S536" s="9"/>
      <c r="U536" s="8"/>
      <c r="V536" s="9"/>
      <c r="W536" s="9"/>
      <c r="X536" s="9"/>
      <c r="Y536" s="9"/>
      <c r="Z536" s="9"/>
      <c r="AA536" s="9"/>
      <c r="AB536" s="9"/>
      <c r="AC536" s="9"/>
      <c r="AD536" s="9"/>
    </row>
    <row r="537" spans="1:30" ht="18.75" x14ac:dyDescent="0.3">
      <c r="A537" s="42"/>
      <c r="B537" s="42"/>
      <c r="C537" s="74"/>
      <c r="D537" s="74"/>
      <c r="E537" s="70"/>
      <c r="F537" s="70"/>
      <c r="G537" s="70"/>
      <c r="H537" s="70"/>
      <c r="I537" s="70"/>
      <c r="J537" s="77"/>
      <c r="K537" s="77"/>
      <c r="L537" s="9"/>
      <c r="M537" s="42"/>
      <c r="N537" s="42"/>
      <c r="O537" s="9"/>
      <c r="P537" s="9"/>
      <c r="Q537" s="9"/>
      <c r="R537" s="33"/>
      <c r="S537" s="9"/>
      <c r="U537" s="8"/>
      <c r="V537" s="9"/>
      <c r="W537" s="9"/>
      <c r="X537" s="9"/>
      <c r="Y537" s="9"/>
      <c r="Z537" s="9"/>
      <c r="AA537" s="9"/>
      <c r="AB537" s="9"/>
      <c r="AC537" s="9"/>
      <c r="AD537" s="9"/>
    </row>
    <row r="538" spans="1:30" ht="18.75" x14ac:dyDescent="0.3">
      <c r="A538" s="42"/>
      <c r="B538" s="42"/>
      <c r="C538" s="74"/>
      <c r="D538" s="74"/>
      <c r="E538" s="70"/>
      <c r="F538" s="70"/>
      <c r="G538" s="70"/>
      <c r="H538" s="70"/>
      <c r="I538" s="70"/>
      <c r="J538" s="77"/>
      <c r="K538" s="77"/>
      <c r="L538" s="9"/>
      <c r="M538" s="42"/>
      <c r="N538" s="42"/>
      <c r="O538" s="9"/>
      <c r="P538" s="9"/>
      <c r="Q538" s="9"/>
      <c r="R538" s="33"/>
      <c r="S538" s="9"/>
      <c r="U538" s="8"/>
      <c r="V538" s="9"/>
      <c r="W538" s="9"/>
      <c r="X538" s="9"/>
      <c r="Y538" s="9"/>
      <c r="Z538" s="9"/>
      <c r="AA538" s="9"/>
      <c r="AB538" s="9"/>
      <c r="AC538" s="9"/>
      <c r="AD538" s="9"/>
    </row>
    <row r="539" spans="1:30" ht="18.75" x14ac:dyDescent="0.3">
      <c r="A539" s="42"/>
      <c r="B539" s="42"/>
      <c r="C539" s="74"/>
      <c r="D539" s="74"/>
      <c r="E539" s="70"/>
      <c r="F539" s="70"/>
      <c r="G539" s="70"/>
      <c r="H539" s="70"/>
      <c r="I539" s="70"/>
      <c r="J539" s="77"/>
      <c r="K539" s="77"/>
      <c r="L539" s="9"/>
      <c r="M539" s="42"/>
      <c r="N539" s="42"/>
      <c r="O539" s="9"/>
      <c r="P539" s="9"/>
      <c r="Q539" s="9"/>
      <c r="R539" s="33"/>
      <c r="S539" s="9"/>
      <c r="U539" s="8"/>
      <c r="V539" s="9"/>
      <c r="W539" s="9"/>
      <c r="X539" s="9"/>
      <c r="Y539" s="9"/>
      <c r="Z539" s="9"/>
      <c r="AA539" s="9"/>
      <c r="AB539" s="9"/>
      <c r="AC539" s="9"/>
      <c r="AD539" s="9"/>
    </row>
    <row r="540" spans="1:30" ht="18.75" x14ac:dyDescent="0.3">
      <c r="A540" s="42"/>
      <c r="B540" s="42"/>
      <c r="C540" s="74"/>
      <c r="D540" s="74"/>
      <c r="E540" s="70"/>
      <c r="F540" s="70"/>
      <c r="G540" s="70"/>
      <c r="H540" s="70"/>
      <c r="I540" s="70"/>
      <c r="J540" s="77"/>
      <c r="K540" s="77"/>
      <c r="L540" s="9"/>
      <c r="M540" s="42"/>
      <c r="N540" s="42"/>
      <c r="O540" s="9"/>
      <c r="P540" s="9"/>
      <c r="Q540" s="9"/>
      <c r="R540" s="33"/>
      <c r="S540" s="9"/>
      <c r="U540" s="8"/>
      <c r="V540" s="9"/>
      <c r="W540" s="9"/>
      <c r="X540" s="9"/>
      <c r="Y540" s="9"/>
      <c r="Z540" s="9"/>
      <c r="AA540" s="9"/>
      <c r="AB540" s="9"/>
      <c r="AC540" s="9"/>
      <c r="AD540" s="9"/>
    </row>
    <row r="541" spans="1:30" ht="18.75" x14ac:dyDescent="0.3">
      <c r="A541" s="42"/>
      <c r="B541" s="42"/>
      <c r="C541" s="74"/>
      <c r="D541" s="74"/>
      <c r="E541" s="70"/>
      <c r="F541" s="70"/>
      <c r="G541" s="70"/>
      <c r="H541" s="70"/>
      <c r="I541" s="70"/>
      <c r="J541" s="77"/>
      <c r="K541" s="77"/>
      <c r="L541" s="9"/>
      <c r="M541" s="42"/>
      <c r="N541" s="42"/>
      <c r="O541" s="9"/>
      <c r="P541" s="9"/>
      <c r="Q541" s="9"/>
      <c r="R541" s="33"/>
      <c r="S541" s="9"/>
      <c r="U541" s="8"/>
      <c r="V541" s="9"/>
      <c r="W541" s="9"/>
      <c r="X541" s="9"/>
      <c r="Y541" s="9"/>
      <c r="Z541" s="9"/>
      <c r="AA541" s="9"/>
      <c r="AB541" s="9"/>
      <c r="AC541" s="9"/>
      <c r="AD541" s="9"/>
    </row>
    <row r="542" spans="1:30" ht="18.75" x14ac:dyDescent="0.3">
      <c r="A542" s="42"/>
      <c r="B542" s="42"/>
      <c r="C542" s="74"/>
      <c r="D542" s="74"/>
      <c r="E542" s="70"/>
      <c r="F542" s="70"/>
      <c r="G542" s="70"/>
      <c r="H542" s="70"/>
      <c r="I542" s="70"/>
      <c r="J542" s="77"/>
      <c r="K542" s="77"/>
      <c r="L542" s="9"/>
      <c r="M542" s="42"/>
      <c r="N542" s="42"/>
      <c r="O542" s="9"/>
      <c r="P542" s="9"/>
      <c r="Q542" s="9"/>
      <c r="R542" s="33"/>
      <c r="S542" s="9"/>
      <c r="U542" s="8"/>
      <c r="V542" s="9"/>
      <c r="W542" s="9"/>
      <c r="X542" s="9"/>
      <c r="Y542" s="9"/>
      <c r="Z542" s="9"/>
      <c r="AA542" s="9"/>
      <c r="AB542" s="9"/>
      <c r="AC542" s="9"/>
      <c r="AD542" s="9"/>
    </row>
    <row r="543" spans="1:30" ht="18.75" x14ac:dyDescent="0.3">
      <c r="A543" s="42"/>
      <c r="B543" s="42"/>
      <c r="C543" s="74"/>
      <c r="D543" s="74"/>
      <c r="E543" s="70"/>
      <c r="F543" s="70"/>
      <c r="G543" s="70"/>
      <c r="H543" s="70"/>
      <c r="I543" s="70"/>
      <c r="J543" s="77"/>
      <c r="K543" s="77"/>
      <c r="L543" s="9"/>
      <c r="M543" s="42"/>
      <c r="N543" s="42"/>
      <c r="O543" s="9"/>
      <c r="P543" s="9"/>
      <c r="Q543" s="9"/>
      <c r="R543" s="33"/>
      <c r="S543" s="9"/>
      <c r="U543" s="8"/>
      <c r="V543" s="9"/>
      <c r="W543" s="9"/>
      <c r="X543" s="9"/>
      <c r="Y543" s="9"/>
      <c r="Z543" s="9"/>
      <c r="AA543" s="9"/>
      <c r="AB543" s="9"/>
      <c r="AC543" s="9"/>
      <c r="AD543" s="9"/>
    </row>
    <row r="544" spans="1:30" ht="18.75" x14ac:dyDescent="0.3">
      <c r="A544" s="42"/>
      <c r="B544" s="42"/>
      <c r="C544" s="74"/>
      <c r="D544" s="74"/>
      <c r="E544" s="70"/>
      <c r="F544" s="70"/>
      <c r="G544" s="70"/>
      <c r="H544" s="70"/>
      <c r="I544" s="70"/>
      <c r="J544" s="77"/>
      <c r="K544" s="77"/>
      <c r="L544" s="9"/>
      <c r="M544" s="42"/>
      <c r="N544" s="42"/>
      <c r="O544" s="9"/>
      <c r="P544" s="9"/>
      <c r="Q544" s="9"/>
      <c r="R544" s="33"/>
      <c r="S544" s="9"/>
      <c r="U544" s="8"/>
      <c r="V544" s="9"/>
      <c r="W544" s="9"/>
      <c r="X544" s="9"/>
      <c r="Y544" s="9"/>
      <c r="Z544" s="9"/>
      <c r="AA544" s="9"/>
      <c r="AB544" s="9"/>
      <c r="AC544" s="9"/>
      <c r="AD544" s="9"/>
    </row>
    <row r="545" spans="1:30" ht="18.75" x14ac:dyDescent="0.3">
      <c r="A545" s="42"/>
      <c r="B545" s="42"/>
      <c r="C545" s="74"/>
      <c r="D545" s="74"/>
      <c r="E545" s="70"/>
      <c r="F545" s="70"/>
      <c r="G545" s="70"/>
      <c r="H545" s="70"/>
      <c r="I545" s="70"/>
      <c r="J545" s="77"/>
      <c r="K545" s="77"/>
      <c r="L545" s="9"/>
      <c r="M545" s="42"/>
      <c r="N545" s="42"/>
      <c r="O545" s="9"/>
      <c r="P545" s="9"/>
      <c r="Q545" s="9"/>
      <c r="R545" s="33"/>
      <c r="S545" s="9"/>
      <c r="U545" s="8"/>
      <c r="V545" s="9"/>
      <c r="W545" s="9"/>
      <c r="X545" s="9"/>
      <c r="Y545" s="9"/>
      <c r="Z545" s="9"/>
      <c r="AA545" s="9"/>
      <c r="AB545" s="9"/>
      <c r="AC545" s="9"/>
      <c r="AD545" s="9"/>
    </row>
    <row r="546" spans="1:30" ht="18.75" x14ac:dyDescent="0.3">
      <c r="A546" s="42"/>
      <c r="B546" s="42"/>
      <c r="C546" s="74"/>
      <c r="D546" s="74"/>
      <c r="E546" s="70"/>
      <c r="F546" s="70"/>
      <c r="G546" s="70"/>
      <c r="H546" s="70"/>
      <c r="I546" s="70"/>
      <c r="J546" s="77"/>
      <c r="K546" s="77"/>
      <c r="L546" s="9"/>
      <c r="M546" s="42"/>
      <c r="N546" s="42"/>
      <c r="O546" s="9"/>
      <c r="P546" s="9"/>
      <c r="Q546" s="9"/>
      <c r="R546" s="33"/>
      <c r="S546" s="9"/>
      <c r="U546" s="8"/>
      <c r="V546" s="9"/>
      <c r="W546" s="9"/>
      <c r="X546" s="9"/>
      <c r="Y546" s="9"/>
      <c r="Z546" s="9"/>
      <c r="AA546" s="9"/>
      <c r="AB546" s="9"/>
      <c r="AC546" s="9"/>
      <c r="AD546" s="9"/>
    </row>
    <row r="547" spans="1:30" ht="18.75" x14ac:dyDescent="0.3">
      <c r="A547" s="42"/>
      <c r="B547" s="42"/>
      <c r="C547" s="74"/>
      <c r="D547" s="74"/>
      <c r="E547" s="70"/>
      <c r="F547" s="70"/>
      <c r="G547" s="70"/>
      <c r="H547" s="70"/>
      <c r="I547" s="70"/>
      <c r="J547" s="77"/>
      <c r="K547" s="77"/>
      <c r="L547" s="9"/>
      <c r="M547" s="42"/>
      <c r="N547" s="42"/>
      <c r="O547" s="9"/>
      <c r="P547" s="9"/>
      <c r="Q547" s="9"/>
      <c r="R547" s="33"/>
      <c r="S547" s="9"/>
      <c r="U547" s="8"/>
      <c r="V547" s="9"/>
      <c r="W547" s="9"/>
      <c r="X547" s="9"/>
      <c r="Y547" s="9"/>
      <c r="Z547" s="9"/>
      <c r="AA547" s="9"/>
      <c r="AB547" s="9"/>
      <c r="AC547" s="9"/>
      <c r="AD547" s="9"/>
    </row>
    <row r="548" spans="1:30" ht="18.75" x14ac:dyDescent="0.3">
      <c r="A548" s="42"/>
      <c r="B548" s="42"/>
      <c r="C548" s="74"/>
      <c r="D548" s="74"/>
      <c r="E548" s="70"/>
      <c r="F548" s="70"/>
      <c r="G548" s="70"/>
      <c r="H548" s="70"/>
      <c r="I548" s="70"/>
      <c r="J548" s="77"/>
      <c r="K548" s="77"/>
      <c r="L548" s="9"/>
      <c r="M548" s="42"/>
      <c r="N548" s="42"/>
      <c r="O548" s="9"/>
      <c r="P548" s="9"/>
      <c r="Q548" s="9"/>
      <c r="R548" s="33"/>
      <c r="S548" s="9"/>
      <c r="U548" s="8"/>
      <c r="V548" s="9"/>
      <c r="W548" s="9"/>
      <c r="X548" s="9"/>
      <c r="Y548" s="9"/>
      <c r="Z548" s="9"/>
      <c r="AA548" s="9"/>
      <c r="AB548" s="9"/>
      <c r="AC548" s="9"/>
      <c r="AD548" s="9"/>
    </row>
    <row r="549" spans="1:30" ht="18.75" x14ac:dyDescent="0.3">
      <c r="A549" s="42"/>
      <c r="B549" s="42"/>
      <c r="C549" s="74"/>
      <c r="D549" s="74"/>
      <c r="E549" s="70"/>
      <c r="F549" s="70"/>
      <c r="G549" s="70"/>
      <c r="H549" s="70"/>
      <c r="I549" s="70"/>
      <c r="J549" s="77"/>
      <c r="K549" s="77"/>
      <c r="L549" s="9"/>
      <c r="M549" s="42"/>
      <c r="N549" s="42"/>
      <c r="O549" s="9"/>
      <c r="P549" s="9"/>
      <c r="Q549" s="9"/>
      <c r="R549" s="33"/>
      <c r="S549" s="9"/>
      <c r="U549" s="8"/>
      <c r="V549" s="9"/>
      <c r="W549" s="9"/>
      <c r="X549" s="9"/>
      <c r="Y549" s="9"/>
      <c r="Z549" s="9"/>
      <c r="AA549" s="9"/>
      <c r="AB549" s="9"/>
      <c r="AC549" s="9"/>
      <c r="AD549" s="9"/>
    </row>
    <row r="550" spans="1:30" ht="18.75" x14ac:dyDescent="0.3">
      <c r="A550" s="42"/>
      <c r="B550" s="42"/>
      <c r="C550" s="74"/>
      <c r="D550" s="74"/>
      <c r="E550" s="70"/>
      <c r="F550" s="70"/>
      <c r="G550" s="70"/>
      <c r="H550" s="70"/>
      <c r="I550" s="70"/>
      <c r="J550" s="77"/>
      <c r="K550" s="77"/>
      <c r="L550" s="9"/>
      <c r="M550" s="42"/>
      <c r="N550" s="42"/>
      <c r="O550" s="9"/>
      <c r="P550" s="9"/>
      <c r="Q550" s="9"/>
      <c r="R550" s="33"/>
      <c r="S550" s="9"/>
      <c r="U550" s="8"/>
      <c r="V550" s="9"/>
      <c r="W550" s="9"/>
      <c r="X550" s="9"/>
      <c r="Y550" s="9"/>
      <c r="Z550" s="9"/>
      <c r="AA550" s="9"/>
      <c r="AB550" s="9"/>
      <c r="AC550" s="9"/>
      <c r="AD550" s="9"/>
    </row>
    <row r="551" spans="1:30" ht="18.75" x14ac:dyDescent="0.3">
      <c r="A551" s="42"/>
      <c r="B551" s="42"/>
      <c r="C551" s="74"/>
      <c r="D551" s="74"/>
      <c r="E551" s="70"/>
      <c r="F551" s="70"/>
      <c r="G551" s="70"/>
      <c r="H551" s="70"/>
      <c r="I551" s="70"/>
      <c r="J551" s="77"/>
      <c r="K551" s="77"/>
      <c r="L551" s="9"/>
      <c r="M551" s="42"/>
      <c r="N551" s="42"/>
      <c r="O551" s="9"/>
      <c r="P551" s="9"/>
      <c r="Q551" s="9"/>
      <c r="R551" s="33"/>
      <c r="S551" s="9"/>
      <c r="U551" s="8"/>
      <c r="V551" s="9"/>
      <c r="W551" s="9"/>
      <c r="X551" s="9"/>
      <c r="Y551" s="9"/>
      <c r="Z551" s="9"/>
      <c r="AA551" s="9"/>
      <c r="AB551" s="9"/>
      <c r="AC551" s="9"/>
      <c r="AD551" s="9"/>
    </row>
    <row r="552" spans="1:30" ht="18.75" x14ac:dyDescent="0.3">
      <c r="A552" s="42"/>
      <c r="B552" s="42"/>
      <c r="C552" s="74"/>
      <c r="D552" s="74"/>
      <c r="E552" s="70"/>
      <c r="F552" s="70"/>
      <c r="G552" s="70"/>
      <c r="H552" s="70"/>
      <c r="I552" s="70"/>
      <c r="J552" s="77"/>
      <c r="K552" s="77"/>
      <c r="L552" s="9"/>
      <c r="M552" s="42"/>
      <c r="N552" s="42"/>
      <c r="O552" s="9"/>
      <c r="P552" s="9"/>
      <c r="Q552" s="9"/>
      <c r="R552" s="33"/>
      <c r="S552" s="9"/>
      <c r="U552" s="8"/>
      <c r="V552" s="9"/>
      <c r="W552" s="9"/>
      <c r="X552" s="9"/>
      <c r="Y552" s="9"/>
      <c r="Z552" s="9"/>
      <c r="AA552" s="9"/>
      <c r="AB552" s="9"/>
      <c r="AC552" s="9"/>
      <c r="AD552" s="9"/>
    </row>
    <row r="553" spans="1:30" ht="18.75" x14ac:dyDescent="0.3">
      <c r="A553" s="42"/>
      <c r="B553" s="42"/>
      <c r="C553" s="74"/>
      <c r="D553" s="74"/>
      <c r="E553" s="70"/>
      <c r="F553" s="70"/>
      <c r="G553" s="70"/>
      <c r="H553" s="70"/>
      <c r="I553" s="70"/>
      <c r="J553" s="77"/>
      <c r="K553" s="77"/>
      <c r="L553" s="9"/>
      <c r="M553" s="42"/>
      <c r="N553" s="42"/>
      <c r="O553" s="9"/>
      <c r="P553" s="9"/>
      <c r="Q553" s="9"/>
      <c r="R553" s="33"/>
      <c r="S553" s="9"/>
      <c r="U553" s="8"/>
      <c r="V553" s="9"/>
      <c r="W553" s="9"/>
      <c r="X553" s="9"/>
      <c r="Y553" s="9"/>
      <c r="Z553" s="9"/>
      <c r="AA553" s="9"/>
      <c r="AB553" s="9"/>
      <c r="AC553" s="9"/>
      <c r="AD553" s="9"/>
    </row>
    <row r="554" spans="1:30" ht="18.75" x14ac:dyDescent="0.3">
      <c r="A554" s="42"/>
      <c r="B554" s="42"/>
      <c r="C554" s="74"/>
      <c r="D554" s="74"/>
      <c r="E554" s="70"/>
      <c r="F554" s="70"/>
      <c r="G554" s="70"/>
      <c r="H554" s="70"/>
      <c r="I554" s="70"/>
      <c r="J554" s="77"/>
      <c r="K554" s="77"/>
      <c r="L554" s="9"/>
      <c r="M554" s="42"/>
      <c r="N554" s="42"/>
      <c r="O554" s="9"/>
      <c r="P554" s="9"/>
      <c r="Q554" s="9"/>
      <c r="R554" s="33"/>
      <c r="S554" s="9"/>
      <c r="U554" s="8"/>
      <c r="V554" s="9"/>
      <c r="W554" s="9"/>
      <c r="X554" s="9"/>
      <c r="Y554" s="9"/>
      <c r="Z554" s="9"/>
      <c r="AA554" s="9"/>
      <c r="AB554" s="9"/>
      <c r="AC554" s="9"/>
      <c r="AD554" s="9"/>
    </row>
    <row r="555" spans="1:30" ht="18.75" x14ac:dyDescent="0.3">
      <c r="A555" s="42"/>
      <c r="B555" s="42"/>
      <c r="C555" s="74"/>
      <c r="D555" s="74"/>
      <c r="E555" s="70"/>
      <c r="F555" s="70"/>
      <c r="G555" s="70"/>
      <c r="H555" s="70"/>
      <c r="I555" s="70"/>
      <c r="J555" s="77"/>
      <c r="K555" s="77"/>
      <c r="L555" s="9"/>
      <c r="M555" s="42"/>
      <c r="N555" s="42"/>
      <c r="O555" s="9"/>
      <c r="P555" s="9"/>
      <c r="Q555" s="9"/>
      <c r="R555" s="33"/>
      <c r="S555" s="9"/>
      <c r="U555" s="8"/>
      <c r="V555" s="9"/>
      <c r="W555" s="9"/>
      <c r="X555" s="9"/>
      <c r="Y555" s="9"/>
      <c r="Z555" s="9"/>
      <c r="AA555" s="9"/>
      <c r="AB555" s="9"/>
      <c r="AC555" s="9"/>
      <c r="AD555" s="9"/>
    </row>
    <row r="556" spans="1:30" ht="18.75" x14ac:dyDescent="0.3">
      <c r="A556" s="42"/>
      <c r="B556" s="42"/>
      <c r="C556" s="74"/>
      <c r="D556" s="74"/>
      <c r="E556" s="70"/>
      <c r="F556" s="70"/>
      <c r="G556" s="70"/>
      <c r="H556" s="70"/>
      <c r="I556" s="70"/>
      <c r="J556" s="77"/>
      <c r="K556" s="77"/>
      <c r="L556" s="9"/>
      <c r="M556" s="42"/>
      <c r="N556" s="42"/>
      <c r="O556" s="9"/>
      <c r="P556" s="9"/>
      <c r="Q556" s="9"/>
      <c r="R556" s="33"/>
      <c r="S556" s="9"/>
      <c r="U556" s="8"/>
      <c r="V556" s="9"/>
      <c r="W556" s="9"/>
      <c r="X556" s="9"/>
      <c r="Y556" s="9"/>
      <c r="Z556" s="9"/>
      <c r="AA556" s="9"/>
      <c r="AB556" s="9"/>
      <c r="AC556" s="9"/>
      <c r="AD556" s="9"/>
    </row>
    <row r="557" spans="1:30" ht="18.75" x14ac:dyDescent="0.3">
      <c r="A557" s="42"/>
      <c r="B557" s="42"/>
      <c r="C557" s="74"/>
      <c r="D557" s="74"/>
      <c r="E557" s="70"/>
      <c r="F557" s="70"/>
      <c r="G557" s="70"/>
      <c r="H557" s="70"/>
      <c r="I557" s="70"/>
      <c r="J557" s="77"/>
      <c r="K557" s="77"/>
      <c r="L557" s="9"/>
      <c r="M557" s="42"/>
      <c r="N557" s="42"/>
      <c r="O557" s="9"/>
      <c r="P557" s="9"/>
      <c r="Q557" s="9"/>
      <c r="R557" s="33"/>
      <c r="S557" s="9"/>
      <c r="U557" s="8"/>
      <c r="V557" s="9"/>
      <c r="W557" s="9"/>
      <c r="X557" s="9"/>
      <c r="Y557" s="9"/>
      <c r="Z557" s="9"/>
      <c r="AA557" s="9"/>
      <c r="AB557" s="9"/>
      <c r="AC557" s="9"/>
      <c r="AD557" s="9"/>
    </row>
    <row r="558" spans="1:30" ht="18.75" x14ac:dyDescent="0.3">
      <c r="A558" s="42"/>
      <c r="B558" s="42"/>
      <c r="C558" s="74"/>
      <c r="D558" s="74"/>
      <c r="E558" s="70"/>
      <c r="F558" s="70"/>
      <c r="G558" s="70"/>
      <c r="H558" s="70"/>
      <c r="I558" s="70"/>
      <c r="J558" s="77"/>
      <c r="K558" s="77"/>
      <c r="L558" s="9"/>
      <c r="M558" s="42"/>
      <c r="N558" s="42"/>
      <c r="O558" s="9"/>
      <c r="P558" s="9"/>
      <c r="Q558" s="9"/>
      <c r="R558" s="33"/>
      <c r="S558" s="9"/>
      <c r="U558" s="8"/>
      <c r="V558" s="9"/>
      <c r="W558" s="9"/>
      <c r="X558" s="9"/>
      <c r="Y558" s="9"/>
      <c r="Z558" s="9"/>
      <c r="AA558" s="9"/>
      <c r="AB558" s="9"/>
      <c r="AC558" s="9"/>
      <c r="AD558" s="9"/>
    </row>
    <row r="559" spans="1:30" ht="18.75" x14ac:dyDescent="0.3">
      <c r="A559" s="42"/>
      <c r="B559" s="42"/>
      <c r="C559" s="74"/>
      <c r="D559" s="74"/>
      <c r="E559" s="70"/>
      <c r="F559" s="70"/>
      <c r="G559" s="70"/>
      <c r="H559" s="70"/>
      <c r="I559" s="70"/>
      <c r="J559" s="77"/>
      <c r="K559" s="77"/>
      <c r="L559" s="9"/>
      <c r="M559" s="42"/>
      <c r="N559" s="42"/>
      <c r="O559" s="9"/>
      <c r="P559" s="9"/>
      <c r="Q559" s="9"/>
      <c r="R559" s="33"/>
      <c r="S559" s="9"/>
      <c r="U559" s="8"/>
      <c r="V559" s="9"/>
      <c r="W559" s="9"/>
      <c r="X559" s="9"/>
      <c r="Y559" s="9"/>
      <c r="Z559" s="9"/>
      <c r="AA559" s="9"/>
      <c r="AB559" s="9"/>
      <c r="AC559" s="9"/>
      <c r="AD559" s="9"/>
    </row>
    <row r="560" spans="1:30" ht="18.75" x14ac:dyDescent="0.3">
      <c r="A560" s="42"/>
      <c r="B560" s="42"/>
      <c r="C560" s="74"/>
      <c r="D560" s="74"/>
      <c r="E560" s="70"/>
      <c r="F560" s="70"/>
      <c r="G560" s="70"/>
      <c r="H560" s="70"/>
      <c r="I560" s="70"/>
      <c r="J560" s="77"/>
      <c r="K560" s="77"/>
      <c r="L560" s="9"/>
      <c r="M560" s="42"/>
      <c r="N560" s="42"/>
      <c r="O560" s="9"/>
      <c r="P560" s="9"/>
      <c r="Q560" s="9"/>
      <c r="R560" s="33"/>
      <c r="S560" s="9"/>
      <c r="U560" s="8"/>
      <c r="V560" s="9"/>
      <c r="W560" s="9"/>
      <c r="X560" s="9"/>
      <c r="Y560" s="9"/>
      <c r="Z560" s="9"/>
      <c r="AA560" s="9"/>
      <c r="AB560" s="9"/>
      <c r="AC560" s="9"/>
      <c r="AD560" s="9"/>
    </row>
    <row r="561" spans="1:30" ht="18.75" x14ac:dyDescent="0.3">
      <c r="A561" s="42"/>
      <c r="B561" s="42"/>
      <c r="C561" s="74"/>
      <c r="D561" s="74"/>
      <c r="E561" s="70"/>
      <c r="F561" s="70"/>
      <c r="G561" s="70"/>
      <c r="H561" s="70"/>
      <c r="I561" s="70"/>
      <c r="J561" s="77"/>
      <c r="K561" s="77"/>
      <c r="L561" s="9"/>
      <c r="M561" s="42"/>
      <c r="N561" s="42"/>
      <c r="O561" s="9"/>
      <c r="P561" s="9"/>
      <c r="Q561" s="9"/>
      <c r="R561" s="33"/>
      <c r="S561" s="9"/>
      <c r="U561" s="8"/>
      <c r="V561" s="9"/>
      <c r="W561" s="9"/>
      <c r="X561" s="9"/>
      <c r="Y561" s="9"/>
      <c r="Z561" s="9"/>
      <c r="AA561" s="9"/>
      <c r="AB561" s="9"/>
      <c r="AC561" s="9"/>
      <c r="AD561" s="9"/>
    </row>
    <row r="562" spans="1:30" ht="18.75" x14ac:dyDescent="0.3">
      <c r="A562" s="42"/>
      <c r="B562" s="42"/>
      <c r="C562" s="74"/>
      <c r="D562" s="74"/>
      <c r="E562" s="70"/>
      <c r="F562" s="70"/>
      <c r="G562" s="70"/>
      <c r="H562" s="70"/>
      <c r="I562" s="70"/>
      <c r="J562" s="77"/>
      <c r="K562" s="77"/>
      <c r="L562" s="9"/>
      <c r="M562" s="42"/>
      <c r="N562" s="42"/>
      <c r="O562" s="9"/>
      <c r="P562" s="9"/>
      <c r="Q562" s="9"/>
      <c r="R562" s="33"/>
      <c r="S562" s="9"/>
      <c r="U562" s="8"/>
      <c r="V562" s="9"/>
      <c r="W562" s="9"/>
      <c r="X562" s="9"/>
      <c r="Y562" s="9"/>
      <c r="Z562" s="9"/>
      <c r="AA562" s="9"/>
      <c r="AB562" s="9"/>
      <c r="AC562" s="9"/>
      <c r="AD562" s="9"/>
    </row>
    <row r="563" spans="1:30" ht="18.75" x14ac:dyDescent="0.3">
      <c r="A563" s="42"/>
      <c r="B563" s="42"/>
      <c r="C563" s="74"/>
      <c r="D563" s="74"/>
      <c r="E563" s="70"/>
      <c r="F563" s="70"/>
      <c r="G563" s="70"/>
      <c r="H563" s="70"/>
      <c r="I563" s="70"/>
      <c r="J563" s="77"/>
      <c r="K563" s="77"/>
      <c r="L563" s="9"/>
      <c r="M563" s="42"/>
      <c r="N563" s="42"/>
      <c r="O563" s="9"/>
      <c r="P563" s="9"/>
      <c r="Q563" s="9"/>
      <c r="R563" s="33"/>
      <c r="S563" s="9"/>
      <c r="U563" s="8"/>
      <c r="V563" s="9"/>
      <c r="W563" s="9"/>
      <c r="X563" s="9"/>
      <c r="Y563" s="9"/>
      <c r="Z563" s="9"/>
      <c r="AA563" s="9"/>
      <c r="AB563" s="9"/>
      <c r="AC563" s="9"/>
      <c r="AD563" s="9"/>
    </row>
    <row r="564" spans="1:30" ht="18.75" x14ac:dyDescent="0.3">
      <c r="A564" s="42"/>
      <c r="B564" s="42"/>
      <c r="C564" s="74"/>
      <c r="D564" s="74"/>
      <c r="E564" s="70"/>
      <c r="F564" s="70"/>
      <c r="G564" s="70"/>
      <c r="H564" s="70"/>
      <c r="I564" s="70"/>
      <c r="J564" s="77"/>
      <c r="K564" s="77"/>
      <c r="L564" s="9"/>
      <c r="M564" s="42"/>
      <c r="N564" s="42"/>
      <c r="O564" s="9"/>
      <c r="P564" s="9"/>
      <c r="Q564" s="9"/>
      <c r="R564" s="33"/>
      <c r="S564" s="9"/>
      <c r="U564" s="8"/>
      <c r="V564" s="9"/>
      <c r="W564" s="9"/>
      <c r="X564" s="9"/>
      <c r="Y564" s="9"/>
      <c r="Z564" s="9"/>
      <c r="AA564" s="9"/>
      <c r="AB564" s="9"/>
      <c r="AC564" s="9"/>
      <c r="AD564" s="9"/>
    </row>
    <row r="565" spans="1:30" ht="18.75" x14ac:dyDescent="0.3">
      <c r="A565" s="42"/>
      <c r="B565" s="42"/>
      <c r="C565" s="74"/>
      <c r="D565" s="74"/>
      <c r="E565" s="70"/>
      <c r="F565" s="70"/>
      <c r="G565" s="70"/>
      <c r="H565" s="70"/>
      <c r="I565" s="70"/>
      <c r="J565" s="77"/>
      <c r="K565" s="77"/>
      <c r="L565" s="9"/>
      <c r="M565" s="42"/>
      <c r="N565" s="42"/>
      <c r="O565" s="9"/>
      <c r="P565" s="9"/>
      <c r="Q565" s="9"/>
      <c r="R565" s="33"/>
      <c r="S565" s="9"/>
      <c r="U565" s="8"/>
      <c r="V565" s="9"/>
      <c r="W565" s="9"/>
      <c r="X565" s="9"/>
      <c r="Y565" s="9"/>
      <c r="Z565" s="9"/>
      <c r="AA565" s="9"/>
      <c r="AB565" s="9"/>
      <c r="AC565" s="9"/>
      <c r="AD565" s="9"/>
    </row>
    <row r="566" spans="1:30" ht="18.75" x14ac:dyDescent="0.3">
      <c r="A566" s="42"/>
      <c r="B566" s="42"/>
      <c r="C566" s="74"/>
      <c r="D566" s="74"/>
      <c r="E566" s="70"/>
      <c r="F566" s="70"/>
      <c r="G566" s="70"/>
      <c r="H566" s="70"/>
      <c r="I566" s="70"/>
      <c r="J566" s="77"/>
      <c r="K566" s="77"/>
      <c r="L566" s="9"/>
      <c r="M566" s="42"/>
      <c r="N566" s="42"/>
      <c r="O566" s="9"/>
      <c r="P566" s="9"/>
      <c r="Q566" s="9"/>
      <c r="R566" s="33"/>
      <c r="S566" s="9"/>
      <c r="U566" s="8"/>
      <c r="V566" s="9"/>
      <c r="W566" s="9"/>
      <c r="X566" s="9"/>
      <c r="Y566" s="9"/>
      <c r="Z566" s="9"/>
      <c r="AA566" s="9"/>
      <c r="AB566" s="9"/>
      <c r="AC566" s="9"/>
      <c r="AD566" s="9"/>
    </row>
    <row r="567" spans="1:30" ht="18.75" x14ac:dyDescent="0.3">
      <c r="A567" s="42"/>
      <c r="B567" s="42"/>
      <c r="C567" s="74"/>
      <c r="D567" s="74"/>
      <c r="E567" s="70"/>
      <c r="F567" s="70"/>
      <c r="G567" s="70"/>
      <c r="H567" s="70"/>
      <c r="I567" s="70"/>
      <c r="J567" s="77"/>
      <c r="K567" s="77"/>
      <c r="L567" s="9"/>
      <c r="M567" s="42"/>
      <c r="N567" s="42"/>
      <c r="O567" s="9"/>
      <c r="P567" s="9"/>
      <c r="Q567" s="9"/>
      <c r="R567" s="33"/>
      <c r="S567" s="9"/>
      <c r="U567" s="8"/>
      <c r="V567" s="9"/>
      <c r="W567" s="9"/>
      <c r="X567" s="9"/>
      <c r="Y567" s="9"/>
      <c r="Z567" s="9"/>
      <c r="AA567" s="9"/>
      <c r="AB567" s="9"/>
      <c r="AC567" s="9"/>
      <c r="AD567" s="9"/>
    </row>
    <row r="568" spans="1:30" ht="18.75" x14ac:dyDescent="0.3">
      <c r="A568" s="42"/>
      <c r="B568" s="42"/>
      <c r="C568" s="74"/>
      <c r="D568" s="74"/>
      <c r="E568" s="70"/>
      <c r="F568" s="70"/>
      <c r="G568" s="70"/>
      <c r="H568" s="70"/>
      <c r="I568" s="70"/>
      <c r="J568" s="77"/>
      <c r="K568" s="77"/>
      <c r="L568" s="9"/>
      <c r="M568" s="42"/>
      <c r="N568" s="42"/>
      <c r="O568" s="9"/>
      <c r="P568" s="9"/>
      <c r="Q568" s="9"/>
      <c r="R568" s="33"/>
      <c r="S568" s="9"/>
      <c r="U568" s="8"/>
      <c r="V568" s="9"/>
      <c r="W568" s="9"/>
      <c r="X568" s="9"/>
      <c r="Y568" s="9"/>
      <c r="Z568" s="9"/>
      <c r="AA568" s="9"/>
      <c r="AB568" s="9"/>
      <c r="AC568" s="9"/>
      <c r="AD568" s="9"/>
    </row>
    <row r="569" spans="1:30" ht="18.75" x14ac:dyDescent="0.3">
      <c r="A569" s="42"/>
      <c r="B569" s="42"/>
      <c r="C569" s="74"/>
      <c r="D569" s="74"/>
      <c r="E569" s="70"/>
      <c r="F569" s="70"/>
      <c r="G569" s="70"/>
      <c r="H569" s="70"/>
      <c r="I569" s="70"/>
      <c r="J569" s="77"/>
      <c r="K569" s="77"/>
      <c r="L569" s="9"/>
      <c r="M569" s="42"/>
      <c r="N569" s="42"/>
      <c r="O569" s="9"/>
      <c r="P569" s="9"/>
      <c r="Q569" s="9"/>
      <c r="R569" s="33"/>
      <c r="S569" s="9"/>
      <c r="U569" s="8"/>
      <c r="V569" s="9"/>
      <c r="W569" s="9"/>
      <c r="X569" s="9"/>
      <c r="Y569" s="9"/>
      <c r="Z569" s="9"/>
      <c r="AA569" s="9"/>
      <c r="AB569" s="9"/>
      <c r="AC569" s="9"/>
      <c r="AD569" s="9"/>
    </row>
    <row r="570" spans="1:30" ht="18.75" x14ac:dyDescent="0.3">
      <c r="A570" s="42"/>
      <c r="B570" s="42"/>
      <c r="C570" s="74"/>
      <c r="D570" s="74"/>
      <c r="E570" s="70"/>
      <c r="F570" s="70"/>
      <c r="G570" s="70"/>
      <c r="H570" s="70"/>
      <c r="I570" s="70"/>
      <c r="J570" s="77"/>
      <c r="K570" s="77"/>
      <c r="L570" s="9"/>
      <c r="M570" s="42"/>
      <c r="N570" s="42"/>
      <c r="O570" s="9"/>
      <c r="P570" s="9"/>
      <c r="Q570" s="9"/>
      <c r="R570" s="33"/>
      <c r="S570" s="9"/>
      <c r="U570" s="8"/>
      <c r="V570" s="9"/>
      <c r="W570" s="9"/>
      <c r="X570" s="9"/>
      <c r="Y570" s="9"/>
      <c r="Z570" s="9"/>
      <c r="AA570" s="9"/>
      <c r="AB570" s="9"/>
      <c r="AC570" s="9"/>
      <c r="AD570" s="9"/>
    </row>
    <row r="571" spans="1:30" ht="18.75" x14ac:dyDescent="0.3">
      <c r="A571" s="42"/>
      <c r="B571" s="42"/>
      <c r="C571" s="74"/>
      <c r="D571" s="74"/>
      <c r="E571" s="70"/>
      <c r="F571" s="70"/>
      <c r="G571" s="70"/>
      <c r="H571" s="70"/>
      <c r="I571" s="70"/>
      <c r="J571" s="77"/>
      <c r="K571" s="77"/>
      <c r="L571" s="9"/>
      <c r="M571" s="42"/>
      <c r="N571" s="42"/>
      <c r="O571" s="9"/>
      <c r="P571" s="9"/>
      <c r="Q571" s="9"/>
      <c r="R571" s="33"/>
      <c r="S571" s="9"/>
      <c r="U571" s="8"/>
      <c r="V571" s="9"/>
      <c r="W571" s="9"/>
      <c r="X571" s="9"/>
      <c r="Y571" s="9"/>
      <c r="Z571" s="9"/>
      <c r="AA571" s="9"/>
      <c r="AB571" s="9"/>
      <c r="AC571" s="9"/>
      <c r="AD571" s="9"/>
    </row>
    <row r="572" spans="1:30" ht="18.75" x14ac:dyDescent="0.3">
      <c r="A572" s="42"/>
      <c r="B572" s="42"/>
      <c r="C572" s="74"/>
      <c r="D572" s="74"/>
      <c r="E572" s="70"/>
      <c r="F572" s="70"/>
      <c r="G572" s="70"/>
      <c r="H572" s="70"/>
      <c r="I572" s="70"/>
      <c r="J572" s="77"/>
      <c r="K572" s="77"/>
      <c r="L572" s="9"/>
      <c r="M572" s="42"/>
      <c r="N572" s="42"/>
      <c r="O572" s="9"/>
      <c r="P572" s="9"/>
      <c r="Q572" s="9"/>
      <c r="R572" s="33"/>
      <c r="S572" s="9"/>
      <c r="U572" s="8"/>
      <c r="V572" s="9"/>
      <c r="W572" s="9"/>
      <c r="X572" s="9"/>
      <c r="Y572" s="9"/>
      <c r="Z572" s="9"/>
      <c r="AA572" s="9"/>
      <c r="AB572" s="9"/>
      <c r="AC572" s="9"/>
      <c r="AD572" s="9"/>
    </row>
    <row r="573" spans="1:30" ht="18.75" x14ac:dyDescent="0.3">
      <c r="A573" s="42"/>
      <c r="B573" s="42"/>
      <c r="C573" s="74"/>
      <c r="D573" s="74"/>
      <c r="E573" s="70"/>
      <c r="F573" s="70"/>
      <c r="G573" s="70"/>
      <c r="H573" s="70"/>
      <c r="I573" s="70"/>
      <c r="J573" s="77"/>
      <c r="K573" s="77"/>
      <c r="L573" s="9"/>
      <c r="M573" s="42"/>
      <c r="N573" s="42"/>
      <c r="O573" s="9"/>
      <c r="P573" s="9"/>
      <c r="Q573" s="9"/>
      <c r="R573" s="33"/>
      <c r="S573" s="9"/>
      <c r="U573" s="8"/>
      <c r="V573" s="9"/>
      <c r="W573" s="9"/>
      <c r="X573" s="9"/>
      <c r="Y573" s="9"/>
      <c r="Z573" s="9"/>
      <c r="AA573" s="9"/>
      <c r="AB573" s="9"/>
      <c r="AC573" s="9"/>
      <c r="AD573" s="9"/>
    </row>
    <row r="574" spans="1:30" ht="18.75" x14ac:dyDescent="0.3">
      <c r="A574" s="42"/>
      <c r="B574" s="42"/>
      <c r="C574" s="74"/>
      <c r="D574" s="74"/>
      <c r="E574" s="70"/>
      <c r="F574" s="70"/>
      <c r="G574" s="70"/>
      <c r="H574" s="70"/>
      <c r="I574" s="70"/>
      <c r="J574" s="77"/>
      <c r="K574" s="77"/>
      <c r="L574" s="9"/>
      <c r="M574" s="42"/>
      <c r="N574" s="42"/>
      <c r="O574" s="9"/>
      <c r="P574" s="9"/>
      <c r="Q574" s="9"/>
      <c r="R574" s="33"/>
      <c r="S574" s="9"/>
      <c r="U574" s="8"/>
      <c r="V574" s="9"/>
      <c r="W574" s="9"/>
      <c r="X574" s="9"/>
      <c r="Y574" s="9"/>
      <c r="Z574" s="9"/>
      <c r="AA574" s="9"/>
      <c r="AB574" s="9"/>
      <c r="AC574" s="9"/>
      <c r="AD574" s="9"/>
    </row>
    <row r="575" spans="1:30" ht="18.75" x14ac:dyDescent="0.3">
      <c r="A575" s="42"/>
      <c r="B575" s="42"/>
      <c r="C575" s="74"/>
      <c r="D575" s="74"/>
      <c r="E575" s="70"/>
      <c r="F575" s="70"/>
      <c r="G575" s="70"/>
      <c r="H575" s="70"/>
      <c r="I575" s="70"/>
      <c r="J575" s="77"/>
      <c r="K575" s="77"/>
      <c r="L575" s="9"/>
      <c r="M575" s="42"/>
      <c r="N575" s="42"/>
      <c r="O575" s="9"/>
      <c r="P575" s="9"/>
      <c r="Q575" s="9"/>
      <c r="R575" s="33"/>
      <c r="S575" s="9"/>
      <c r="U575" s="8"/>
      <c r="V575" s="9"/>
      <c r="W575" s="9"/>
      <c r="X575" s="9"/>
      <c r="Y575" s="9"/>
      <c r="Z575" s="9"/>
      <c r="AA575" s="9"/>
      <c r="AB575" s="9"/>
      <c r="AC575" s="9"/>
      <c r="AD575" s="9"/>
    </row>
    <row r="576" spans="1:30" ht="18.75" x14ac:dyDescent="0.3">
      <c r="A576" s="42"/>
      <c r="B576" s="42"/>
      <c r="C576" s="74"/>
      <c r="D576" s="74"/>
      <c r="E576" s="70"/>
      <c r="F576" s="70"/>
      <c r="G576" s="70"/>
      <c r="H576" s="70"/>
      <c r="I576" s="70"/>
      <c r="J576" s="77"/>
      <c r="K576" s="77"/>
      <c r="L576" s="9"/>
      <c r="M576" s="42"/>
      <c r="N576" s="42"/>
      <c r="O576" s="9"/>
      <c r="P576" s="9"/>
      <c r="Q576" s="9"/>
      <c r="R576" s="33"/>
      <c r="S576" s="9"/>
      <c r="U576" s="8"/>
      <c r="V576" s="9"/>
      <c r="W576" s="9"/>
      <c r="X576" s="9"/>
      <c r="Y576" s="9"/>
      <c r="Z576" s="9"/>
      <c r="AA576" s="9"/>
      <c r="AB576" s="9"/>
      <c r="AC576" s="9"/>
      <c r="AD576" s="9"/>
    </row>
    <row r="577" spans="1:30" ht="18.75" x14ac:dyDescent="0.3">
      <c r="A577" s="42"/>
      <c r="B577" s="42"/>
      <c r="C577" s="74"/>
      <c r="D577" s="74"/>
      <c r="E577" s="70"/>
      <c r="F577" s="70"/>
      <c r="G577" s="70"/>
      <c r="H577" s="70"/>
      <c r="I577" s="70"/>
      <c r="J577" s="77"/>
      <c r="K577" s="77"/>
      <c r="L577" s="9"/>
      <c r="M577" s="42"/>
      <c r="N577" s="42"/>
      <c r="O577" s="9"/>
      <c r="P577" s="9"/>
      <c r="Q577" s="9"/>
      <c r="R577" s="33"/>
      <c r="S577" s="9"/>
      <c r="U577" s="8"/>
      <c r="V577" s="9"/>
      <c r="W577" s="9"/>
      <c r="X577" s="9"/>
      <c r="Y577" s="9"/>
      <c r="Z577" s="9"/>
      <c r="AA577" s="9"/>
      <c r="AB577" s="9"/>
      <c r="AC577" s="9"/>
      <c r="AD577" s="9"/>
    </row>
    <row r="578" spans="1:30" ht="18.75" x14ac:dyDescent="0.3">
      <c r="A578" s="42"/>
      <c r="B578" s="42"/>
      <c r="C578" s="74"/>
      <c r="D578" s="74"/>
      <c r="E578" s="70"/>
      <c r="F578" s="70"/>
      <c r="G578" s="70"/>
      <c r="H578" s="70"/>
      <c r="I578" s="70"/>
      <c r="J578" s="77"/>
      <c r="K578" s="77"/>
      <c r="L578" s="9"/>
      <c r="M578" s="42"/>
      <c r="N578" s="42"/>
      <c r="O578" s="9"/>
      <c r="P578" s="9"/>
      <c r="Q578" s="9"/>
      <c r="R578" s="33"/>
      <c r="S578" s="9"/>
      <c r="U578" s="8"/>
      <c r="V578" s="9"/>
      <c r="W578" s="9"/>
      <c r="X578" s="9"/>
      <c r="Y578" s="9"/>
      <c r="Z578" s="9"/>
      <c r="AA578" s="9"/>
      <c r="AB578" s="9"/>
      <c r="AC578" s="9"/>
      <c r="AD578" s="9"/>
    </row>
    <row r="579" spans="1:30" ht="18.75" x14ac:dyDescent="0.3">
      <c r="A579" s="42"/>
      <c r="B579" s="42"/>
      <c r="C579" s="74"/>
      <c r="D579" s="74"/>
      <c r="E579" s="70"/>
      <c r="F579" s="70"/>
      <c r="G579" s="70"/>
      <c r="H579" s="70"/>
      <c r="I579" s="70"/>
      <c r="J579" s="77"/>
      <c r="K579" s="77"/>
      <c r="L579" s="9"/>
      <c r="M579" s="42"/>
      <c r="N579" s="42"/>
      <c r="O579" s="9"/>
      <c r="P579" s="9"/>
      <c r="Q579" s="9"/>
      <c r="R579" s="33"/>
      <c r="S579" s="9"/>
      <c r="U579" s="8"/>
      <c r="V579" s="9"/>
      <c r="W579" s="9"/>
      <c r="X579" s="9"/>
      <c r="Y579" s="9"/>
      <c r="Z579" s="9"/>
      <c r="AA579" s="9"/>
      <c r="AB579" s="9"/>
      <c r="AC579" s="9"/>
      <c r="AD579" s="9"/>
    </row>
    <row r="580" spans="1:30" ht="18.75" x14ac:dyDescent="0.3">
      <c r="A580" s="42"/>
      <c r="B580" s="42"/>
      <c r="C580" s="74"/>
      <c r="D580" s="74"/>
      <c r="E580" s="70"/>
      <c r="F580" s="70"/>
      <c r="G580" s="70"/>
      <c r="H580" s="70"/>
      <c r="I580" s="70"/>
      <c r="J580" s="77"/>
      <c r="K580" s="77"/>
      <c r="L580" s="9"/>
      <c r="M580" s="42"/>
      <c r="N580" s="42"/>
      <c r="O580" s="9"/>
      <c r="P580" s="9"/>
      <c r="Q580" s="9"/>
      <c r="R580" s="33"/>
      <c r="S580" s="9"/>
      <c r="U580" s="8"/>
      <c r="V580" s="9"/>
      <c r="W580" s="9"/>
      <c r="X580" s="9"/>
      <c r="Y580" s="9"/>
      <c r="Z580" s="9"/>
      <c r="AA580" s="9"/>
      <c r="AB580" s="9"/>
      <c r="AC580" s="9"/>
      <c r="AD580" s="9"/>
    </row>
    <row r="581" spans="1:30" ht="18.75" x14ac:dyDescent="0.3">
      <c r="A581" s="42"/>
      <c r="B581" s="42"/>
      <c r="C581" s="74"/>
      <c r="D581" s="74"/>
      <c r="E581" s="70"/>
      <c r="F581" s="70"/>
      <c r="G581" s="70"/>
      <c r="H581" s="70"/>
      <c r="I581" s="70"/>
      <c r="J581" s="77"/>
      <c r="K581" s="77"/>
      <c r="L581" s="9"/>
      <c r="M581" s="42"/>
      <c r="N581" s="42"/>
      <c r="O581" s="9"/>
      <c r="P581" s="9"/>
      <c r="Q581" s="9"/>
      <c r="R581" s="33"/>
      <c r="S581" s="9"/>
      <c r="U581" s="8"/>
      <c r="V581" s="9"/>
      <c r="W581" s="9"/>
      <c r="X581" s="9"/>
      <c r="Y581" s="9"/>
      <c r="Z581" s="9"/>
      <c r="AA581" s="9"/>
      <c r="AB581" s="9"/>
      <c r="AC581" s="9"/>
      <c r="AD581" s="9"/>
    </row>
    <row r="582" spans="1:30" ht="18.75" x14ac:dyDescent="0.3">
      <c r="A582" s="42"/>
      <c r="B582" s="42"/>
      <c r="C582" s="74"/>
      <c r="D582" s="74"/>
      <c r="E582" s="70"/>
      <c r="F582" s="70"/>
      <c r="G582" s="70"/>
      <c r="H582" s="70"/>
      <c r="I582" s="70"/>
      <c r="J582" s="77"/>
      <c r="K582" s="77"/>
      <c r="L582" s="9"/>
      <c r="M582" s="42"/>
      <c r="N582" s="42"/>
      <c r="O582" s="9"/>
      <c r="P582" s="9"/>
      <c r="Q582" s="9"/>
      <c r="R582" s="33"/>
      <c r="S582" s="9"/>
      <c r="U582" s="8"/>
      <c r="V582" s="9"/>
      <c r="W582" s="9"/>
      <c r="X582" s="9"/>
      <c r="Y582" s="9"/>
      <c r="Z582" s="9"/>
      <c r="AA582" s="9"/>
      <c r="AB582" s="9"/>
      <c r="AC582" s="9"/>
      <c r="AD582" s="9"/>
    </row>
    <row r="583" spans="1:30" ht="18.75" x14ac:dyDescent="0.3">
      <c r="A583" s="42"/>
      <c r="B583" s="42"/>
      <c r="C583" s="74"/>
      <c r="D583" s="74"/>
      <c r="E583" s="70"/>
      <c r="F583" s="70"/>
      <c r="G583" s="70"/>
      <c r="H583" s="70"/>
      <c r="I583" s="70"/>
      <c r="J583" s="77"/>
      <c r="K583" s="77"/>
      <c r="L583" s="9"/>
      <c r="M583" s="42"/>
      <c r="N583" s="42"/>
      <c r="O583" s="9"/>
      <c r="P583" s="9"/>
      <c r="Q583" s="9"/>
      <c r="R583" s="33"/>
      <c r="S583" s="9"/>
      <c r="U583" s="8"/>
      <c r="V583" s="9"/>
      <c r="W583" s="9"/>
      <c r="X583" s="9"/>
      <c r="Y583" s="9"/>
      <c r="Z583" s="9"/>
      <c r="AA583" s="9"/>
      <c r="AB583" s="9"/>
      <c r="AC583" s="9"/>
      <c r="AD583" s="9"/>
    </row>
    <row r="584" spans="1:30" ht="18.75" x14ac:dyDescent="0.3">
      <c r="A584" s="42"/>
      <c r="B584" s="42"/>
      <c r="C584" s="74"/>
      <c r="D584" s="74"/>
      <c r="E584" s="70"/>
      <c r="F584" s="70"/>
      <c r="G584" s="70"/>
      <c r="H584" s="70"/>
      <c r="I584" s="70"/>
      <c r="J584" s="77"/>
      <c r="K584" s="77"/>
      <c r="L584" s="9"/>
      <c r="M584" s="42"/>
      <c r="N584" s="42"/>
      <c r="O584" s="9"/>
      <c r="P584" s="9"/>
      <c r="Q584" s="9"/>
      <c r="R584" s="33"/>
      <c r="S584" s="9"/>
      <c r="U584" s="8"/>
      <c r="V584" s="9"/>
      <c r="W584" s="9"/>
      <c r="X584" s="9"/>
      <c r="Y584" s="9"/>
      <c r="Z584" s="9"/>
      <c r="AA584" s="9"/>
      <c r="AB584" s="9"/>
      <c r="AC584" s="9"/>
      <c r="AD584" s="9"/>
    </row>
    <row r="585" spans="1:30" ht="18.75" x14ac:dyDescent="0.3">
      <c r="A585" s="42"/>
      <c r="B585" s="42"/>
      <c r="C585" s="74"/>
      <c r="D585" s="74"/>
      <c r="E585" s="70"/>
      <c r="F585" s="70"/>
      <c r="G585" s="70"/>
      <c r="H585" s="70"/>
      <c r="I585" s="70"/>
      <c r="J585" s="77"/>
      <c r="K585" s="77"/>
      <c r="L585" s="9"/>
      <c r="M585" s="42"/>
      <c r="N585" s="42"/>
      <c r="O585" s="9"/>
      <c r="P585" s="9"/>
      <c r="Q585" s="9"/>
      <c r="R585" s="33"/>
      <c r="S585" s="9"/>
      <c r="U585" s="8"/>
      <c r="V585" s="9"/>
      <c r="W585" s="9"/>
      <c r="X585" s="9"/>
      <c r="Y585" s="9"/>
      <c r="Z585" s="9"/>
      <c r="AA585" s="9"/>
      <c r="AB585" s="9"/>
      <c r="AC585" s="9"/>
      <c r="AD585" s="9"/>
    </row>
    <row r="586" spans="1:30" ht="18.75" x14ac:dyDescent="0.3">
      <c r="A586" s="42"/>
      <c r="B586" s="42"/>
      <c r="C586" s="74"/>
      <c r="D586" s="74"/>
      <c r="E586" s="70"/>
      <c r="F586" s="70"/>
      <c r="G586" s="70"/>
      <c r="H586" s="70"/>
      <c r="I586" s="70"/>
      <c r="J586" s="77"/>
      <c r="K586" s="77"/>
      <c r="L586" s="9"/>
      <c r="M586" s="42"/>
      <c r="N586" s="42"/>
      <c r="O586" s="9"/>
      <c r="P586" s="9"/>
      <c r="Q586" s="9"/>
      <c r="R586" s="33"/>
      <c r="S586" s="9"/>
      <c r="U586" s="8"/>
      <c r="V586" s="9"/>
      <c r="W586" s="9"/>
      <c r="X586" s="9"/>
      <c r="Y586" s="9"/>
      <c r="Z586" s="9"/>
      <c r="AA586" s="9"/>
      <c r="AB586" s="9"/>
      <c r="AC586" s="9"/>
      <c r="AD586" s="9"/>
    </row>
    <row r="587" spans="1:30" ht="18.75" x14ac:dyDescent="0.3">
      <c r="A587" s="42"/>
      <c r="B587" s="42"/>
      <c r="C587" s="74"/>
      <c r="D587" s="74"/>
      <c r="E587" s="70"/>
      <c r="F587" s="70"/>
      <c r="G587" s="70"/>
      <c r="H587" s="70"/>
      <c r="I587" s="70"/>
      <c r="J587" s="77"/>
      <c r="K587" s="77"/>
      <c r="L587" s="9"/>
      <c r="M587" s="42"/>
      <c r="N587" s="42"/>
      <c r="O587" s="9"/>
      <c r="P587" s="9"/>
      <c r="Q587" s="9"/>
      <c r="R587" s="33"/>
      <c r="S587" s="9"/>
      <c r="U587" s="8"/>
      <c r="V587" s="9"/>
      <c r="W587" s="9"/>
      <c r="X587" s="9"/>
      <c r="Y587" s="9"/>
      <c r="Z587" s="9"/>
      <c r="AA587" s="9"/>
      <c r="AB587" s="9"/>
      <c r="AC587" s="9"/>
      <c r="AD587" s="9"/>
    </row>
    <row r="588" spans="1:30" ht="18.75" x14ac:dyDescent="0.3">
      <c r="A588" s="42"/>
      <c r="B588" s="42"/>
      <c r="C588" s="74"/>
      <c r="D588" s="74"/>
      <c r="E588" s="70"/>
      <c r="F588" s="70"/>
      <c r="G588" s="70"/>
      <c r="H588" s="70"/>
      <c r="I588" s="70"/>
      <c r="J588" s="77"/>
      <c r="K588" s="77"/>
      <c r="L588" s="9"/>
      <c r="M588" s="42"/>
      <c r="N588" s="42"/>
      <c r="O588" s="9"/>
      <c r="P588" s="9"/>
      <c r="Q588" s="9"/>
      <c r="R588" s="33"/>
      <c r="S588" s="9"/>
      <c r="U588" s="8"/>
      <c r="V588" s="9"/>
      <c r="W588" s="9"/>
      <c r="X588" s="9"/>
      <c r="Y588" s="9"/>
      <c r="Z588" s="9"/>
      <c r="AA588" s="9"/>
      <c r="AB588" s="9"/>
      <c r="AC588" s="9"/>
      <c r="AD588" s="9"/>
    </row>
    <row r="589" spans="1:30" ht="18.75" x14ac:dyDescent="0.3">
      <c r="A589" s="42"/>
      <c r="B589" s="42"/>
      <c r="C589" s="74"/>
      <c r="D589" s="74"/>
      <c r="E589" s="70"/>
      <c r="F589" s="70"/>
      <c r="G589" s="70"/>
      <c r="H589" s="70"/>
      <c r="I589" s="70"/>
      <c r="J589" s="77"/>
      <c r="K589" s="77"/>
      <c r="L589" s="9"/>
      <c r="M589" s="42"/>
      <c r="N589" s="42"/>
      <c r="O589" s="9"/>
      <c r="P589" s="9"/>
      <c r="Q589" s="9"/>
      <c r="R589" s="33"/>
      <c r="S589" s="9"/>
      <c r="U589" s="8"/>
      <c r="V589" s="9"/>
      <c r="W589" s="9"/>
      <c r="X589" s="9"/>
      <c r="Y589" s="9"/>
      <c r="Z589" s="9"/>
      <c r="AA589" s="9"/>
      <c r="AB589" s="9"/>
      <c r="AC589" s="9"/>
      <c r="AD589" s="9"/>
    </row>
    <row r="590" spans="1:30" ht="18.75" x14ac:dyDescent="0.3">
      <c r="A590" s="42"/>
      <c r="B590" s="42"/>
      <c r="C590" s="74"/>
      <c r="D590" s="74"/>
      <c r="E590" s="70"/>
      <c r="F590" s="70"/>
      <c r="G590" s="70"/>
      <c r="H590" s="70"/>
      <c r="I590" s="70"/>
      <c r="J590" s="77"/>
      <c r="K590" s="77"/>
      <c r="L590" s="9"/>
      <c r="M590" s="42"/>
      <c r="N590" s="42"/>
      <c r="O590" s="9"/>
      <c r="P590" s="9"/>
      <c r="Q590" s="9"/>
      <c r="R590" s="33"/>
      <c r="S590" s="9"/>
      <c r="U590" s="8"/>
      <c r="V590" s="9"/>
      <c r="W590" s="9"/>
      <c r="X590" s="9"/>
      <c r="Y590" s="9"/>
      <c r="Z590" s="9"/>
      <c r="AA590" s="9"/>
      <c r="AB590" s="9"/>
      <c r="AC590" s="9"/>
      <c r="AD590" s="9"/>
    </row>
    <row r="591" spans="1:30" ht="18.75" x14ac:dyDescent="0.3">
      <c r="A591" s="42"/>
      <c r="B591" s="42"/>
      <c r="C591" s="74"/>
      <c r="D591" s="74"/>
      <c r="E591" s="70"/>
      <c r="F591" s="70"/>
      <c r="G591" s="70"/>
      <c r="H591" s="70"/>
      <c r="I591" s="70"/>
      <c r="J591" s="77"/>
      <c r="K591" s="77"/>
      <c r="L591" s="9"/>
      <c r="M591" s="42"/>
      <c r="N591" s="42"/>
      <c r="O591" s="9"/>
      <c r="P591" s="9"/>
      <c r="Q591" s="9"/>
      <c r="R591" s="33"/>
      <c r="S591" s="9"/>
      <c r="U591" s="8"/>
      <c r="V591" s="9"/>
      <c r="W591" s="9"/>
      <c r="X591" s="9"/>
      <c r="Y591" s="9"/>
      <c r="Z591" s="9"/>
      <c r="AA591" s="9"/>
      <c r="AB591" s="9"/>
      <c r="AC591" s="9"/>
      <c r="AD591" s="9"/>
    </row>
    <row r="592" spans="1:30" ht="18.75" x14ac:dyDescent="0.3">
      <c r="A592" s="42"/>
      <c r="B592" s="42"/>
      <c r="C592" s="74"/>
      <c r="D592" s="74"/>
      <c r="E592" s="70"/>
      <c r="F592" s="70"/>
      <c r="G592" s="70"/>
      <c r="H592" s="70"/>
      <c r="I592" s="70"/>
      <c r="J592" s="77"/>
      <c r="K592" s="77"/>
      <c r="L592" s="9"/>
      <c r="M592" s="42"/>
      <c r="N592" s="42"/>
      <c r="O592" s="9"/>
      <c r="P592" s="9"/>
      <c r="Q592" s="9"/>
      <c r="R592" s="33"/>
      <c r="S592" s="9"/>
      <c r="U592" s="8"/>
      <c r="V592" s="9"/>
      <c r="W592" s="9"/>
      <c r="X592" s="9"/>
      <c r="Y592" s="9"/>
      <c r="Z592" s="9"/>
      <c r="AA592" s="9"/>
      <c r="AB592" s="9"/>
      <c r="AC592" s="9"/>
      <c r="AD592" s="9"/>
    </row>
    <row r="593" spans="1:30" ht="18.75" x14ac:dyDescent="0.3">
      <c r="A593" s="42"/>
      <c r="B593" s="42"/>
      <c r="C593" s="74"/>
      <c r="D593" s="74"/>
      <c r="E593" s="70"/>
      <c r="F593" s="70"/>
      <c r="G593" s="70"/>
      <c r="H593" s="70"/>
      <c r="I593" s="70"/>
      <c r="J593" s="77"/>
      <c r="K593" s="77"/>
      <c r="L593" s="9"/>
      <c r="M593" s="42"/>
      <c r="N593" s="42"/>
      <c r="O593" s="9"/>
      <c r="P593" s="9"/>
      <c r="Q593" s="9"/>
      <c r="R593" s="33"/>
      <c r="S593" s="9"/>
      <c r="U593" s="8"/>
      <c r="V593" s="9"/>
      <c r="W593" s="9"/>
      <c r="X593" s="9"/>
      <c r="Y593" s="9"/>
      <c r="Z593" s="9"/>
      <c r="AA593" s="9"/>
      <c r="AB593" s="9"/>
      <c r="AC593" s="9"/>
      <c r="AD593" s="9"/>
    </row>
    <row r="594" spans="1:30" ht="18.75" x14ac:dyDescent="0.3">
      <c r="A594" s="42"/>
      <c r="B594" s="42"/>
      <c r="C594" s="74"/>
      <c r="D594" s="74"/>
      <c r="E594" s="70"/>
      <c r="F594" s="70"/>
      <c r="G594" s="70"/>
      <c r="H594" s="70"/>
      <c r="I594" s="70"/>
      <c r="J594" s="77"/>
      <c r="K594" s="77"/>
      <c r="L594" s="9"/>
      <c r="M594" s="42"/>
      <c r="N594" s="42"/>
      <c r="O594" s="9"/>
      <c r="P594" s="9"/>
      <c r="Q594" s="9"/>
      <c r="R594" s="33"/>
      <c r="S594" s="9"/>
      <c r="U594" s="8"/>
      <c r="V594" s="9"/>
      <c r="W594" s="9"/>
      <c r="X594" s="9"/>
      <c r="Y594" s="9"/>
      <c r="Z594" s="9"/>
      <c r="AA594" s="9"/>
      <c r="AB594" s="9"/>
      <c r="AC594" s="9"/>
      <c r="AD594" s="9"/>
    </row>
    <row r="595" spans="1:30" ht="18.75" x14ac:dyDescent="0.3">
      <c r="A595" s="42"/>
      <c r="B595" s="42"/>
      <c r="C595" s="74"/>
      <c r="D595" s="74"/>
      <c r="E595" s="70"/>
      <c r="F595" s="70"/>
      <c r="G595" s="70"/>
      <c r="H595" s="70"/>
      <c r="I595" s="70"/>
      <c r="J595" s="77"/>
      <c r="K595" s="77"/>
      <c r="L595" s="9"/>
      <c r="M595" s="42"/>
      <c r="N595" s="42"/>
      <c r="O595" s="9"/>
      <c r="P595" s="9"/>
      <c r="Q595" s="9"/>
      <c r="R595" s="33"/>
      <c r="S595" s="9"/>
      <c r="U595" s="8"/>
      <c r="V595" s="9"/>
      <c r="W595" s="9"/>
      <c r="X595" s="9"/>
      <c r="Y595" s="9"/>
      <c r="Z595" s="9"/>
      <c r="AA595" s="9"/>
      <c r="AB595" s="9"/>
      <c r="AC595" s="9"/>
      <c r="AD595" s="9"/>
    </row>
    <row r="596" spans="1:30" ht="18.75" x14ac:dyDescent="0.3">
      <c r="A596" s="42"/>
      <c r="B596" s="42"/>
      <c r="C596" s="74"/>
      <c r="D596" s="74"/>
      <c r="E596" s="70"/>
      <c r="F596" s="70"/>
      <c r="G596" s="70"/>
      <c r="H596" s="70"/>
      <c r="I596" s="70"/>
      <c r="J596" s="77"/>
      <c r="K596" s="77"/>
      <c r="L596" s="9"/>
      <c r="M596" s="42"/>
      <c r="N596" s="42"/>
      <c r="O596" s="9"/>
      <c r="P596" s="9"/>
      <c r="Q596" s="9"/>
      <c r="R596" s="33"/>
      <c r="S596" s="9"/>
      <c r="U596" s="8"/>
      <c r="V596" s="9"/>
      <c r="W596" s="9"/>
      <c r="X596" s="9"/>
      <c r="Y596" s="9"/>
      <c r="Z596" s="9"/>
      <c r="AA596" s="9"/>
      <c r="AB596" s="9"/>
      <c r="AC596" s="9"/>
      <c r="AD596" s="9"/>
    </row>
    <row r="597" spans="1:30" ht="18.75" x14ac:dyDescent="0.3">
      <c r="A597" s="42"/>
      <c r="B597" s="42"/>
      <c r="C597" s="74"/>
      <c r="D597" s="74"/>
      <c r="E597" s="70"/>
      <c r="F597" s="70"/>
      <c r="G597" s="70"/>
      <c r="H597" s="70"/>
      <c r="I597" s="70"/>
      <c r="J597" s="77"/>
      <c r="K597" s="77"/>
      <c r="L597" s="9"/>
      <c r="M597" s="42"/>
      <c r="N597" s="42"/>
      <c r="O597" s="9"/>
      <c r="P597" s="9"/>
      <c r="Q597" s="9"/>
      <c r="R597" s="33"/>
      <c r="S597" s="9"/>
      <c r="U597" s="8"/>
      <c r="V597" s="9"/>
      <c r="W597" s="9"/>
      <c r="X597" s="9"/>
      <c r="Y597" s="9"/>
      <c r="Z597" s="9"/>
      <c r="AA597" s="9"/>
      <c r="AB597" s="9"/>
      <c r="AC597" s="9"/>
      <c r="AD597" s="9"/>
    </row>
    <row r="598" spans="1:30" ht="18.75" x14ac:dyDescent="0.3">
      <c r="A598" s="42"/>
      <c r="B598" s="42"/>
      <c r="C598" s="74"/>
      <c r="D598" s="74"/>
      <c r="E598" s="70"/>
      <c r="F598" s="70"/>
      <c r="G598" s="70"/>
      <c r="H598" s="70"/>
      <c r="I598" s="70"/>
      <c r="J598" s="77"/>
      <c r="K598" s="77"/>
      <c r="L598" s="9"/>
      <c r="M598" s="42"/>
      <c r="N598" s="42"/>
      <c r="O598" s="9"/>
      <c r="P598" s="9"/>
      <c r="Q598" s="9"/>
      <c r="R598" s="33"/>
      <c r="S598" s="9"/>
      <c r="U598" s="8"/>
      <c r="V598" s="9"/>
      <c r="W598" s="9"/>
      <c r="X598" s="9"/>
      <c r="Y598" s="9"/>
      <c r="Z598" s="9"/>
      <c r="AA598" s="9"/>
      <c r="AB598" s="9"/>
      <c r="AC598" s="9"/>
      <c r="AD598" s="9"/>
    </row>
    <row r="599" spans="1:30" ht="18.75" x14ac:dyDescent="0.3">
      <c r="A599" s="42"/>
      <c r="B599" s="42"/>
      <c r="C599" s="74"/>
      <c r="D599" s="74"/>
      <c r="E599" s="70"/>
      <c r="F599" s="70"/>
      <c r="G599" s="70"/>
      <c r="H599" s="70"/>
      <c r="I599" s="70"/>
      <c r="J599" s="77"/>
      <c r="K599" s="77"/>
      <c r="L599" s="9"/>
      <c r="M599" s="42"/>
      <c r="N599" s="42"/>
      <c r="O599" s="9"/>
      <c r="P599" s="9"/>
      <c r="Q599" s="9"/>
      <c r="R599" s="33"/>
      <c r="S599" s="9"/>
      <c r="U599" s="8"/>
      <c r="V599" s="9"/>
      <c r="W599" s="9"/>
      <c r="X599" s="9"/>
      <c r="Y599" s="9"/>
      <c r="Z599" s="9"/>
      <c r="AA599" s="9"/>
      <c r="AB599" s="9"/>
      <c r="AC599" s="9"/>
      <c r="AD599" s="9"/>
    </row>
    <row r="600" spans="1:30" ht="18.75" x14ac:dyDescent="0.3">
      <c r="A600" s="42"/>
      <c r="B600" s="42"/>
      <c r="C600" s="74"/>
      <c r="D600" s="74"/>
      <c r="E600" s="70"/>
      <c r="F600" s="70"/>
      <c r="G600" s="70"/>
      <c r="H600" s="70"/>
      <c r="I600" s="70"/>
      <c r="J600" s="77"/>
      <c r="K600" s="77"/>
      <c r="L600" s="9"/>
      <c r="M600" s="42"/>
      <c r="N600" s="42"/>
      <c r="O600" s="9"/>
      <c r="P600" s="9"/>
      <c r="Q600" s="9"/>
      <c r="R600" s="33"/>
      <c r="S600" s="9"/>
      <c r="U600" s="8"/>
      <c r="V600" s="9"/>
      <c r="W600" s="9"/>
      <c r="X600" s="9"/>
      <c r="Y600" s="9"/>
      <c r="Z600" s="9"/>
      <c r="AA600" s="9"/>
      <c r="AB600" s="9"/>
      <c r="AC600" s="9"/>
      <c r="AD600" s="9"/>
    </row>
    <row r="601" spans="1:30" ht="18.75" x14ac:dyDescent="0.3">
      <c r="A601" s="42"/>
      <c r="B601" s="42"/>
      <c r="C601" s="74"/>
      <c r="D601" s="74"/>
      <c r="E601" s="70"/>
      <c r="F601" s="70"/>
      <c r="G601" s="70"/>
      <c r="H601" s="70"/>
      <c r="I601" s="70"/>
      <c r="J601" s="77"/>
      <c r="K601" s="77"/>
      <c r="L601" s="9"/>
      <c r="M601" s="42"/>
      <c r="N601" s="42"/>
      <c r="O601" s="9"/>
      <c r="P601" s="9"/>
      <c r="Q601" s="9"/>
      <c r="R601" s="33"/>
      <c r="S601" s="9"/>
      <c r="U601" s="8"/>
      <c r="V601" s="9"/>
      <c r="W601" s="9"/>
      <c r="X601" s="9"/>
      <c r="Y601" s="9"/>
      <c r="Z601" s="9"/>
      <c r="AA601" s="9"/>
      <c r="AB601" s="9"/>
      <c r="AC601" s="9"/>
      <c r="AD601" s="9"/>
    </row>
    <row r="602" spans="1:30" ht="18.75" x14ac:dyDescent="0.3">
      <c r="A602" s="42"/>
      <c r="B602" s="42"/>
      <c r="C602" s="74"/>
      <c r="D602" s="74"/>
      <c r="E602" s="70"/>
      <c r="F602" s="70"/>
      <c r="G602" s="70"/>
      <c r="H602" s="70"/>
      <c r="I602" s="70"/>
      <c r="J602" s="77"/>
      <c r="K602" s="77"/>
      <c r="L602" s="9"/>
      <c r="M602" s="42"/>
      <c r="N602" s="42"/>
      <c r="O602" s="9"/>
      <c r="P602" s="9"/>
      <c r="Q602" s="9"/>
      <c r="R602" s="33"/>
      <c r="S602" s="9"/>
      <c r="U602" s="8"/>
      <c r="V602" s="9"/>
      <c r="W602" s="9"/>
      <c r="X602" s="9"/>
      <c r="Y602" s="9"/>
      <c r="Z602" s="9"/>
      <c r="AA602" s="9"/>
      <c r="AB602" s="9"/>
      <c r="AC602" s="9"/>
      <c r="AD602" s="9"/>
    </row>
    <row r="603" spans="1:30" ht="18.75" x14ac:dyDescent="0.3">
      <c r="A603" s="42"/>
      <c r="B603" s="42"/>
      <c r="C603" s="74"/>
      <c r="D603" s="74"/>
      <c r="E603" s="70"/>
      <c r="F603" s="70"/>
      <c r="G603" s="70"/>
      <c r="H603" s="70"/>
      <c r="I603" s="70"/>
      <c r="J603" s="77"/>
      <c r="K603" s="77"/>
      <c r="L603" s="9"/>
      <c r="M603" s="42"/>
      <c r="N603" s="42"/>
      <c r="O603" s="9"/>
      <c r="P603" s="9"/>
      <c r="Q603" s="9"/>
      <c r="R603" s="33"/>
      <c r="S603" s="9"/>
      <c r="U603" s="8"/>
      <c r="V603" s="9"/>
      <c r="W603" s="9"/>
      <c r="X603" s="9"/>
      <c r="Y603" s="9"/>
      <c r="Z603" s="9"/>
      <c r="AA603" s="9"/>
      <c r="AB603" s="9"/>
      <c r="AC603" s="9"/>
      <c r="AD603" s="9"/>
    </row>
    <row r="604" spans="1:30" ht="18.75" x14ac:dyDescent="0.3">
      <c r="A604" s="42"/>
      <c r="B604" s="42"/>
      <c r="C604" s="74"/>
      <c r="D604" s="74"/>
      <c r="E604" s="70"/>
      <c r="F604" s="70"/>
      <c r="G604" s="70"/>
      <c r="H604" s="70"/>
      <c r="I604" s="70"/>
      <c r="J604" s="77"/>
      <c r="K604" s="77"/>
      <c r="L604" s="9"/>
      <c r="M604" s="42"/>
      <c r="N604" s="42"/>
      <c r="O604" s="9"/>
      <c r="P604" s="9"/>
      <c r="Q604" s="9"/>
      <c r="R604" s="33"/>
      <c r="S604" s="9"/>
      <c r="U604" s="8"/>
      <c r="V604" s="9"/>
      <c r="W604" s="9"/>
      <c r="X604" s="9"/>
      <c r="Y604" s="9"/>
      <c r="Z604" s="9"/>
      <c r="AA604" s="9"/>
      <c r="AB604" s="9"/>
      <c r="AC604" s="9"/>
      <c r="AD604" s="9"/>
    </row>
    <row r="605" spans="1:30" ht="18.75" x14ac:dyDescent="0.3">
      <c r="A605" s="42"/>
      <c r="B605" s="42"/>
      <c r="C605" s="74"/>
      <c r="D605" s="74"/>
      <c r="E605" s="70"/>
      <c r="F605" s="70"/>
      <c r="G605" s="70"/>
      <c r="H605" s="70"/>
      <c r="I605" s="70"/>
      <c r="J605" s="77"/>
      <c r="K605" s="77"/>
      <c r="L605" s="9"/>
      <c r="M605" s="42"/>
      <c r="N605" s="42"/>
      <c r="O605" s="9"/>
      <c r="P605" s="9"/>
      <c r="Q605" s="9"/>
      <c r="R605" s="33"/>
      <c r="S605" s="9"/>
      <c r="U605" s="8"/>
      <c r="V605" s="9"/>
      <c r="W605" s="9"/>
      <c r="X605" s="9"/>
      <c r="Y605" s="9"/>
      <c r="Z605" s="9"/>
      <c r="AA605" s="9"/>
      <c r="AB605" s="9"/>
      <c r="AC605" s="9"/>
      <c r="AD605" s="9"/>
    </row>
    <row r="606" spans="1:30" ht="18.75" x14ac:dyDescent="0.3">
      <c r="A606" s="42"/>
      <c r="B606" s="42"/>
      <c r="C606" s="74"/>
      <c r="D606" s="74"/>
      <c r="E606" s="70"/>
      <c r="F606" s="70"/>
      <c r="G606" s="70"/>
      <c r="H606" s="70"/>
      <c r="I606" s="70"/>
      <c r="J606" s="77"/>
      <c r="K606" s="77"/>
      <c r="L606" s="9"/>
      <c r="M606" s="42"/>
      <c r="N606" s="42"/>
      <c r="O606" s="9"/>
      <c r="P606" s="9"/>
      <c r="Q606" s="9"/>
      <c r="R606" s="33"/>
      <c r="S606" s="9"/>
      <c r="U606" s="8"/>
      <c r="V606" s="9"/>
      <c r="W606" s="9"/>
      <c r="X606" s="9"/>
      <c r="Y606" s="9"/>
      <c r="Z606" s="9"/>
      <c r="AA606" s="9"/>
      <c r="AB606" s="9"/>
      <c r="AC606" s="9"/>
      <c r="AD606" s="9"/>
    </row>
    <row r="607" spans="1:30" ht="18.75" x14ac:dyDescent="0.3">
      <c r="A607" s="42"/>
      <c r="B607" s="42"/>
      <c r="C607" s="74"/>
      <c r="D607" s="74"/>
      <c r="E607" s="70"/>
      <c r="F607" s="70"/>
      <c r="G607" s="70"/>
      <c r="H607" s="70"/>
      <c r="I607" s="70"/>
      <c r="J607" s="77"/>
      <c r="K607" s="77"/>
      <c r="L607" s="9"/>
      <c r="M607" s="42"/>
      <c r="N607" s="42"/>
      <c r="O607" s="9"/>
      <c r="P607" s="9"/>
      <c r="Q607" s="9"/>
      <c r="R607" s="33"/>
      <c r="S607" s="9"/>
      <c r="U607" s="8"/>
      <c r="V607" s="9"/>
      <c r="W607" s="9"/>
      <c r="X607" s="9"/>
      <c r="Y607" s="9"/>
      <c r="Z607" s="9"/>
      <c r="AA607" s="9"/>
      <c r="AB607" s="9"/>
      <c r="AC607" s="9"/>
      <c r="AD607" s="9"/>
    </row>
    <row r="608" spans="1:30" ht="18.75" x14ac:dyDescent="0.3">
      <c r="A608" s="42"/>
      <c r="B608" s="42"/>
      <c r="C608" s="74"/>
      <c r="D608" s="74"/>
      <c r="E608" s="70"/>
      <c r="F608" s="70"/>
      <c r="G608" s="70"/>
      <c r="H608" s="70"/>
      <c r="I608" s="70"/>
      <c r="J608" s="77"/>
      <c r="K608" s="77"/>
      <c r="L608" s="9"/>
      <c r="M608" s="42"/>
      <c r="N608" s="42"/>
      <c r="O608" s="9"/>
      <c r="P608" s="9"/>
      <c r="Q608" s="9"/>
      <c r="R608" s="33"/>
      <c r="S608" s="9"/>
      <c r="U608" s="8"/>
      <c r="V608" s="9"/>
      <c r="W608" s="9"/>
      <c r="X608" s="9"/>
      <c r="Y608" s="9"/>
      <c r="Z608" s="9"/>
      <c r="AA608" s="9"/>
      <c r="AB608" s="9"/>
      <c r="AC608" s="9"/>
      <c r="AD608" s="9"/>
    </row>
    <row r="609" spans="1:30" ht="18.75" x14ac:dyDescent="0.3">
      <c r="A609" s="42"/>
      <c r="B609" s="42"/>
      <c r="C609" s="74"/>
      <c r="D609" s="74"/>
      <c r="E609" s="70"/>
      <c r="F609" s="70"/>
      <c r="G609" s="70"/>
      <c r="H609" s="70"/>
      <c r="I609" s="70"/>
      <c r="J609" s="77"/>
      <c r="K609" s="77"/>
      <c r="L609" s="9"/>
      <c r="M609" s="42"/>
      <c r="N609" s="42"/>
      <c r="O609" s="9"/>
      <c r="P609" s="9"/>
      <c r="Q609" s="9"/>
      <c r="R609" s="33"/>
      <c r="S609" s="9"/>
      <c r="U609" s="8"/>
      <c r="V609" s="9"/>
      <c r="W609" s="9"/>
      <c r="X609" s="9"/>
      <c r="Y609" s="9"/>
      <c r="Z609" s="9"/>
      <c r="AA609" s="9"/>
      <c r="AB609" s="9"/>
      <c r="AC609" s="9"/>
      <c r="AD609" s="9"/>
    </row>
    <row r="610" spans="1:30" ht="18.75" x14ac:dyDescent="0.3">
      <c r="A610" s="42"/>
      <c r="B610" s="42"/>
      <c r="C610" s="74"/>
      <c r="D610" s="74"/>
      <c r="E610" s="70"/>
      <c r="F610" s="70"/>
      <c r="G610" s="70"/>
      <c r="H610" s="70"/>
      <c r="I610" s="70"/>
      <c r="J610" s="77"/>
      <c r="K610" s="77"/>
      <c r="L610" s="9"/>
      <c r="M610" s="42"/>
      <c r="N610" s="42"/>
      <c r="O610" s="9"/>
      <c r="P610" s="9"/>
      <c r="Q610" s="9"/>
      <c r="R610" s="33"/>
      <c r="S610" s="9"/>
      <c r="U610" s="8"/>
      <c r="V610" s="9"/>
      <c r="W610" s="9"/>
      <c r="X610" s="9"/>
      <c r="Y610" s="9"/>
      <c r="Z610" s="9"/>
      <c r="AA610" s="9"/>
      <c r="AB610" s="9"/>
      <c r="AC610" s="9"/>
      <c r="AD610" s="9"/>
    </row>
    <row r="611" spans="1:30" ht="18.75" x14ac:dyDescent="0.3">
      <c r="A611" s="42"/>
      <c r="B611" s="42"/>
      <c r="C611" s="74"/>
      <c r="D611" s="74"/>
      <c r="E611" s="70"/>
      <c r="F611" s="70"/>
      <c r="G611" s="70"/>
      <c r="H611" s="70"/>
      <c r="I611" s="70"/>
      <c r="J611" s="77"/>
      <c r="K611" s="77"/>
      <c r="L611" s="9"/>
      <c r="M611" s="42"/>
      <c r="N611" s="42"/>
      <c r="O611" s="9"/>
      <c r="P611" s="9"/>
      <c r="Q611" s="9"/>
      <c r="R611" s="33"/>
      <c r="S611" s="9"/>
      <c r="U611" s="8"/>
      <c r="V611" s="9"/>
      <c r="W611" s="9"/>
      <c r="X611" s="9"/>
      <c r="Y611" s="9"/>
      <c r="Z611" s="9"/>
      <c r="AA611" s="9"/>
      <c r="AB611" s="9"/>
      <c r="AC611" s="9"/>
      <c r="AD611" s="9"/>
    </row>
    <row r="612" spans="1:30" ht="18.75" x14ac:dyDescent="0.3">
      <c r="A612" s="42"/>
      <c r="B612" s="42"/>
      <c r="C612" s="74"/>
      <c r="D612" s="74"/>
      <c r="E612" s="70"/>
      <c r="F612" s="70"/>
      <c r="G612" s="70"/>
      <c r="H612" s="70"/>
      <c r="I612" s="70"/>
      <c r="J612" s="77"/>
      <c r="K612" s="77"/>
      <c r="L612" s="9"/>
      <c r="M612" s="42"/>
      <c r="N612" s="42"/>
      <c r="O612" s="9"/>
      <c r="P612" s="9"/>
      <c r="Q612" s="9"/>
      <c r="R612" s="33"/>
      <c r="S612" s="9"/>
      <c r="U612" s="8"/>
      <c r="V612" s="9"/>
      <c r="W612" s="9"/>
      <c r="X612" s="9"/>
      <c r="Y612" s="9"/>
      <c r="Z612" s="9"/>
      <c r="AA612" s="9"/>
      <c r="AB612" s="9"/>
      <c r="AC612" s="9"/>
      <c r="AD612" s="9"/>
    </row>
    <row r="613" spans="1:30" ht="18.75" x14ac:dyDescent="0.3">
      <c r="A613" s="42"/>
      <c r="B613" s="42"/>
      <c r="C613" s="74"/>
      <c r="D613" s="74"/>
      <c r="E613" s="70"/>
      <c r="F613" s="70"/>
      <c r="G613" s="70"/>
      <c r="H613" s="70"/>
      <c r="I613" s="70"/>
      <c r="J613" s="77"/>
      <c r="K613" s="77"/>
      <c r="L613" s="9"/>
      <c r="M613" s="42"/>
      <c r="N613" s="42"/>
      <c r="O613" s="9"/>
      <c r="P613" s="9"/>
      <c r="Q613" s="9"/>
      <c r="R613" s="33"/>
      <c r="S613" s="9"/>
      <c r="U613" s="8"/>
      <c r="V613" s="9"/>
      <c r="W613" s="9"/>
      <c r="X613" s="9"/>
      <c r="Y613" s="9"/>
      <c r="Z613" s="9"/>
      <c r="AA613" s="9"/>
      <c r="AB613" s="9"/>
      <c r="AC613" s="9"/>
      <c r="AD613" s="9"/>
    </row>
    <row r="614" spans="1:30" ht="18.75" x14ac:dyDescent="0.3">
      <c r="A614" s="42"/>
      <c r="B614" s="42"/>
      <c r="C614" s="74"/>
      <c r="D614" s="74"/>
      <c r="E614" s="70"/>
      <c r="F614" s="70"/>
      <c r="G614" s="70"/>
      <c r="H614" s="70"/>
      <c r="I614" s="70"/>
      <c r="J614" s="77"/>
      <c r="K614" s="77"/>
      <c r="L614" s="9"/>
      <c r="M614" s="42"/>
      <c r="N614" s="42"/>
      <c r="O614" s="9"/>
      <c r="P614" s="9"/>
      <c r="Q614" s="9"/>
      <c r="R614" s="33"/>
      <c r="S614" s="9"/>
      <c r="U614" s="8"/>
      <c r="V614" s="9"/>
      <c r="W614" s="9"/>
      <c r="X614" s="9"/>
      <c r="Y614" s="9"/>
      <c r="Z614" s="9"/>
      <c r="AA614" s="9"/>
      <c r="AB614" s="9"/>
      <c r="AC614" s="9"/>
      <c r="AD614" s="9"/>
    </row>
    <row r="615" spans="1:30" ht="18.75" x14ac:dyDescent="0.3">
      <c r="A615" s="42"/>
      <c r="B615" s="42"/>
      <c r="C615" s="74"/>
      <c r="D615" s="74"/>
      <c r="E615" s="70"/>
      <c r="F615" s="70"/>
      <c r="G615" s="70"/>
      <c r="H615" s="70"/>
      <c r="I615" s="70"/>
      <c r="J615" s="77"/>
      <c r="K615" s="77"/>
      <c r="L615" s="9"/>
      <c r="M615" s="42"/>
      <c r="N615" s="42"/>
      <c r="O615" s="9"/>
      <c r="P615" s="9"/>
      <c r="Q615" s="9"/>
      <c r="R615" s="33"/>
      <c r="S615" s="9"/>
      <c r="U615" s="8"/>
      <c r="V615" s="9"/>
      <c r="W615" s="9"/>
      <c r="X615" s="9"/>
      <c r="Y615" s="9"/>
      <c r="Z615" s="9"/>
      <c r="AA615" s="9"/>
      <c r="AB615" s="9"/>
      <c r="AC615" s="9"/>
      <c r="AD615" s="9"/>
    </row>
    <row r="616" spans="1:30" ht="18.75" x14ac:dyDescent="0.3">
      <c r="A616" s="42"/>
      <c r="B616" s="42"/>
      <c r="C616" s="74"/>
      <c r="D616" s="74"/>
      <c r="E616" s="70"/>
      <c r="F616" s="70"/>
      <c r="G616" s="70"/>
      <c r="H616" s="70"/>
      <c r="I616" s="70"/>
      <c r="J616" s="77"/>
      <c r="K616" s="77"/>
      <c r="L616" s="9"/>
      <c r="M616" s="42"/>
      <c r="N616" s="42"/>
      <c r="O616" s="9"/>
      <c r="P616" s="9"/>
      <c r="Q616" s="9"/>
      <c r="R616" s="33"/>
      <c r="S616" s="9"/>
      <c r="U616" s="8"/>
      <c r="V616" s="9"/>
      <c r="W616" s="9"/>
      <c r="X616" s="9"/>
      <c r="Y616" s="9"/>
      <c r="Z616" s="9"/>
      <c r="AA616" s="9"/>
      <c r="AB616" s="9"/>
      <c r="AC616" s="9"/>
      <c r="AD616" s="9"/>
    </row>
    <row r="617" spans="1:30" ht="18.75" x14ac:dyDescent="0.3">
      <c r="A617" s="42"/>
      <c r="B617" s="42"/>
      <c r="C617" s="74"/>
      <c r="D617" s="74"/>
      <c r="E617" s="70"/>
      <c r="F617" s="70"/>
      <c r="G617" s="70"/>
      <c r="H617" s="70"/>
      <c r="I617" s="70"/>
      <c r="J617" s="77"/>
      <c r="K617" s="77"/>
      <c r="L617" s="9"/>
      <c r="M617" s="42"/>
      <c r="N617" s="42"/>
      <c r="O617" s="9"/>
      <c r="P617" s="9"/>
      <c r="Q617" s="9"/>
      <c r="R617" s="33"/>
      <c r="S617" s="9"/>
      <c r="U617" s="8"/>
      <c r="V617" s="9"/>
      <c r="W617" s="9"/>
      <c r="X617" s="9"/>
      <c r="Y617" s="9"/>
      <c r="Z617" s="9"/>
      <c r="AA617" s="9"/>
      <c r="AB617" s="9"/>
      <c r="AC617" s="9"/>
      <c r="AD617" s="9"/>
    </row>
    <row r="618" spans="1:30" ht="18.75" x14ac:dyDescent="0.3">
      <c r="A618" s="42"/>
      <c r="B618" s="42"/>
      <c r="C618" s="74"/>
      <c r="D618" s="74"/>
      <c r="E618" s="70"/>
      <c r="F618" s="70"/>
      <c r="G618" s="70"/>
      <c r="H618" s="70"/>
      <c r="I618" s="70"/>
      <c r="J618" s="77"/>
      <c r="K618" s="77"/>
      <c r="L618" s="9"/>
      <c r="M618" s="42"/>
      <c r="N618" s="42"/>
      <c r="O618" s="9"/>
      <c r="P618" s="9"/>
      <c r="Q618" s="9"/>
      <c r="R618" s="33"/>
      <c r="S618" s="9"/>
      <c r="U618" s="8"/>
      <c r="V618" s="9"/>
      <c r="W618" s="9"/>
      <c r="X618" s="9"/>
      <c r="Y618" s="9"/>
      <c r="Z618" s="9"/>
      <c r="AA618" s="9"/>
      <c r="AB618" s="9"/>
      <c r="AC618" s="9"/>
      <c r="AD618" s="9"/>
    </row>
    <row r="619" spans="1:30" ht="18.75" x14ac:dyDescent="0.3">
      <c r="A619" s="42"/>
      <c r="B619" s="42"/>
      <c r="C619" s="74"/>
      <c r="D619" s="74"/>
      <c r="E619" s="70"/>
      <c r="F619" s="70"/>
      <c r="G619" s="70"/>
      <c r="H619" s="70"/>
      <c r="I619" s="70"/>
      <c r="J619" s="77"/>
      <c r="K619" s="77"/>
      <c r="L619" s="9"/>
      <c r="M619" s="42"/>
      <c r="N619" s="42"/>
      <c r="O619" s="9"/>
      <c r="P619" s="9"/>
      <c r="Q619" s="9"/>
      <c r="R619" s="33"/>
      <c r="S619" s="9"/>
      <c r="U619" s="8"/>
      <c r="V619" s="9"/>
      <c r="W619" s="9"/>
      <c r="X619" s="9"/>
      <c r="Y619" s="9"/>
      <c r="Z619" s="9"/>
      <c r="AA619" s="9"/>
      <c r="AB619" s="9"/>
      <c r="AC619" s="9"/>
      <c r="AD619" s="9"/>
    </row>
    <row r="620" spans="1:30" ht="18.75" x14ac:dyDescent="0.3">
      <c r="A620" s="42"/>
      <c r="B620" s="42"/>
      <c r="C620" s="74"/>
      <c r="D620" s="74"/>
      <c r="E620" s="70"/>
      <c r="F620" s="70"/>
      <c r="G620" s="70"/>
      <c r="H620" s="70"/>
      <c r="I620" s="70"/>
      <c r="J620" s="77"/>
      <c r="K620" s="77"/>
      <c r="L620" s="9"/>
      <c r="M620" s="42"/>
      <c r="N620" s="42"/>
      <c r="O620" s="9"/>
      <c r="P620" s="9"/>
      <c r="Q620" s="9"/>
      <c r="R620" s="33"/>
      <c r="S620" s="9"/>
      <c r="U620" s="8"/>
      <c r="V620" s="9"/>
      <c r="W620" s="9"/>
      <c r="X620" s="9"/>
      <c r="Y620" s="9"/>
      <c r="Z620" s="9"/>
      <c r="AA620" s="9"/>
      <c r="AB620" s="9"/>
      <c r="AC620" s="9"/>
      <c r="AD620" s="9"/>
    </row>
    <row r="621" spans="1:30" ht="18.75" x14ac:dyDescent="0.3">
      <c r="A621" s="42"/>
      <c r="B621" s="42"/>
      <c r="C621" s="74"/>
      <c r="D621" s="74"/>
      <c r="E621" s="70"/>
      <c r="F621" s="70"/>
      <c r="G621" s="70"/>
      <c r="H621" s="70"/>
      <c r="I621" s="70"/>
      <c r="J621" s="77"/>
      <c r="K621" s="77"/>
      <c r="L621" s="9"/>
      <c r="M621" s="42"/>
      <c r="N621" s="42"/>
      <c r="O621" s="9"/>
      <c r="P621" s="9"/>
      <c r="Q621" s="9"/>
      <c r="R621" s="33"/>
      <c r="S621" s="9"/>
      <c r="U621" s="8"/>
      <c r="V621" s="9"/>
      <c r="W621" s="9"/>
      <c r="X621" s="9"/>
      <c r="Y621" s="9"/>
      <c r="Z621" s="9"/>
      <c r="AA621" s="9"/>
      <c r="AB621" s="9"/>
      <c r="AC621" s="9"/>
      <c r="AD621" s="9"/>
    </row>
    <row r="622" spans="1:30" ht="18.75" x14ac:dyDescent="0.3">
      <c r="A622" s="42"/>
      <c r="B622" s="42"/>
      <c r="C622" s="74"/>
      <c r="D622" s="74"/>
      <c r="E622" s="70"/>
      <c r="F622" s="70"/>
      <c r="G622" s="70"/>
      <c r="H622" s="70"/>
      <c r="I622" s="70"/>
      <c r="J622" s="77"/>
      <c r="K622" s="77"/>
      <c r="L622" s="9"/>
      <c r="M622" s="42"/>
      <c r="N622" s="42"/>
      <c r="O622" s="9"/>
      <c r="P622" s="9"/>
      <c r="Q622" s="9"/>
      <c r="R622" s="33"/>
      <c r="S622" s="9"/>
      <c r="U622" s="8"/>
      <c r="V622" s="9"/>
      <c r="W622" s="9"/>
      <c r="X622" s="9"/>
      <c r="Y622" s="9"/>
      <c r="Z622" s="9"/>
      <c r="AA622" s="9"/>
      <c r="AB622" s="9"/>
      <c r="AC622" s="9"/>
      <c r="AD622" s="9"/>
    </row>
    <row r="623" spans="1:30" ht="18.75" x14ac:dyDescent="0.3">
      <c r="A623" s="42"/>
      <c r="B623" s="42"/>
      <c r="C623" s="74"/>
      <c r="D623" s="74"/>
      <c r="E623" s="70"/>
      <c r="F623" s="70"/>
      <c r="G623" s="70"/>
      <c r="H623" s="70"/>
      <c r="I623" s="70"/>
      <c r="J623" s="77"/>
      <c r="K623" s="77"/>
      <c r="L623" s="9"/>
      <c r="M623" s="42"/>
      <c r="N623" s="42"/>
      <c r="O623" s="9"/>
      <c r="P623" s="9"/>
      <c r="Q623" s="9"/>
      <c r="R623" s="33"/>
      <c r="S623" s="9"/>
      <c r="U623" s="8"/>
      <c r="V623" s="9"/>
      <c r="W623" s="9"/>
      <c r="X623" s="9"/>
      <c r="Y623" s="9"/>
      <c r="Z623" s="9"/>
      <c r="AA623" s="9"/>
      <c r="AB623" s="9"/>
      <c r="AC623" s="9"/>
      <c r="AD623" s="9"/>
    </row>
    <row r="624" spans="1:30" ht="18.75" x14ac:dyDescent="0.3">
      <c r="A624" s="42"/>
      <c r="B624" s="42"/>
      <c r="C624" s="74"/>
      <c r="D624" s="74"/>
      <c r="E624" s="70"/>
      <c r="F624" s="70"/>
      <c r="G624" s="70"/>
      <c r="H624" s="70"/>
      <c r="I624" s="70"/>
      <c r="J624" s="77"/>
      <c r="K624" s="77"/>
      <c r="L624" s="9"/>
      <c r="M624" s="42"/>
      <c r="N624" s="42"/>
      <c r="O624" s="9"/>
      <c r="P624" s="9"/>
      <c r="Q624" s="9"/>
      <c r="R624" s="33"/>
      <c r="S624" s="9"/>
      <c r="U624" s="8"/>
      <c r="V624" s="9"/>
      <c r="W624" s="9"/>
      <c r="X624" s="9"/>
      <c r="Y624" s="9"/>
      <c r="Z624" s="9"/>
      <c r="AA624" s="9"/>
      <c r="AB624" s="9"/>
      <c r="AC624" s="9"/>
      <c r="AD624" s="9"/>
    </row>
    <row r="625" spans="1:30" ht="18.75" x14ac:dyDescent="0.3">
      <c r="A625" s="42"/>
      <c r="B625" s="42"/>
      <c r="C625" s="74"/>
      <c r="D625" s="74"/>
      <c r="E625" s="70"/>
      <c r="F625" s="70"/>
      <c r="G625" s="70"/>
      <c r="H625" s="70"/>
      <c r="I625" s="70"/>
      <c r="J625" s="77"/>
      <c r="K625" s="77"/>
      <c r="L625" s="9"/>
      <c r="M625" s="42"/>
      <c r="N625" s="42"/>
      <c r="O625" s="9"/>
      <c r="P625" s="9"/>
      <c r="Q625" s="9"/>
      <c r="R625" s="33"/>
      <c r="S625" s="9"/>
      <c r="U625" s="8"/>
      <c r="V625" s="9"/>
      <c r="W625" s="9"/>
      <c r="X625" s="9"/>
      <c r="Y625" s="9"/>
      <c r="Z625" s="9"/>
      <c r="AA625" s="9"/>
      <c r="AB625" s="9"/>
      <c r="AC625" s="9"/>
      <c r="AD625" s="9"/>
    </row>
    <row r="626" spans="1:30" ht="18.75" x14ac:dyDescent="0.3">
      <c r="A626" s="42"/>
      <c r="B626" s="42"/>
      <c r="C626" s="74"/>
      <c r="D626" s="74"/>
      <c r="E626" s="70"/>
      <c r="F626" s="70"/>
      <c r="G626" s="70"/>
      <c r="H626" s="70"/>
      <c r="I626" s="70"/>
      <c r="J626" s="77"/>
      <c r="K626" s="77"/>
      <c r="L626" s="9"/>
      <c r="M626" s="42"/>
      <c r="N626" s="42"/>
      <c r="O626" s="9"/>
      <c r="P626" s="9"/>
      <c r="Q626" s="9"/>
      <c r="R626" s="33"/>
      <c r="S626" s="9"/>
      <c r="U626" s="8"/>
      <c r="V626" s="9"/>
      <c r="W626" s="9"/>
      <c r="X626" s="9"/>
      <c r="Y626" s="9"/>
      <c r="Z626" s="9"/>
      <c r="AA626" s="9"/>
      <c r="AB626" s="9"/>
      <c r="AC626" s="9"/>
      <c r="AD626" s="9"/>
    </row>
    <row r="627" spans="1:30" ht="18.75" x14ac:dyDescent="0.3">
      <c r="A627" s="42"/>
      <c r="B627" s="42"/>
      <c r="C627" s="74"/>
      <c r="D627" s="74"/>
      <c r="E627" s="70"/>
      <c r="F627" s="70"/>
      <c r="G627" s="70"/>
      <c r="H627" s="70"/>
      <c r="I627" s="70"/>
      <c r="J627" s="77"/>
      <c r="K627" s="77"/>
      <c r="L627" s="9"/>
      <c r="M627" s="42"/>
      <c r="N627" s="42"/>
      <c r="O627" s="9"/>
      <c r="P627" s="9"/>
      <c r="Q627" s="9"/>
      <c r="R627" s="33"/>
      <c r="S627" s="9"/>
      <c r="U627" s="8"/>
      <c r="V627" s="9"/>
      <c r="W627" s="9"/>
      <c r="X627" s="9"/>
      <c r="Y627" s="9"/>
      <c r="Z627" s="9"/>
      <c r="AA627" s="9"/>
      <c r="AB627" s="9"/>
      <c r="AC627" s="9"/>
      <c r="AD627" s="9"/>
    </row>
    <row r="628" spans="1:30" ht="18.75" x14ac:dyDescent="0.3">
      <c r="A628" s="42"/>
      <c r="B628" s="42"/>
      <c r="C628" s="74"/>
      <c r="D628" s="74"/>
      <c r="E628" s="70"/>
      <c r="F628" s="70"/>
      <c r="G628" s="70"/>
      <c r="H628" s="70"/>
      <c r="I628" s="70"/>
      <c r="J628" s="77"/>
      <c r="K628" s="77"/>
      <c r="L628" s="9"/>
      <c r="M628" s="42"/>
      <c r="N628" s="42"/>
      <c r="O628" s="9"/>
      <c r="P628" s="9"/>
      <c r="Q628" s="9"/>
      <c r="R628" s="33"/>
      <c r="S628" s="9"/>
      <c r="U628" s="8"/>
      <c r="V628" s="9"/>
      <c r="W628" s="9"/>
      <c r="X628" s="9"/>
      <c r="Y628" s="9"/>
      <c r="Z628" s="9"/>
      <c r="AA628" s="9"/>
      <c r="AB628" s="9"/>
      <c r="AC628" s="9"/>
      <c r="AD628" s="9"/>
    </row>
    <row r="629" spans="1:30" ht="18.75" x14ac:dyDescent="0.3">
      <c r="A629" s="42"/>
      <c r="B629" s="42"/>
      <c r="C629" s="74"/>
      <c r="D629" s="74"/>
      <c r="E629" s="70"/>
      <c r="F629" s="70"/>
      <c r="G629" s="70"/>
      <c r="H629" s="70"/>
      <c r="I629" s="70"/>
      <c r="J629" s="77"/>
      <c r="K629" s="77"/>
      <c r="L629" s="9"/>
      <c r="M629" s="42"/>
      <c r="N629" s="42"/>
      <c r="O629" s="9"/>
      <c r="P629" s="9"/>
      <c r="Q629" s="9"/>
      <c r="R629" s="33"/>
      <c r="S629" s="9"/>
      <c r="U629" s="8"/>
      <c r="V629" s="9"/>
      <c r="W629" s="9"/>
      <c r="X629" s="9"/>
      <c r="Y629" s="9"/>
      <c r="Z629" s="9"/>
      <c r="AA629" s="9"/>
      <c r="AB629" s="9"/>
      <c r="AC629" s="9"/>
      <c r="AD629" s="9"/>
    </row>
    <row r="630" spans="1:30" ht="18.75" x14ac:dyDescent="0.3">
      <c r="A630" s="42"/>
      <c r="B630" s="42"/>
      <c r="C630" s="74"/>
      <c r="D630" s="74"/>
      <c r="E630" s="70"/>
      <c r="F630" s="70"/>
      <c r="G630" s="70"/>
      <c r="H630" s="70"/>
      <c r="I630" s="70"/>
      <c r="J630" s="77"/>
      <c r="K630" s="77"/>
      <c r="L630" s="9"/>
      <c r="M630" s="42"/>
      <c r="N630" s="42"/>
      <c r="O630" s="9"/>
      <c r="P630" s="9"/>
      <c r="Q630" s="9"/>
      <c r="R630" s="33"/>
      <c r="S630" s="9"/>
      <c r="U630" s="8"/>
      <c r="V630" s="9"/>
      <c r="W630" s="9"/>
      <c r="X630" s="9"/>
      <c r="Y630" s="9"/>
      <c r="Z630" s="9"/>
      <c r="AA630" s="9"/>
      <c r="AB630" s="9"/>
      <c r="AC630" s="9"/>
      <c r="AD630" s="9"/>
    </row>
    <row r="631" spans="1:30" ht="18.75" x14ac:dyDescent="0.3">
      <c r="A631" s="42"/>
      <c r="B631" s="42"/>
      <c r="C631" s="74"/>
      <c r="D631" s="74"/>
      <c r="E631" s="70"/>
      <c r="F631" s="70"/>
      <c r="G631" s="70"/>
      <c r="H631" s="70"/>
      <c r="I631" s="70"/>
      <c r="J631" s="77"/>
      <c r="K631" s="77"/>
      <c r="L631" s="9"/>
      <c r="M631" s="42"/>
      <c r="N631" s="42"/>
      <c r="O631" s="9"/>
      <c r="P631" s="9"/>
      <c r="Q631" s="9"/>
      <c r="R631" s="33"/>
      <c r="S631" s="9"/>
      <c r="U631" s="8"/>
      <c r="V631" s="9"/>
      <c r="W631" s="9"/>
      <c r="X631" s="9"/>
      <c r="Y631" s="9"/>
      <c r="Z631" s="9"/>
      <c r="AA631" s="9"/>
      <c r="AB631" s="9"/>
      <c r="AC631" s="9"/>
      <c r="AD631" s="9"/>
    </row>
    <row r="632" spans="1:30" ht="18.75" x14ac:dyDescent="0.3">
      <c r="A632" s="42"/>
      <c r="B632" s="42"/>
      <c r="C632" s="74"/>
      <c r="D632" s="74"/>
      <c r="E632" s="70"/>
      <c r="F632" s="70"/>
      <c r="G632" s="70"/>
      <c r="H632" s="70"/>
      <c r="I632" s="70"/>
      <c r="J632" s="77"/>
      <c r="K632" s="77"/>
      <c r="L632" s="9"/>
      <c r="M632" s="42"/>
      <c r="N632" s="42"/>
      <c r="O632" s="9"/>
      <c r="P632" s="9"/>
      <c r="Q632" s="9"/>
      <c r="R632" s="33"/>
      <c r="S632" s="9"/>
      <c r="U632" s="8"/>
      <c r="V632" s="9"/>
      <c r="W632" s="9"/>
      <c r="X632" s="9"/>
      <c r="Y632" s="9"/>
      <c r="Z632" s="9"/>
      <c r="AA632" s="9"/>
      <c r="AB632" s="9"/>
      <c r="AC632" s="9"/>
      <c r="AD632" s="9"/>
    </row>
    <row r="633" spans="1:30" ht="18.75" x14ac:dyDescent="0.3">
      <c r="A633" s="42"/>
      <c r="B633" s="42"/>
      <c r="C633" s="74"/>
      <c r="D633" s="74"/>
      <c r="E633" s="70"/>
      <c r="F633" s="70"/>
      <c r="G633" s="70"/>
      <c r="H633" s="70"/>
      <c r="I633" s="70"/>
      <c r="J633" s="77"/>
      <c r="K633" s="77"/>
      <c r="L633" s="9"/>
      <c r="M633" s="42"/>
      <c r="N633" s="42"/>
      <c r="O633" s="9"/>
      <c r="P633" s="9"/>
      <c r="Q633" s="9"/>
      <c r="R633" s="33"/>
      <c r="S633" s="9"/>
      <c r="U633" s="8"/>
      <c r="V633" s="9"/>
      <c r="W633" s="9"/>
      <c r="X633" s="9"/>
      <c r="Y633" s="9"/>
      <c r="Z633" s="9"/>
      <c r="AA633" s="9"/>
      <c r="AB633" s="9"/>
      <c r="AC633" s="9"/>
      <c r="AD633" s="9"/>
    </row>
    <row r="634" spans="1:30" ht="18.75" x14ac:dyDescent="0.3">
      <c r="A634" s="42"/>
      <c r="B634" s="42"/>
      <c r="C634" s="74"/>
      <c r="D634" s="74"/>
      <c r="E634" s="70"/>
      <c r="F634" s="70"/>
      <c r="G634" s="70"/>
      <c r="H634" s="70"/>
      <c r="I634" s="70"/>
      <c r="J634" s="77"/>
      <c r="K634" s="77"/>
      <c r="L634" s="9"/>
      <c r="M634" s="42"/>
      <c r="N634" s="42"/>
      <c r="O634" s="9"/>
      <c r="P634" s="9"/>
      <c r="Q634" s="9"/>
      <c r="R634" s="33"/>
      <c r="S634" s="9"/>
      <c r="U634" s="8"/>
      <c r="V634" s="9"/>
      <c r="W634" s="9"/>
      <c r="X634" s="9"/>
      <c r="Y634" s="9"/>
      <c r="Z634" s="9"/>
      <c r="AA634" s="9"/>
      <c r="AB634" s="9"/>
      <c r="AC634" s="9"/>
      <c r="AD634" s="9"/>
    </row>
    <row r="635" spans="1:30" ht="18.75" x14ac:dyDescent="0.3">
      <c r="A635" s="42"/>
      <c r="B635" s="42"/>
      <c r="C635" s="74"/>
      <c r="D635" s="74"/>
      <c r="E635" s="70"/>
      <c r="F635" s="70"/>
      <c r="G635" s="70"/>
      <c r="H635" s="70"/>
      <c r="I635" s="70"/>
      <c r="J635" s="77"/>
      <c r="K635" s="77"/>
      <c r="L635" s="9"/>
      <c r="M635" s="42"/>
      <c r="N635" s="42"/>
      <c r="O635" s="9"/>
      <c r="P635" s="9"/>
      <c r="Q635" s="9"/>
      <c r="R635" s="33"/>
      <c r="S635" s="9"/>
      <c r="U635" s="8"/>
      <c r="V635" s="9"/>
      <c r="W635" s="9"/>
      <c r="X635" s="9"/>
      <c r="Y635" s="9"/>
      <c r="Z635" s="9"/>
      <c r="AA635" s="9"/>
      <c r="AB635" s="9"/>
      <c r="AC635" s="9"/>
      <c r="AD635" s="9"/>
    </row>
    <row r="636" spans="1:30" ht="18.75" x14ac:dyDescent="0.3">
      <c r="A636" s="42"/>
      <c r="B636" s="42"/>
      <c r="C636" s="74"/>
      <c r="D636" s="74"/>
      <c r="E636" s="70"/>
      <c r="F636" s="70"/>
      <c r="G636" s="70"/>
      <c r="H636" s="70"/>
      <c r="I636" s="70"/>
      <c r="J636" s="77"/>
      <c r="K636" s="77"/>
      <c r="L636" s="9"/>
      <c r="M636" s="42"/>
      <c r="N636" s="42"/>
      <c r="O636" s="9"/>
      <c r="P636" s="9"/>
      <c r="Q636" s="9"/>
      <c r="R636" s="33"/>
      <c r="S636" s="9"/>
      <c r="U636" s="8"/>
      <c r="V636" s="9"/>
      <c r="W636" s="9"/>
      <c r="X636" s="9"/>
      <c r="Y636" s="9"/>
      <c r="Z636" s="9"/>
      <c r="AA636" s="9"/>
      <c r="AB636" s="9"/>
      <c r="AC636" s="9"/>
      <c r="AD636" s="9"/>
    </row>
    <row r="637" spans="1:30" ht="18.75" x14ac:dyDescent="0.3">
      <c r="A637" s="42"/>
      <c r="B637" s="42"/>
      <c r="C637" s="74"/>
      <c r="D637" s="74"/>
      <c r="E637" s="70"/>
      <c r="F637" s="70"/>
      <c r="G637" s="70"/>
      <c r="H637" s="70"/>
      <c r="I637" s="70"/>
      <c r="J637" s="77"/>
      <c r="K637" s="77"/>
      <c r="L637" s="9"/>
      <c r="M637" s="42"/>
      <c r="N637" s="42"/>
      <c r="O637" s="9"/>
      <c r="P637" s="9"/>
      <c r="Q637" s="9"/>
      <c r="R637" s="33"/>
      <c r="S637" s="9"/>
      <c r="U637" s="8"/>
      <c r="V637" s="9"/>
      <c r="W637" s="9"/>
      <c r="X637" s="9"/>
      <c r="Y637" s="9"/>
      <c r="Z637" s="9"/>
      <c r="AA637" s="9"/>
      <c r="AB637" s="9"/>
      <c r="AC637" s="9"/>
      <c r="AD637" s="9"/>
    </row>
    <row r="638" spans="1:30" ht="18.75" x14ac:dyDescent="0.3">
      <c r="A638" s="42"/>
      <c r="B638" s="42"/>
      <c r="C638" s="74"/>
      <c r="D638" s="74"/>
      <c r="E638" s="70"/>
      <c r="F638" s="70"/>
      <c r="G638" s="70"/>
      <c r="H638" s="70"/>
      <c r="I638" s="70"/>
      <c r="J638" s="77"/>
      <c r="K638" s="77"/>
      <c r="L638" s="9"/>
      <c r="M638" s="42"/>
      <c r="N638" s="42"/>
      <c r="O638" s="9"/>
      <c r="P638" s="9"/>
      <c r="Q638" s="9"/>
      <c r="R638" s="33"/>
      <c r="S638" s="9"/>
      <c r="U638" s="8"/>
      <c r="V638" s="9"/>
      <c r="W638" s="9"/>
      <c r="X638" s="9"/>
      <c r="Y638" s="9"/>
      <c r="Z638" s="9"/>
      <c r="AA638" s="9"/>
      <c r="AB638" s="9"/>
      <c r="AC638" s="9"/>
      <c r="AD638" s="9"/>
    </row>
    <row r="639" spans="1:30" ht="18.75" x14ac:dyDescent="0.3">
      <c r="A639" s="42"/>
      <c r="B639" s="42"/>
      <c r="C639" s="74"/>
      <c r="D639" s="74"/>
      <c r="E639" s="70"/>
      <c r="F639" s="70"/>
      <c r="G639" s="70"/>
      <c r="H639" s="70"/>
      <c r="I639" s="70"/>
      <c r="J639" s="77"/>
      <c r="K639" s="77"/>
      <c r="L639" s="9"/>
      <c r="M639" s="42"/>
      <c r="N639" s="42"/>
      <c r="O639" s="9"/>
      <c r="P639" s="9"/>
      <c r="Q639" s="9"/>
      <c r="R639" s="33"/>
      <c r="S639" s="9"/>
      <c r="U639" s="8"/>
      <c r="V639" s="9"/>
      <c r="W639" s="9"/>
      <c r="X639" s="9"/>
      <c r="Y639" s="9"/>
      <c r="Z639" s="9"/>
      <c r="AA639" s="9"/>
      <c r="AB639" s="9"/>
      <c r="AC639" s="9"/>
      <c r="AD639" s="9"/>
    </row>
    <row r="640" spans="1:30" ht="18.75" x14ac:dyDescent="0.3">
      <c r="A640" s="42"/>
      <c r="B640" s="42"/>
      <c r="C640" s="74"/>
      <c r="D640" s="74"/>
      <c r="E640" s="70"/>
      <c r="F640" s="70"/>
      <c r="G640" s="70"/>
      <c r="H640" s="70"/>
      <c r="I640" s="70"/>
      <c r="J640" s="77"/>
      <c r="K640" s="77"/>
      <c r="L640" s="9"/>
      <c r="M640" s="42"/>
      <c r="N640" s="42"/>
      <c r="O640" s="9"/>
      <c r="P640" s="9"/>
      <c r="Q640" s="9"/>
      <c r="R640" s="33"/>
      <c r="S640" s="9"/>
      <c r="U640" s="8"/>
      <c r="V640" s="9"/>
      <c r="W640" s="9"/>
      <c r="X640" s="9"/>
      <c r="Y640" s="9"/>
      <c r="Z640" s="9"/>
      <c r="AA640" s="9"/>
      <c r="AB640" s="9"/>
      <c r="AC640" s="9"/>
      <c r="AD640" s="9"/>
    </row>
    <row r="641" spans="1:30" ht="18.75" x14ac:dyDescent="0.3">
      <c r="A641" s="42"/>
      <c r="B641" s="42"/>
      <c r="C641" s="74"/>
      <c r="D641" s="74"/>
      <c r="E641" s="70"/>
      <c r="F641" s="70"/>
      <c r="G641" s="70"/>
      <c r="H641" s="70"/>
      <c r="I641" s="70"/>
      <c r="J641" s="77"/>
      <c r="K641" s="77"/>
      <c r="L641" s="9"/>
      <c r="M641" s="42"/>
      <c r="N641" s="42"/>
      <c r="O641" s="9"/>
      <c r="P641" s="9"/>
      <c r="Q641" s="9"/>
      <c r="R641" s="33"/>
      <c r="S641" s="9"/>
      <c r="U641" s="8"/>
      <c r="V641" s="9"/>
      <c r="W641" s="9"/>
      <c r="X641" s="9"/>
      <c r="Y641" s="9"/>
      <c r="Z641" s="9"/>
      <c r="AA641" s="9"/>
      <c r="AB641" s="9"/>
      <c r="AC641" s="9"/>
      <c r="AD641" s="9"/>
    </row>
    <row r="642" spans="1:30" ht="18.75" x14ac:dyDescent="0.3">
      <c r="A642" s="42"/>
      <c r="B642" s="42"/>
      <c r="C642" s="74"/>
      <c r="D642" s="74"/>
      <c r="E642" s="70"/>
      <c r="F642" s="70"/>
      <c r="G642" s="70"/>
      <c r="H642" s="70"/>
      <c r="I642" s="70"/>
      <c r="J642" s="77"/>
      <c r="K642" s="77"/>
      <c r="L642" s="9"/>
      <c r="M642" s="42"/>
      <c r="N642" s="42"/>
      <c r="O642" s="9"/>
      <c r="P642" s="9"/>
      <c r="Q642" s="9"/>
      <c r="R642" s="33"/>
      <c r="S642" s="9"/>
      <c r="U642" s="8"/>
      <c r="V642" s="9"/>
      <c r="W642" s="9"/>
      <c r="X642" s="9"/>
      <c r="Y642" s="9"/>
      <c r="Z642" s="9"/>
      <c r="AA642" s="9"/>
      <c r="AB642" s="9"/>
      <c r="AC642" s="9"/>
      <c r="AD642" s="9"/>
    </row>
    <row r="643" spans="1:30" ht="18.75" x14ac:dyDescent="0.3">
      <c r="A643" s="42"/>
      <c r="B643" s="42"/>
      <c r="C643" s="74"/>
      <c r="D643" s="74"/>
      <c r="E643" s="70"/>
      <c r="F643" s="70"/>
      <c r="G643" s="70"/>
      <c r="H643" s="70"/>
      <c r="I643" s="70"/>
      <c r="J643" s="77"/>
      <c r="K643" s="77"/>
      <c r="L643" s="9"/>
      <c r="M643" s="42"/>
      <c r="N643" s="42"/>
      <c r="O643" s="9"/>
      <c r="P643" s="9"/>
      <c r="Q643" s="9"/>
      <c r="R643" s="33"/>
      <c r="S643" s="9"/>
      <c r="U643" s="8"/>
      <c r="V643" s="9"/>
      <c r="W643" s="9"/>
      <c r="X643" s="9"/>
      <c r="Y643" s="9"/>
      <c r="Z643" s="9"/>
      <c r="AA643" s="9"/>
      <c r="AB643" s="9"/>
      <c r="AC643" s="9"/>
      <c r="AD643" s="9"/>
    </row>
    <row r="644" spans="1:30" ht="18.75" x14ac:dyDescent="0.3">
      <c r="A644" s="42"/>
      <c r="B644" s="42"/>
      <c r="C644" s="74"/>
      <c r="D644" s="74"/>
      <c r="E644" s="70"/>
      <c r="F644" s="70"/>
      <c r="G644" s="70"/>
      <c r="H644" s="70"/>
      <c r="I644" s="70"/>
      <c r="J644" s="77"/>
      <c r="K644" s="77"/>
      <c r="L644" s="9"/>
      <c r="M644" s="42"/>
      <c r="N644" s="42"/>
      <c r="O644" s="9"/>
      <c r="P644" s="9"/>
      <c r="Q644" s="9"/>
      <c r="R644" s="33"/>
      <c r="S644" s="9"/>
      <c r="U644" s="8"/>
      <c r="V644" s="9"/>
      <c r="W644" s="9"/>
      <c r="X644" s="9"/>
      <c r="Y644" s="9"/>
      <c r="Z644" s="9"/>
      <c r="AA644" s="9"/>
      <c r="AB644" s="9"/>
      <c r="AC644" s="9"/>
      <c r="AD644" s="9"/>
    </row>
    <row r="645" spans="1:30" ht="18.75" x14ac:dyDescent="0.3">
      <c r="A645" s="42"/>
      <c r="B645" s="42"/>
      <c r="C645" s="74"/>
      <c r="D645" s="74"/>
      <c r="E645" s="70"/>
      <c r="F645" s="70"/>
      <c r="G645" s="70"/>
      <c r="H645" s="70"/>
      <c r="I645" s="70"/>
      <c r="J645" s="77"/>
      <c r="K645" s="77"/>
      <c r="L645" s="9"/>
      <c r="M645" s="42"/>
      <c r="N645" s="42"/>
      <c r="O645" s="9"/>
      <c r="P645" s="9"/>
      <c r="Q645" s="9"/>
      <c r="R645" s="33"/>
      <c r="S645" s="9"/>
      <c r="U645" s="8"/>
      <c r="V645" s="9"/>
      <c r="W645" s="9"/>
      <c r="X645" s="9"/>
      <c r="Y645" s="9"/>
      <c r="Z645" s="9"/>
      <c r="AA645" s="9"/>
      <c r="AB645" s="9"/>
      <c r="AC645" s="9"/>
      <c r="AD645" s="9"/>
    </row>
    <row r="646" spans="1:30" ht="18.75" x14ac:dyDescent="0.3">
      <c r="A646" s="42"/>
      <c r="B646" s="42"/>
      <c r="C646" s="74"/>
      <c r="D646" s="74"/>
      <c r="E646" s="70"/>
      <c r="F646" s="70"/>
      <c r="G646" s="70"/>
      <c r="H646" s="70"/>
      <c r="I646" s="70"/>
      <c r="J646" s="77"/>
      <c r="K646" s="77"/>
      <c r="L646" s="9"/>
      <c r="M646" s="42"/>
      <c r="N646" s="42"/>
      <c r="O646" s="9"/>
      <c r="P646" s="9"/>
      <c r="Q646" s="9"/>
      <c r="R646" s="33"/>
      <c r="S646" s="9"/>
      <c r="U646" s="8"/>
      <c r="V646" s="9"/>
      <c r="W646" s="9"/>
      <c r="X646" s="9"/>
      <c r="Y646" s="9"/>
      <c r="Z646" s="9"/>
      <c r="AA646" s="9"/>
      <c r="AB646" s="9"/>
      <c r="AC646" s="9"/>
      <c r="AD646" s="9"/>
    </row>
    <row r="647" spans="1:30" ht="18.75" x14ac:dyDescent="0.3">
      <c r="A647" s="42"/>
      <c r="B647" s="42"/>
      <c r="C647" s="74"/>
      <c r="D647" s="74"/>
      <c r="E647" s="70"/>
      <c r="F647" s="70"/>
      <c r="G647" s="70"/>
      <c r="H647" s="70"/>
      <c r="I647" s="70"/>
      <c r="J647" s="77"/>
      <c r="K647" s="77"/>
      <c r="L647" s="9"/>
      <c r="M647" s="42"/>
      <c r="N647" s="42"/>
      <c r="O647" s="9"/>
      <c r="P647" s="9"/>
      <c r="Q647" s="9"/>
      <c r="R647" s="33"/>
      <c r="S647" s="9"/>
      <c r="U647" s="8"/>
      <c r="V647" s="9"/>
      <c r="W647" s="9"/>
      <c r="X647" s="9"/>
      <c r="Y647" s="9"/>
      <c r="Z647" s="9"/>
      <c r="AA647" s="9"/>
      <c r="AB647" s="9"/>
      <c r="AC647" s="9"/>
      <c r="AD647" s="9"/>
    </row>
    <row r="648" spans="1:30" ht="18.75" x14ac:dyDescent="0.3">
      <c r="A648" s="42"/>
      <c r="B648" s="42"/>
      <c r="C648" s="74"/>
      <c r="D648" s="74"/>
      <c r="E648" s="70"/>
      <c r="F648" s="70"/>
      <c r="G648" s="70"/>
      <c r="H648" s="70"/>
      <c r="I648" s="70"/>
      <c r="J648" s="77"/>
      <c r="K648" s="77"/>
      <c r="L648" s="9"/>
      <c r="M648" s="42"/>
      <c r="N648" s="42"/>
      <c r="O648" s="9"/>
      <c r="P648" s="9"/>
      <c r="Q648" s="9"/>
      <c r="R648" s="33"/>
      <c r="S648" s="9"/>
      <c r="U648" s="8"/>
      <c r="V648" s="9"/>
      <c r="W648" s="9"/>
      <c r="X648" s="9"/>
      <c r="Y648" s="9"/>
      <c r="Z648" s="9"/>
      <c r="AA648" s="9"/>
      <c r="AB648" s="9"/>
      <c r="AC648" s="9"/>
      <c r="AD648" s="9"/>
    </row>
    <row r="649" spans="1:30" ht="18.75" x14ac:dyDescent="0.3">
      <c r="A649" s="42"/>
      <c r="B649" s="42"/>
      <c r="C649" s="74"/>
      <c r="D649" s="74"/>
      <c r="E649" s="70"/>
      <c r="F649" s="70"/>
      <c r="G649" s="70"/>
      <c r="H649" s="70"/>
      <c r="I649" s="70"/>
      <c r="J649" s="77"/>
      <c r="K649" s="77"/>
      <c r="L649" s="9"/>
      <c r="M649" s="42"/>
      <c r="N649" s="42"/>
      <c r="O649" s="9"/>
      <c r="P649" s="9"/>
      <c r="Q649" s="9"/>
      <c r="R649" s="33"/>
      <c r="S649" s="9"/>
      <c r="U649" s="8"/>
      <c r="V649" s="9"/>
      <c r="W649" s="9"/>
      <c r="X649" s="9"/>
      <c r="Y649" s="9"/>
      <c r="Z649" s="9"/>
      <c r="AA649" s="9"/>
      <c r="AB649" s="9"/>
      <c r="AC649" s="9"/>
      <c r="AD649" s="9"/>
    </row>
    <row r="650" spans="1:30" ht="18.75" x14ac:dyDescent="0.3">
      <c r="A650" s="42"/>
      <c r="B650" s="42"/>
      <c r="C650" s="74"/>
      <c r="D650" s="74"/>
      <c r="E650" s="70"/>
      <c r="F650" s="70"/>
      <c r="G650" s="70"/>
      <c r="H650" s="70"/>
      <c r="I650" s="70"/>
      <c r="J650" s="77"/>
      <c r="K650" s="77"/>
      <c r="L650" s="9"/>
      <c r="M650" s="42"/>
      <c r="N650" s="42"/>
      <c r="O650" s="9"/>
      <c r="P650" s="9"/>
      <c r="Q650" s="9"/>
      <c r="R650" s="33"/>
      <c r="S650" s="9"/>
      <c r="U650" s="8"/>
      <c r="V650" s="9"/>
      <c r="W650" s="9"/>
      <c r="X650" s="9"/>
      <c r="Y650" s="9"/>
      <c r="Z650" s="9"/>
      <c r="AA650" s="9"/>
      <c r="AB650" s="9"/>
      <c r="AC650" s="9"/>
      <c r="AD650" s="9"/>
    </row>
    <row r="651" spans="1:30" ht="18.75" x14ac:dyDescent="0.3">
      <c r="A651" s="42"/>
      <c r="B651" s="42"/>
      <c r="C651" s="74"/>
      <c r="D651" s="74"/>
      <c r="E651" s="70"/>
      <c r="F651" s="70"/>
      <c r="G651" s="70"/>
      <c r="H651" s="70"/>
      <c r="I651" s="70"/>
      <c r="J651" s="77"/>
      <c r="K651" s="77"/>
      <c r="L651" s="9"/>
      <c r="M651" s="42"/>
      <c r="N651" s="42"/>
      <c r="O651" s="9"/>
      <c r="P651" s="9"/>
      <c r="Q651" s="9"/>
      <c r="R651" s="33"/>
      <c r="S651" s="9"/>
      <c r="U651" s="8"/>
      <c r="V651" s="9"/>
      <c r="W651" s="9"/>
      <c r="X651" s="9"/>
      <c r="Y651" s="9"/>
      <c r="Z651" s="9"/>
      <c r="AA651" s="9"/>
      <c r="AB651" s="9"/>
      <c r="AC651" s="9"/>
      <c r="AD651" s="9"/>
    </row>
    <row r="652" spans="1:30" ht="18.75" x14ac:dyDescent="0.3">
      <c r="A652" s="42"/>
      <c r="B652" s="42"/>
      <c r="C652" s="74"/>
      <c r="D652" s="74"/>
      <c r="E652" s="70"/>
      <c r="F652" s="70"/>
      <c r="G652" s="70"/>
      <c r="H652" s="70"/>
      <c r="I652" s="70"/>
      <c r="J652" s="77"/>
      <c r="K652" s="77"/>
      <c r="L652" s="9"/>
      <c r="M652" s="42"/>
      <c r="N652" s="42"/>
      <c r="O652" s="9"/>
      <c r="P652" s="9"/>
      <c r="Q652" s="9"/>
      <c r="R652" s="33"/>
      <c r="S652" s="9"/>
      <c r="U652" s="8"/>
      <c r="V652" s="9"/>
      <c r="W652" s="9"/>
      <c r="X652" s="9"/>
      <c r="Y652" s="9"/>
      <c r="Z652" s="9"/>
      <c r="AA652" s="9"/>
      <c r="AB652" s="9"/>
      <c r="AC652" s="9"/>
      <c r="AD652" s="9"/>
    </row>
    <row r="653" spans="1:30" ht="18.75" x14ac:dyDescent="0.3">
      <c r="A653" s="42"/>
      <c r="B653" s="42"/>
      <c r="C653" s="74"/>
      <c r="D653" s="74"/>
      <c r="E653" s="70"/>
      <c r="F653" s="70"/>
      <c r="G653" s="70"/>
      <c r="H653" s="70"/>
      <c r="I653" s="70"/>
      <c r="J653" s="77"/>
      <c r="K653" s="77"/>
      <c r="L653" s="9"/>
      <c r="M653" s="42"/>
      <c r="N653" s="42"/>
      <c r="O653" s="9"/>
      <c r="P653" s="9"/>
      <c r="Q653" s="9"/>
      <c r="R653" s="33"/>
      <c r="S653" s="9"/>
      <c r="U653" s="8"/>
      <c r="V653" s="9"/>
      <c r="W653" s="9"/>
      <c r="X653" s="9"/>
      <c r="Y653" s="9"/>
      <c r="Z653" s="9"/>
      <c r="AA653" s="9"/>
      <c r="AB653" s="9"/>
      <c r="AC653" s="9"/>
      <c r="AD653" s="9"/>
    </row>
    <row r="654" spans="1:30" ht="18.75" x14ac:dyDescent="0.3">
      <c r="A654" s="42"/>
      <c r="B654" s="42"/>
      <c r="C654" s="74"/>
      <c r="D654" s="74"/>
      <c r="E654" s="70"/>
      <c r="F654" s="70"/>
      <c r="G654" s="70"/>
      <c r="H654" s="70"/>
      <c r="I654" s="70"/>
      <c r="J654" s="77"/>
      <c r="K654" s="77"/>
      <c r="L654" s="9"/>
      <c r="M654" s="42"/>
      <c r="N654" s="42"/>
      <c r="O654" s="9"/>
      <c r="P654" s="9"/>
      <c r="Q654" s="9"/>
      <c r="R654" s="33"/>
      <c r="S654" s="9"/>
      <c r="U654" s="8"/>
      <c r="V654" s="9"/>
      <c r="W654" s="9"/>
      <c r="X654" s="9"/>
      <c r="Y654" s="9"/>
      <c r="Z654" s="9"/>
      <c r="AA654" s="9"/>
      <c r="AB654" s="9"/>
      <c r="AC654" s="9"/>
      <c r="AD654" s="9"/>
    </row>
    <row r="655" spans="1:30" ht="18.75" x14ac:dyDescent="0.3">
      <c r="A655" s="42"/>
      <c r="B655" s="42"/>
      <c r="C655" s="74"/>
      <c r="D655" s="74"/>
      <c r="E655" s="70"/>
      <c r="F655" s="70"/>
      <c r="G655" s="70"/>
      <c r="H655" s="70"/>
      <c r="I655" s="70"/>
      <c r="J655" s="77"/>
      <c r="K655" s="77"/>
      <c r="L655" s="9"/>
      <c r="M655" s="42"/>
      <c r="N655" s="42"/>
      <c r="O655" s="9"/>
      <c r="P655" s="9"/>
      <c r="Q655" s="9"/>
      <c r="R655" s="33"/>
      <c r="S655" s="9"/>
      <c r="U655" s="8"/>
      <c r="V655" s="9"/>
      <c r="W655" s="9"/>
      <c r="X655" s="9"/>
      <c r="Y655" s="9"/>
      <c r="Z655" s="9"/>
      <c r="AA655" s="9"/>
      <c r="AB655" s="9"/>
      <c r="AC655" s="9"/>
      <c r="AD655" s="9"/>
    </row>
    <row r="656" spans="1:30" ht="18.75" x14ac:dyDescent="0.3">
      <c r="A656" s="42"/>
      <c r="B656" s="42"/>
      <c r="C656" s="74"/>
      <c r="D656" s="74"/>
      <c r="E656" s="70"/>
      <c r="F656" s="70"/>
      <c r="G656" s="70"/>
      <c r="H656" s="70"/>
      <c r="I656" s="70"/>
      <c r="J656" s="77"/>
      <c r="K656" s="77"/>
      <c r="L656" s="9"/>
      <c r="M656" s="42"/>
      <c r="N656" s="42"/>
      <c r="O656" s="9"/>
      <c r="P656" s="9"/>
      <c r="Q656" s="9"/>
      <c r="R656" s="33"/>
      <c r="S656" s="9"/>
      <c r="U656" s="8"/>
      <c r="V656" s="9"/>
      <c r="W656" s="9"/>
      <c r="X656" s="9"/>
      <c r="Y656" s="9"/>
      <c r="Z656" s="9"/>
      <c r="AA656" s="9"/>
      <c r="AB656" s="9"/>
      <c r="AC656" s="9"/>
      <c r="AD656" s="9"/>
    </row>
    <row r="657" spans="1:30" ht="18.75" x14ac:dyDescent="0.3">
      <c r="A657" s="42"/>
      <c r="B657" s="42"/>
      <c r="C657" s="74"/>
      <c r="D657" s="74"/>
      <c r="E657" s="70"/>
      <c r="F657" s="70"/>
      <c r="G657" s="70"/>
      <c r="H657" s="70"/>
      <c r="I657" s="70"/>
      <c r="J657" s="77"/>
      <c r="K657" s="77"/>
      <c r="L657" s="9"/>
      <c r="M657" s="42"/>
      <c r="N657" s="42"/>
      <c r="O657" s="9"/>
      <c r="P657" s="9"/>
      <c r="Q657" s="9"/>
      <c r="R657" s="33"/>
      <c r="S657" s="9"/>
      <c r="U657" s="8"/>
      <c r="V657" s="9"/>
      <c r="W657" s="9"/>
      <c r="X657" s="9"/>
      <c r="Y657" s="9"/>
      <c r="Z657" s="9"/>
      <c r="AA657" s="9"/>
      <c r="AB657" s="9"/>
      <c r="AC657" s="9"/>
      <c r="AD657" s="9"/>
    </row>
    <row r="658" spans="1:30" ht="18.75" x14ac:dyDescent="0.3">
      <c r="A658" s="42"/>
      <c r="B658" s="42"/>
      <c r="C658" s="74"/>
      <c r="D658" s="74"/>
      <c r="E658" s="70"/>
      <c r="F658" s="70"/>
      <c r="G658" s="70"/>
      <c r="H658" s="70"/>
      <c r="I658" s="70"/>
      <c r="J658" s="77"/>
      <c r="K658" s="77"/>
      <c r="L658" s="9"/>
      <c r="M658" s="42"/>
      <c r="N658" s="42"/>
      <c r="O658" s="9"/>
      <c r="P658" s="9"/>
      <c r="Q658" s="9"/>
      <c r="R658" s="33"/>
      <c r="S658" s="9"/>
      <c r="U658" s="8"/>
      <c r="V658" s="9"/>
      <c r="W658" s="9"/>
      <c r="X658" s="9"/>
      <c r="Y658" s="9"/>
      <c r="Z658" s="9"/>
      <c r="AA658" s="9"/>
      <c r="AB658" s="9"/>
      <c r="AC658" s="9"/>
      <c r="AD658" s="9"/>
    </row>
    <row r="659" spans="1:30" ht="18.75" x14ac:dyDescent="0.3">
      <c r="A659" s="42"/>
      <c r="B659" s="42"/>
      <c r="C659" s="74"/>
      <c r="D659" s="74"/>
      <c r="E659" s="70"/>
      <c r="F659" s="70"/>
      <c r="G659" s="70"/>
      <c r="H659" s="70"/>
      <c r="I659" s="70"/>
      <c r="J659" s="77"/>
      <c r="K659" s="77"/>
      <c r="L659" s="9"/>
      <c r="M659" s="42"/>
      <c r="N659" s="42"/>
      <c r="O659" s="9"/>
      <c r="P659" s="9"/>
      <c r="Q659" s="9"/>
      <c r="R659" s="33"/>
      <c r="S659" s="9"/>
      <c r="U659" s="8"/>
      <c r="V659" s="9"/>
      <c r="W659" s="9"/>
      <c r="X659" s="9"/>
      <c r="Y659" s="9"/>
      <c r="Z659" s="9"/>
      <c r="AA659" s="9"/>
      <c r="AB659" s="9"/>
      <c r="AC659" s="9"/>
      <c r="AD659" s="9"/>
    </row>
    <row r="660" spans="1:30" ht="18.75" x14ac:dyDescent="0.3">
      <c r="A660" s="42"/>
      <c r="B660" s="42"/>
      <c r="C660" s="74"/>
      <c r="D660" s="74"/>
      <c r="E660" s="70"/>
      <c r="F660" s="70"/>
      <c r="G660" s="70"/>
      <c r="H660" s="70"/>
      <c r="I660" s="70"/>
      <c r="J660" s="77"/>
      <c r="K660" s="77"/>
      <c r="L660" s="9"/>
      <c r="M660" s="42"/>
      <c r="N660" s="42"/>
      <c r="O660" s="9"/>
      <c r="P660" s="9"/>
      <c r="Q660" s="9"/>
      <c r="R660" s="33"/>
      <c r="S660" s="9"/>
      <c r="U660" s="8"/>
      <c r="V660" s="9"/>
      <c r="W660" s="9"/>
      <c r="X660" s="9"/>
      <c r="Y660" s="9"/>
      <c r="Z660" s="9"/>
      <c r="AA660" s="9"/>
      <c r="AB660" s="9"/>
      <c r="AC660" s="9"/>
      <c r="AD660" s="9"/>
    </row>
    <row r="661" spans="1:30" ht="18.75" x14ac:dyDescent="0.3">
      <c r="A661" s="42"/>
      <c r="B661" s="42"/>
      <c r="C661" s="74"/>
      <c r="D661" s="74"/>
      <c r="E661" s="70"/>
      <c r="F661" s="70"/>
      <c r="G661" s="70"/>
      <c r="H661" s="70"/>
      <c r="I661" s="70"/>
      <c r="J661" s="77"/>
      <c r="K661" s="77"/>
      <c r="L661" s="9"/>
      <c r="M661" s="42"/>
      <c r="N661" s="42"/>
      <c r="O661" s="9"/>
      <c r="P661" s="9"/>
      <c r="Q661" s="9"/>
      <c r="R661" s="33"/>
      <c r="S661" s="9"/>
      <c r="U661" s="8"/>
      <c r="V661" s="9"/>
      <c r="W661" s="9"/>
      <c r="X661" s="9"/>
      <c r="Y661" s="9"/>
      <c r="Z661" s="9"/>
      <c r="AA661" s="9"/>
      <c r="AB661" s="9"/>
      <c r="AC661" s="9"/>
      <c r="AD661" s="9"/>
    </row>
    <row r="662" spans="1:30" ht="18.75" x14ac:dyDescent="0.3">
      <c r="A662" s="42"/>
      <c r="B662" s="42"/>
      <c r="C662" s="74"/>
      <c r="D662" s="74"/>
      <c r="E662" s="70"/>
      <c r="F662" s="70"/>
      <c r="G662" s="70"/>
      <c r="H662" s="70"/>
      <c r="I662" s="70"/>
      <c r="J662" s="77"/>
      <c r="K662" s="77"/>
      <c r="L662" s="9"/>
      <c r="M662" s="42"/>
      <c r="N662" s="42"/>
      <c r="O662" s="9"/>
      <c r="P662" s="9"/>
      <c r="Q662" s="9"/>
      <c r="R662" s="33"/>
      <c r="S662" s="9"/>
      <c r="U662" s="8"/>
      <c r="V662" s="9"/>
      <c r="W662" s="9"/>
      <c r="X662" s="9"/>
      <c r="Y662" s="9"/>
      <c r="Z662" s="9"/>
      <c r="AA662" s="9"/>
      <c r="AB662" s="9"/>
      <c r="AC662" s="9"/>
      <c r="AD662" s="9"/>
    </row>
    <row r="663" spans="1:30" ht="18.75" x14ac:dyDescent="0.3">
      <c r="A663" s="42"/>
      <c r="B663" s="42"/>
      <c r="C663" s="74"/>
      <c r="D663" s="74"/>
      <c r="E663" s="70"/>
      <c r="F663" s="70"/>
      <c r="G663" s="70"/>
      <c r="H663" s="70"/>
      <c r="I663" s="70"/>
      <c r="J663" s="77"/>
      <c r="K663" s="77"/>
      <c r="L663" s="9"/>
      <c r="M663" s="42"/>
      <c r="N663" s="42"/>
      <c r="O663" s="9"/>
      <c r="P663" s="9"/>
      <c r="Q663" s="9"/>
      <c r="R663" s="33"/>
      <c r="S663" s="9"/>
      <c r="U663" s="8"/>
      <c r="V663" s="9"/>
      <c r="W663" s="9"/>
      <c r="X663" s="9"/>
      <c r="Y663" s="9"/>
      <c r="Z663" s="9"/>
      <c r="AA663" s="9"/>
      <c r="AB663" s="9"/>
      <c r="AC663" s="9"/>
      <c r="AD663" s="9"/>
    </row>
    <row r="664" spans="1:30" ht="18.75" x14ac:dyDescent="0.3">
      <c r="A664" s="42"/>
      <c r="B664" s="42"/>
      <c r="C664" s="74"/>
      <c r="D664" s="74"/>
      <c r="E664" s="70"/>
      <c r="F664" s="70"/>
      <c r="G664" s="70"/>
      <c r="H664" s="70"/>
      <c r="I664" s="70"/>
      <c r="J664" s="77"/>
      <c r="K664" s="77"/>
      <c r="L664" s="9"/>
      <c r="M664" s="42"/>
      <c r="N664" s="42"/>
      <c r="O664" s="9"/>
      <c r="P664" s="9"/>
      <c r="Q664" s="9"/>
      <c r="R664" s="33"/>
      <c r="S664" s="9"/>
      <c r="U664" s="8"/>
      <c r="V664" s="9"/>
      <c r="W664" s="9"/>
      <c r="X664" s="9"/>
      <c r="Y664" s="9"/>
      <c r="Z664" s="9"/>
      <c r="AA664" s="9"/>
      <c r="AB664" s="9"/>
      <c r="AC664" s="9"/>
      <c r="AD664" s="9"/>
    </row>
    <row r="665" spans="1:30" ht="18.75" x14ac:dyDescent="0.3">
      <c r="A665" s="42"/>
      <c r="B665" s="42"/>
      <c r="C665" s="74"/>
      <c r="D665" s="74"/>
      <c r="E665" s="70"/>
      <c r="F665" s="70"/>
      <c r="G665" s="70"/>
      <c r="H665" s="70"/>
      <c r="I665" s="70"/>
      <c r="J665" s="77"/>
      <c r="K665" s="77"/>
      <c r="L665" s="9"/>
      <c r="M665" s="42"/>
      <c r="N665" s="42"/>
      <c r="O665" s="9"/>
      <c r="P665" s="9"/>
      <c r="Q665" s="9"/>
      <c r="R665" s="33"/>
      <c r="S665" s="9"/>
      <c r="U665" s="8"/>
      <c r="V665" s="9"/>
      <c r="W665" s="9"/>
      <c r="X665" s="9"/>
      <c r="Y665" s="9"/>
      <c r="Z665" s="9"/>
      <c r="AA665" s="9"/>
      <c r="AB665" s="9"/>
      <c r="AC665" s="9"/>
      <c r="AD665" s="9"/>
    </row>
    <row r="666" spans="1:30" ht="18.75" x14ac:dyDescent="0.3">
      <c r="A666" s="42"/>
      <c r="B666" s="42"/>
      <c r="C666" s="74"/>
      <c r="D666" s="74"/>
      <c r="E666" s="70"/>
      <c r="F666" s="70"/>
      <c r="G666" s="70"/>
      <c r="H666" s="70"/>
      <c r="I666" s="70"/>
      <c r="J666" s="77"/>
      <c r="K666" s="77"/>
      <c r="L666" s="9"/>
      <c r="M666" s="42"/>
      <c r="N666" s="42"/>
      <c r="O666" s="9"/>
      <c r="P666" s="9"/>
      <c r="Q666" s="9"/>
      <c r="R666" s="33"/>
      <c r="S666" s="9"/>
      <c r="U666" s="8"/>
      <c r="V666" s="9"/>
      <c r="W666" s="9"/>
      <c r="X666" s="9"/>
      <c r="Y666" s="9"/>
      <c r="Z666" s="9"/>
      <c r="AA666" s="9"/>
      <c r="AB666" s="9"/>
      <c r="AC666" s="9"/>
      <c r="AD666" s="9"/>
    </row>
    <row r="667" spans="1:30" ht="18.75" x14ac:dyDescent="0.3">
      <c r="A667" s="42"/>
      <c r="B667" s="42"/>
      <c r="C667" s="74"/>
      <c r="D667" s="74"/>
      <c r="E667" s="70"/>
      <c r="F667" s="70"/>
      <c r="G667" s="70"/>
      <c r="H667" s="70"/>
      <c r="I667" s="70"/>
      <c r="J667" s="77"/>
      <c r="K667" s="77"/>
      <c r="L667" s="9"/>
      <c r="M667" s="42"/>
      <c r="N667" s="42"/>
      <c r="O667" s="9"/>
      <c r="P667" s="9"/>
      <c r="Q667" s="9"/>
      <c r="R667" s="33"/>
      <c r="S667" s="9"/>
      <c r="U667" s="8"/>
      <c r="V667" s="9"/>
      <c r="W667" s="9"/>
      <c r="X667" s="9"/>
      <c r="Y667" s="9"/>
      <c r="Z667" s="9"/>
      <c r="AA667" s="9"/>
      <c r="AB667" s="9"/>
      <c r="AC667" s="9"/>
      <c r="AD667" s="9"/>
    </row>
    <row r="668" spans="1:30" ht="18.75" x14ac:dyDescent="0.3">
      <c r="A668" s="42"/>
      <c r="B668" s="42"/>
      <c r="C668" s="74"/>
      <c r="D668" s="74"/>
      <c r="E668" s="70"/>
      <c r="F668" s="70"/>
      <c r="G668" s="70"/>
      <c r="H668" s="70"/>
      <c r="I668" s="70"/>
      <c r="J668" s="77"/>
      <c r="K668" s="77"/>
      <c r="L668" s="9"/>
      <c r="M668" s="42"/>
      <c r="N668" s="42"/>
      <c r="O668" s="9"/>
      <c r="P668" s="9"/>
      <c r="Q668" s="9"/>
      <c r="R668" s="33"/>
      <c r="S668" s="9"/>
      <c r="U668" s="8"/>
      <c r="V668" s="9"/>
      <c r="W668" s="9"/>
      <c r="X668" s="9"/>
      <c r="Y668" s="9"/>
      <c r="Z668" s="9"/>
      <c r="AA668" s="9"/>
      <c r="AB668" s="9"/>
      <c r="AC668" s="9"/>
      <c r="AD668" s="9"/>
    </row>
    <row r="669" spans="1:30" ht="18.75" x14ac:dyDescent="0.3">
      <c r="A669" s="42"/>
      <c r="B669" s="42"/>
      <c r="C669" s="74"/>
      <c r="D669" s="74"/>
      <c r="E669" s="70"/>
      <c r="F669" s="70"/>
      <c r="G669" s="70"/>
      <c r="H669" s="70"/>
      <c r="I669" s="70"/>
      <c r="J669" s="77"/>
      <c r="K669" s="77"/>
      <c r="L669" s="9"/>
      <c r="M669" s="42"/>
      <c r="N669" s="42"/>
      <c r="O669" s="9"/>
      <c r="P669" s="9"/>
      <c r="Q669" s="9"/>
      <c r="R669" s="33"/>
      <c r="S669" s="9"/>
      <c r="U669" s="8"/>
      <c r="V669" s="9"/>
      <c r="W669" s="9"/>
      <c r="X669" s="9"/>
      <c r="Y669" s="9"/>
      <c r="Z669" s="9"/>
      <c r="AA669" s="9"/>
      <c r="AB669" s="9"/>
      <c r="AC669" s="9"/>
      <c r="AD669" s="9"/>
    </row>
    <row r="670" spans="1:30" ht="18.75" x14ac:dyDescent="0.3">
      <c r="A670" s="42"/>
      <c r="B670" s="42"/>
      <c r="C670" s="74"/>
      <c r="D670" s="74"/>
      <c r="E670" s="70"/>
      <c r="F670" s="70"/>
      <c r="G670" s="70"/>
      <c r="H670" s="70"/>
      <c r="I670" s="70"/>
      <c r="J670" s="77"/>
      <c r="K670" s="77"/>
      <c r="L670" s="9"/>
      <c r="M670" s="42"/>
      <c r="N670" s="42"/>
      <c r="O670" s="9"/>
      <c r="P670" s="9"/>
      <c r="Q670" s="9"/>
      <c r="R670" s="33"/>
      <c r="S670" s="9"/>
      <c r="U670" s="8"/>
      <c r="V670" s="9"/>
      <c r="W670" s="9"/>
      <c r="X670" s="9"/>
      <c r="Y670" s="9"/>
      <c r="Z670" s="9"/>
      <c r="AA670" s="9"/>
      <c r="AB670" s="9"/>
      <c r="AC670" s="9"/>
      <c r="AD670" s="9"/>
    </row>
    <row r="671" spans="1:30" ht="18.75" x14ac:dyDescent="0.3">
      <c r="A671" s="42"/>
      <c r="B671" s="42"/>
      <c r="C671" s="74"/>
      <c r="D671" s="74"/>
      <c r="E671" s="70"/>
      <c r="F671" s="70"/>
      <c r="G671" s="70"/>
      <c r="H671" s="70"/>
      <c r="I671" s="70"/>
      <c r="J671" s="77"/>
      <c r="K671" s="77"/>
      <c r="L671" s="9"/>
      <c r="M671" s="42"/>
      <c r="N671" s="42"/>
      <c r="O671" s="9"/>
      <c r="P671" s="9"/>
      <c r="Q671" s="9"/>
      <c r="R671" s="33"/>
      <c r="S671" s="9"/>
      <c r="U671" s="8"/>
      <c r="V671" s="9"/>
      <c r="W671" s="9"/>
      <c r="X671" s="9"/>
      <c r="Y671" s="9"/>
      <c r="Z671" s="9"/>
      <c r="AA671" s="9"/>
      <c r="AB671" s="9"/>
      <c r="AC671" s="9"/>
      <c r="AD671" s="9"/>
    </row>
    <row r="672" spans="1:30" ht="18.75" x14ac:dyDescent="0.3">
      <c r="A672" s="42"/>
      <c r="B672" s="42"/>
      <c r="C672" s="74"/>
      <c r="D672" s="74"/>
      <c r="E672" s="70"/>
      <c r="F672" s="70"/>
      <c r="G672" s="70"/>
      <c r="H672" s="70"/>
      <c r="I672" s="70"/>
      <c r="J672" s="77"/>
      <c r="K672" s="77"/>
      <c r="L672" s="9"/>
      <c r="M672" s="42"/>
      <c r="N672" s="42"/>
      <c r="O672" s="9"/>
      <c r="P672" s="9"/>
      <c r="Q672" s="9"/>
      <c r="R672" s="33"/>
      <c r="S672" s="9"/>
      <c r="U672" s="8"/>
      <c r="V672" s="9"/>
      <c r="W672" s="9"/>
      <c r="X672" s="9"/>
      <c r="Y672" s="9"/>
      <c r="Z672" s="9"/>
      <c r="AA672" s="9"/>
      <c r="AB672" s="9"/>
      <c r="AC672" s="9"/>
      <c r="AD672" s="9"/>
    </row>
    <row r="673" spans="1:30" ht="18.75" x14ac:dyDescent="0.3">
      <c r="A673" s="42"/>
      <c r="B673" s="42"/>
      <c r="C673" s="74"/>
      <c r="D673" s="74"/>
      <c r="E673" s="70"/>
      <c r="F673" s="70"/>
      <c r="G673" s="70"/>
      <c r="H673" s="70"/>
      <c r="I673" s="70"/>
      <c r="J673" s="77"/>
      <c r="K673" s="77"/>
      <c r="L673" s="9"/>
      <c r="M673" s="42"/>
      <c r="N673" s="42"/>
      <c r="O673" s="9"/>
      <c r="P673" s="9"/>
      <c r="Q673" s="9"/>
      <c r="R673" s="33"/>
      <c r="S673" s="9"/>
      <c r="U673" s="8"/>
      <c r="V673" s="9"/>
      <c r="W673" s="9"/>
      <c r="X673" s="9"/>
      <c r="Y673" s="9"/>
      <c r="Z673" s="9"/>
      <c r="AA673" s="9"/>
      <c r="AB673" s="9"/>
      <c r="AC673" s="9"/>
      <c r="AD673" s="9"/>
    </row>
    <row r="674" spans="1:30" ht="18.75" x14ac:dyDescent="0.3">
      <c r="A674" s="42"/>
      <c r="B674" s="42"/>
      <c r="C674" s="74"/>
      <c r="D674" s="74"/>
      <c r="E674" s="70"/>
      <c r="F674" s="70"/>
      <c r="G674" s="70"/>
      <c r="H674" s="70"/>
      <c r="I674" s="70"/>
      <c r="J674" s="77"/>
      <c r="K674" s="77"/>
      <c r="L674" s="9"/>
      <c r="M674" s="42"/>
      <c r="N674" s="42"/>
      <c r="O674" s="9"/>
      <c r="P674" s="9"/>
      <c r="Q674" s="9"/>
      <c r="R674" s="33"/>
      <c r="S674" s="9"/>
      <c r="U674" s="8"/>
      <c r="V674" s="9"/>
      <c r="W674" s="9"/>
      <c r="X674" s="9"/>
      <c r="Y674" s="9"/>
      <c r="Z674" s="9"/>
      <c r="AA674" s="9"/>
      <c r="AB674" s="9"/>
      <c r="AC674" s="9"/>
      <c r="AD674" s="9"/>
    </row>
    <row r="675" spans="1:30" ht="18.75" x14ac:dyDescent="0.3">
      <c r="A675" s="42"/>
      <c r="B675" s="42"/>
      <c r="C675" s="74"/>
      <c r="D675" s="74"/>
      <c r="E675" s="70"/>
      <c r="F675" s="70"/>
      <c r="G675" s="70"/>
      <c r="H675" s="70"/>
      <c r="I675" s="70"/>
      <c r="J675" s="77"/>
      <c r="K675" s="77"/>
      <c r="L675" s="9"/>
      <c r="M675" s="42"/>
      <c r="N675" s="42"/>
      <c r="O675" s="9"/>
      <c r="P675" s="9"/>
      <c r="Q675" s="9"/>
      <c r="R675" s="33"/>
      <c r="S675" s="9"/>
      <c r="U675" s="8"/>
      <c r="V675" s="9"/>
      <c r="W675" s="9"/>
      <c r="X675" s="9"/>
      <c r="Y675" s="9"/>
      <c r="Z675" s="9"/>
      <c r="AA675" s="9"/>
      <c r="AB675" s="9"/>
      <c r="AC675" s="9"/>
      <c r="AD675" s="9"/>
    </row>
    <row r="676" spans="1:30" ht="18.75" x14ac:dyDescent="0.3">
      <c r="A676" s="42"/>
      <c r="B676" s="42"/>
      <c r="C676" s="74"/>
      <c r="D676" s="74"/>
      <c r="E676" s="70"/>
      <c r="F676" s="70"/>
      <c r="G676" s="70"/>
      <c r="H676" s="70"/>
      <c r="I676" s="70"/>
      <c r="J676" s="77"/>
      <c r="K676" s="77"/>
      <c r="L676" s="9"/>
      <c r="M676" s="42"/>
      <c r="N676" s="42"/>
      <c r="O676" s="9"/>
      <c r="P676" s="9"/>
      <c r="Q676" s="9"/>
      <c r="R676" s="33"/>
      <c r="S676" s="9"/>
      <c r="U676" s="8"/>
      <c r="V676" s="9"/>
      <c r="W676" s="9"/>
      <c r="X676" s="9"/>
      <c r="Y676" s="9"/>
      <c r="Z676" s="9"/>
      <c r="AA676" s="9"/>
      <c r="AB676" s="9"/>
      <c r="AC676" s="9"/>
      <c r="AD676" s="9"/>
    </row>
    <row r="677" spans="1:30" ht="18.75" x14ac:dyDescent="0.3">
      <c r="A677" s="42"/>
      <c r="B677" s="42"/>
      <c r="C677" s="74"/>
      <c r="D677" s="74"/>
      <c r="E677" s="70"/>
      <c r="F677" s="70"/>
      <c r="G677" s="70"/>
      <c r="H677" s="70"/>
      <c r="I677" s="70"/>
      <c r="J677" s="77"/>
      <c r="K677" s="77"/>
      <c r="L677" s="9"/>
      <c r="M677" s="42"/>
      <c r="N677" s="42"/>
      <c r="O677" s="9"/>
      <c r="P677" s="9"/>
      <c r="Q677" s="9"/>
      <c r="R677" s="33"/>
      <c r="S677" s="9"/>
      <c r="U677" s="8"/>
      <c r="V677" s="9"/>
      <c r="W677" s="9"/>
      <c r="X677" s="9"/>
      <c r="Y677" s="9"/>
      <c r="Z677" s="9"/>
      <c r="AA677" s="9"/>
      <c r="AB677" s="9"/>
      <c r="AC677" s="9"/>
      <c r="AD677" s="9"/>
    </row>
    <row r="678" spans="1:30" ht="18.75" x14ac:dyDescent="0.3">
      <c r="A678" s="42"/>
      <c r="B678" s="42"/>
      <c r="C678" s="74"/>
      <c r="D678" s="74"/>
      <c r="E678" s="70"/>
      <c r="F678" s="70"/>
      <c r="G678" s="70"/>
      <c r="H678" s="70"/>
      <c r="I678" s="70"/>
      <c r="J678" s="77"/>
      <c r="K678" s="77"/>
      <c r="L678" s="9"/>
      <c r="M678" s="42"/>
      <c r="N678" s="42"/>
      <c r="O678" s="9"/>
      <c r="P678" s="9"/>
      <c r="Q678" s="9"/>
      <c r="R678" s="33"/>
      <c r="S678" s="9"/>
      <c r="U678" s="8"/>
      <c r="V678" s="9"/>
      <c r="W678" s="9"/>
      <c r="X678" s="9"/>
      <c r="Y678" s="9"/>
      <c r="Z678" s="9"/>
      <c r="AA678" s="9"/>
      <c r="AB678" s="9"/>
      <c r="AC678" s="9"/>
      <c r="AD678" s="9"/>
    </row>
    <row r="679" spans="1:30" ht="18.75" x14ac:dyDescent="0.3">
      <c r="A679" s="42"/>
      <c r="B679" s="42"/>
      <c r="C679" s="74"/>
      <c r="D679" s="74"/>
      <c r="E679" s="70"/>
      <c r="F679" s="70"/>
      <c r="G679" s="70"/>
      <c r="H679" s="70"/>
      <c r="I679" s="70"/>
      <c r="J679" s="77"/>
      <c r="K679" s="77"/>
      <c r="L679" s="9"/>
      <c r="M679" s="42"/>
      <c r="N679" s="42"/>
      <c r="O679" s="9"/>
      <c r="P679" s="9"/>
      <c r="Q679" s="9"/>
      <c r="R679" s="33"/>
      <c r="S679" s="9"/>
      <c r="U679" s="8"/>
      <c r="V679" s="9"/>
      <c r="W679" s="9"/>
      <c r="X679" s="9"/>
      <c r="Y679" s="9"/>
      <c r="Z679" s="9"/>
      <c r="AA679" s="9"/>
      <c r="AB679" s="9"/>
      <c r="AC679" s="9"/>
      <c r="AD679" s="9"/>
    </row>
    <row r="680" spans="1:30" ht="18.75" x14ac:dyDescent="0.3">
      <c r="A680" s="42"/>
      <c r="B680" s="42"/>
      <c r="C680" s="74"/>
      <c r="D680" s="74"/>
      <c r="E680" s="70"/>
      <c r="F680" s="70"/>
      <c r="G680" s="70"/>
      <c r="H680" s="70"/>
      <c r="I680" s="70"/>
      <c r="J680" s="77"/>
      <c r="K680" s="77"/>
      <c r="L680" s="9"/>
      <c r="M680" s="42"/>
      <c r="N680" s="42"/>
      <c r="O680" s="9"/>
      <c r="P680" s="9"/>
      <c r="Q680" s="9"/>
      <c r="R680" s="33"/>
      <c r="S680" s="9"/>
      <c r="U680" s="8"/>
      <c r="V680" s="9"/>
      <c r="W680" s="9"/>
      <c r="X680" s="9"/>
      <c r="Y680" s="9"/>
      <c r="Z680" s="9"/>
      <c r="AA680" s="9"/>
      <c r="AB680" s="9"/>
      <c r="AC680" s="9"/>
      <c r="AD680" s="9"/>
    </row>
    <row r="681" spans="1:30" ht="18.75" x14ac:dyDescent="0.3">
      <c r="A681" s="42"/>
      <c r="B681" s="42"/>
      <c r="C681" s="74"/>
      <c r="D681" s="74"/>
      <c r="E681" s="70"/>
      <c r="F681" s="70"/>
      <c r="G681" s="70"/>
      <c r="H681" s="70"/>
      <c r="I681" s="70"/>
      <c r="J681" s="77"/>
      <c r="K681" s="77"/>
      <c r="L681" s="9"/>
      <c r="M681" s="42"/>
      <c r="N681" s="42"/>
      <c r="O681" s="9"/>
      <c r="P681" s="9"/>
      <c r="Q681" s="9"/>
      <c r="R681" s="33"/>
      <c r="S681" s="9"/>
      <c r="U681" s="8"/>
      <c r="V681" s="9"/>
      <c r="W681" s="9"/>
      <c r="X681" s="9"/>
      <c r="Y681" s="9"/>
      <c r="Z681" s="9"/>
      <c r="AA681" s="9"/>
      <c r="AB681" s="9"/>
      <c r="AC681" s="9"/>
      <c r="AD681" s="9"/>
    </row>
    <row r="682" spans="1:30" ht="18.75" x14ac:dyDescent="0.3">
      <c r="A682" s="42"/>
      <c r="B682" s="42"/>
      <c r="C682" s="74"/>
      <c r="D682" s="74"/>
      <c r="E682" s="70"/>
      <c r="F682" s="70"/>
      <c r="G682" s="70"/>
      <c r="H682" s="70"/>
      <c r="I682" s="70"/>
      <c r="J682" s="77"/>
      <c r="K682" s="77"/>
      <c r="L682" s="9"/>
      <c r="M682" s="42"/>
      <c r="N682" s="42"/>
      <c r="O682" s="9"/>
      <c r="P682" s="9"/>
      <c r="Q682" s="9"/>
      <c r="R682" s="33"/>
      <c r="S682" s="9"/>
      <c r="U682" s="8"/>
      <c r="V682" s="9"/>
      <c r="W682" s="9"/>
      <c r="X682" s="9"/>
      <c r="Y682" s="9"/>
      <c r="Z682" s="9"/>
      <c r="AA682" s="9"/>
      <c r="AB682" s="9"/>
      <c r="AC682" s="9"/>
      <c r="AD682" s="9"/>
    </row>
    <row r="683" spans="1:30" ht="18.75" x14ac:dyDescent="0.3">
      <c r="A683" s="42"/>
      <c r="B683" s="42"/>
      <c r="C683" s="74"/>
      <c r="D683" s="74"/>
      <c r="E683" s="70"/>
      <c r="F683" s="70"/>
      <c r="G683" s="70"/>
      <c r="H683" s="70"/>
      <c r="I683" s="70"/>
      <c r="J683" s="77"/>
      <c r="K683" s="77"/>
      <c r="L683" s="9"/>
      <c r="M683" s="42"/>
      <c r="N683" s="42"/>
      <c r="O683" s="9"/>
      <c r="P683" s="9"/>
      <c r="Q683" s="9"/>
      <c r="R683" s="33"/>
      <c r="S683" s="9"/>
      <c r="U683" s="8"/>
      <c r="V683" s="9"/>
      <c r="W683" s="9"/>
      <c r="X683" s="9"/>
      <c r="Y683" s="9"/>
      <c r="Z683" s="9"/>
      <c r="AA683" s="9"/>
      <c r="AB683" s="9"/>
      <c r="AC683" s="9"/>
      <c r="AD683" s="9"/>
    </row>
    <row r="684" spans="1:30" ht="18.75" x14ac:dyDescent="0.3">
      <c r="A684" s="42"/>
      <c r="B684" s="42"/>
      <c r="C684" s="74"/>
      <c r="D684" s="74"/>
      <c r="E684" s="70"/>
      <c r="F684" s="70"/>
      <c r="G684" s="70"/>
      <c r="H684" s="70"/>
      <c r="I684" s="70"/>
      <c r="J684" s="77"/>
      <c r="K684" s="77"/>
      <c r="L684" s="9"/>
      <c r="M684" s="42"/>
      <c r="N684" s="42"/>
      <c r="O684" s="9"/>
      <c r="P684" s="9"/>
      <c r="Q684" s="9"/>
      <c r="R684" s="33"/>
      <c r="S684" s="9"/>
      <c r="U684" s="8"/>
      <c r="V684" s="9"/>
      <c r="W684" s="9"/>
      <c r="X684" s="9"/>
      <c r="Y684" s="9"/>
      <c r="Z684" s="9"/>
      <c r="AA684" s="9"/>
      <c r="AB684" s="9"/>
      <c r="AC684" s="9"/>
      <c r="AD684" s="9"/>
    </row>
    <row r="685" spans="1:30" ht="18.75" x14ac:dyDescent="0.3">
      <c r="A685" s="42"/>
      <c r="B685" s="42"/>
      <c r="C685" s="74"/>
      <c r="D685" s="74"/>
      <c r="E685" s="70"/>
      <c r="F685" s="70"/>
      <c r="G685" s="70"/>
      <c r="H685" s="70"/>
      <c r="I685" s="70"/>
      <c r="J685" s="77"/>
      <c r="K685" s="77"/>
      <c r="L685" s="9"/>
      <c r="M685" s="42"/>
      <c r="N685" s="42"/>
      <c r="O685" s="9"/>
      <c r="P685" s="9"/>
      <c r="Q685" s="9"/>
      <c r="R685" s="33"/>
      <c r="S685" s="9"/>
      <c r="U685" s="8"/>
      <c r="V685" s="9"/>
      <c r="W685" s="9"/>
      <c r="X685" s="9"/>
      <c r="Y685" s="9"/>
      <c r="Z685" s="9"/>
      <c r="AA685" s="9"/>
      <c r="AB685" s="9"/>
      <c r="AC685" s="9"/>
      <c r="AD685" s="9"/>
    </row>
    <row r="686" spans="1:30" ht="18.75" x14ac:dyDescent="0.3">
      <c r="A686" s="42"/>
      <c r="B686" s="42"/>
      <c r="C686" s="74"/>
      <c r="D686" s="74"/>
      <c r="E686" s="70"/>
      <c r="F686" s="70"/>
      <c r="G686" s="70"/>
      <c r="H686" s="70"/>
      <c r="I686" s="70"/>
      <c r="J686" s="77"/>
      <c r="K686" s="77"/>
      <c r="L686" s="9"/>
      <c r="M686" s="42"/>
      <c r="N686" s="42"/>
      <c r="O686" s="9"/>
      <c r="P686" s="9"/>
      <c r="Q686" s="9"/>
      <c r="R686" s="33"/>
      <c r="S686" s="9"/>
      <c r="U686" s="8"/>
      <c r="V686" s="9"/>
      <c r="W686" s="9"/>
      <c r="X686" s="9"/>
      <c r="Y686" s="9"/>
      <c r="Z686" s="9"/>
      <c r="AA686" s="9"/>
      <c r="AB686" s="9"/>
      <c r="AC686" s="9"/>
      <c r="AD686" s="9"/>
    </row>
    <row r="687" spans="1:30" ht="18.75" x14ac:dyDescent="0.3">
      <c r="A687" s="42"/>
      <c r="B687" s="42"/>
      <c r="C687" s="74"/>
      <c r="D687" s="74"/>
      <c r="E687" s="70"/>
      <c r="F687" s="70"/>
      <c r="G687" s="70"/>
      <c r="H687" s="70"/>
      <c r="I687" s="70"/>
      <c r="J687" s="77"/>
      <c r="K687" s="77"/>
      <c r="L687" s="9"/>
      <c r="M687" s="42"/>
      <c r="N687" s="42"/>
      <c r="O687" s="9"/>
      <c r="P687" s="9"/>
      <c r="Q687" s="9"/>
      <c r="R687" s="33"/>
      <c r="S687" s="9"/>
      <c r="U687" s="8"/>
      <c r="V687" s="9"/>
      <c r="W687" s="9"/>
      <c r="X687" s="9"/>
      <c r="Y687" s="9"/>
      <c r="Z687" s="9"/>
      <c r="AA687" s="9"/>
      <c r="AB687" s="9"/>
      <c r="AC687" s="9"/>
      <c r="AD687" s="9"/>
    </row>
    <row r="688" spans="1:30" ht="18.75" x14ac:dyDescent="0.3">
      <c r="A688" s="42"/>
      <c r="B688" s="42"/>
      <c r="C688" s="74"/>
      <c r="D688" s="74"/>
      <c r="E688" s="70"/>
      <c r="F688" s="70"/>
      <c r="G688" s="70"/>
      <c r="H688" s="70"/>
      <c r="I688" s="70"/>
      <c r="J688" s="77"/>
      <c r="K688" s="77"/>
      <c r="L688" s="9"/>
      <c r="M688" s="42"/>
      <c r="N688" s="42"/>
      <c r="O688" s="9"/>
      <c r="P688" s="9"/>
      <c r="Q688" s="9"/>
      <c r="R688" s="33"/>
      <c r="S688" s="9"/>
      <c r="U688" s="8"/>
      <c r="V688" s="9"/>
      <c r="W688" s="9"/>
      <c r="X688" s="9"/>
      <c r="Y688" s="9"/>
      <c r="Z688" s="9"/>
      <c r="AA688" s="9"/>
      <c r="AB688" s="9"/>
      <c r="AC688" s="9"/>
      <c r="AD688" s="9"/>
    </row>
    <row r="689" spans="1:30" ht="18.75" x14ac:dyDescent="0.3">
      <c r="A689" s="42"/>
      <c r="B689" s="42"/>
      <c r="C689" s="74"/>
      <c r="D689" s="74"/>
      <c r="E689" s="70"/>
      <c r="F689" s="70"/>
      <c r="G689" s="70"/>
      <c r="H689" s="70"/>
      <c r="I689" s="70"/>
      <c r="J689" s="77"/>
      <c r="K689" s="77"/>
      <c r="L689" s="9"/>
      <c r="M689" s="42"/>
      <c r="N689" s="42"/>
      <c r="O689" s="9"/>
      <c r="P689" s="9"/>
      <c r="Q689" s="9"/>
      <c r="R689" s="33"/>
      <c r="S689" s="9"/>
      <c r="U689" s="8"/>
      <c r="V689" s="9"/>
      <c r="W689" s="9"/>
      <c r="X689" s="9"/>
      <c r="Y689" s="9"/>
      <c r="Z689" s="9"/>
      <c r="AA689" s="9"/>
      <c r="AB689" s="9"/>
      <c r="AC689" s="9"/>
      <c r="AD689" s="9"/>
    </row>
    <row r="690" spans="1:30" ht="18.75" x14ac:dyDescent="0.3">
      <c r="A690" s="42"/>
      <c r="B690" s="42"/>
      <c r="C690" s="74"/>
      <c r="D690" s="74"/>
      <c r="E690" s="70"/>
      <c r="F690" s="70"/>
      <c r="G690" s="70"/>
      <c r="H690" s="70"/>
      <c r="I690" s="70"/>
      <c r="J690" s="77"/>
      <c r="K690" s="77"/>
      <c r="L690" s="9"/>
      <c r="M690" s="42"/>
      <c r="N690" s="42"/>
      <c r="O690" s="9"/>
      <c r="P690" s="9"/>
      <c r="Q690" s="9"/>
      <c r="R690" s="33"/>
      <c r="S690" s="9"/>
      <c r="U690" s="8"/>
      <c r="V690" s="9"/>
      <c r="W690" s="9"/>
      <c r="X690" s="9"/>
      <c r="Y690" s="9"/>
      <c r="Z690" s="9"/>
      <c r="AA690" s="9"/>
      <c r="AB690" s="9"/>
      <c r="AC690" s="9"/>
      <c r="AD690" s="9"/>
    </row>
    <row r="691" spans="1:30" ht="18.75" x14ac:dyDescent="0.3">
      <c r="A691" s="42"/>
      <c r="B691" s="42"/>
      <c r="C691" s="74"/>
      <c r="D691" s="74"/>
      <c r="E691" s="70"/>
      <c r="F691" s="70"/>
      <c r="G691" s="70"/>
      <c r="H691" s="70"/>
      <c r="I691" s="70"/>
      <c r="J691" s="77"/>
      <c r="K691" s="77"/>
      <c r="L691" s="9"/>
      <c r="M691" s="42"/>
      <c r="N691" s="42"/>
      <c r="O691" s="9"/>
      <c r="P691" s="9"/>
      <c r="Q691" s="9"/>
      <c r="R691" s="33"/>
      <c r="S691" s="9"/>
      <c r="U691" s="8"/>
      <c r="V691" s="9"/>
      <c r="W691" s="9"/>
      <c r="X691" s="9"/>
      <c r="Y691" s="9"/>
      <c r="Z691" s="9"/>
      <c r="AA691" s="9"/>
      <c r="AB691" s="9"/>
      <c r="AC691" s="9"/>
      <c r="AD691" s="9"/>
    </row>
    <row r="692" spans="1:30" ht="18.75" x14ac:dyDescent="0.3">
      <c r="A692" s="42"/>
      <c r="B692" s="42"/>
      <c r="C692" s="74"/>
      <c r="D692" s="74"/>
      <c r="E692" s="70"/>
      <c r="F692" s="70"/>
      <c r="G692" s="70"/>
      <c r="H692" s="70"/>
      <c r="I692" s="70"/>
      <c r="J692" s="77"/>
      <c r="K692" s="77"/>
      <c r="L692" s="9"/>
      <c r="M692" s="42"/>
      <c r="N692" s="42"/>
      <c r="O692" s="9"/>
      <c r="P692" s="9"/>
      <c r="Q692" s="9"/>
      <c r="R692" s="33"/>
      <c r="S692" s="9"/>
      <c r="U692" s="8"/>
      <c r="V692" s="9"/>
      <c r="W692" s="9"/>
      <c r="X692" s="9"/>
      <c r="Y692" s="9"/>
      <c r="Z692" s="9"/>
      <c r="AA692" s="9"/>
      <c r="AB692" s="9"/>
      <c r="AC692" s="9"/>
      <c r="AD692" s="9"/>
    </row>
    <row r="693" spans="1:30" ht="18.75" x14ac:dyDescent="0.3">
      <c r="A693" s="42"/>
      <c r="B693" s="42"/>
      <c r="C693" s="74"/>
      <c r="D693" s="74"/>
      <c r="E693" s="70"/>
      <c r="F693" s="70"/>
      <c r="G693" s="70"/>
      <c r="H693" s="70"/>
      <c r="I693" s="70"/>
      <c r="J693" s="77"/>
      <c r="K693" s="77"/>
      <c r="L693" s="9"/>
      <c r="M693" s="42"/>
      <c r="N693" s="42"/>
      <c r="O693" s="9"/>
      <c r="P693" s="9"/>
      <c r="Q693" s="9"/>
      <c r="R693" s="33"/>
      <c r="S693" s="9"/>
      <c r="U693" s="8"/>
      <c r="V693" s="9"/>
      <c r="W693" s="9"/>
      <c r="X693" s="9"/>
      <c r="Y693" s="9"/>
      <c r="Z693" s="9"/>
      <c r="AA693" s="9"/>
      <c r="AB693" s="9"/>
      <c r="AC693" s="9"/>
      <c r="AD693" s="9"/>
    </row>
    <row r="694" spans="1:30" ht="18.75" x14ac:dyDescent="0.3">
      <c r="A694" s="42"/>
      <c r="B694" s="42"/>
      <c r="C694" s="74"/>
      <c r="D694" s="74"/>
      <c r="E694" s="70"/>
      <c r="F694" s="70"/>
      <c r="G694" s="70"/>
      <c r="H694" s="70"/>
      <c r="I694" s="70"/>
      <c r="J694" s="77"/>
      <c r="K694" s="77"/>
      <c r="L694" s="9"/>
      <c r="M694" s="42"/>
      <c r="N694" s="42"/>
      <c r="O694" s="9"/>
      <c r="P694" s="9"/>
      <c r="Q694" s="9"/>
      <c r="R694" s="33"/>
      <c r="S694" s="9"/>
      <c r="U694" s="8"/>
      <c r="V694" s="9"/>
      <c r="W694" s="9"/>
      <c r="X694" s="9"/>
      <c r="Y694" s="9"/>
      <c r="Z694" s="9"/>
      <c r="AA694" s="9"/>
      <c r="AB694" s="9"/>
      <c r="AC694" s="9"/>
      <c r="AD694" s="9"/>
    </row>
    <row r="695" spans="1:30" ht="18.75" x14ac:dyDescent="0.3">
      <c r="A695" s="42"/>
      <c r="B695" s="42"/>
      <c r="C695" s="74"/>
      <c r="D695" s="74"/>
      <c r="E695" s="70"/>
      <c r="F695" s="70"/>
      <c r="G695" s="70"/>
      <c r="H695" s="70"/>
      <c r="I695" s="70"/>
      <c r="J695" s="77"/>
      <c r="K695" s="77"/>
      <c r="L695" s="9"/>
      <c r="M695" s="42"/>
      <c r="N695" s="42"/>
      <c r="O695" s="9"/>
      <c r="P695" s="9"/>
      <c r="Q695" s="9"/>
      <c r="R695" s="33"/>
      <c r="S695" s="9"/>
      <c r="U695" s="8"/>
      <c r="V695" s="9"/>
      <c r="W695" s="9"/>
      <c r="X695" s="9"/>
      <c r="Y695" s="9"/>
      <c r="Z695" s="9"/>
      <c r="AA695" s="9"/>
      <c r="AB695" s="9"/>
      <c r="AC695" s="9"/>
      <c r="AD695" s="9"/>
    </row>
    <row r="696" spans="1:30" ht="18.75" x14ac:dyDescent="0.3">
      <c r="A696" s="42"/>
      <c r="B696" s="42"/>
      <c r="C696" s="74"/>
      <c r="D696" s="74"/>
      <c r="E696" s="70"/>
      <c r="F696" s="70"/>
      <c r="G696" s="70"/>
      <c r="H696" s="70"/>
      <c r="I696" s="70"/>
      <c r="J696" s="77"/>
      <c r="K696" s="77"/>
      <c r="L696" s="9"/>
      <c r="M696" s="42"/>
      <c r="N696" s="42"/>
      <c r="O696" s="9"/>
      <c r="P696" s="9"/>
      <c r="Q696" s="9"/>
      <c r="R696" s="33"/>
      <c r="S696" s="9"/>
      <c r="U696" s="8"/>
      <c r="V696" s="9"/>
      <c r="W696" s="9"/>
      <c r="X696" s="9"/>
      <c r="Y696" s="9"/>
      <c r="Z696" s="9"/>
      <c r="AA696" s="9"/>
      <c r="AB696" s="9"/>
      <c r="AC696" s="9"/>
      <c r="AD696" s="9"/>
    </row>
    <row r="697" spans="1:30" ht="18.75" x14ac:dyDescent="0.3">
      <c r="A697" s="42"/>
      <c r="B697" s="42"/>
      <c r="C697" s="74"/>
      <c r="D697" s="74"/>
      <c r="E697" s="70"/>
      <c r="F697" s="70"/>
      <c r="G697" s="70"/>
      <c r="H697" s="70"/>
      <c r="I697" s="70"/>
      <c r="J697" s="77"/>
      <c r="K697" s="77"/>
      <c r="L697" s="9"/>
      <c r="M697" s="42"/>
      <c r="N697" s="42"/>
      <c r="O697" s="9"/>
      <c r="P697" s="9"/>
      <c r="Q697" s="9"/>
      <c r="R697" s="33"/>
      <c r="S697" s="9"/>
      <c r="U697" s="8"/>
      <c r="V697" s="9"/>
      <c r="W697" s="9"/>
      <c r="X697" s="9"/>
      <c r="Y697" s="9"/>
      <c r="Z697" s="9"/>
      <c r="AA697" s="9"/>
      <c r="AB697" s="9"/>
      <c r="AC697" s="9"/>
      <c r="AD697" s="9"/>
    </row>
    <row r="698" spans="1:30" ht="18.75" x14ac:dyDescent="0.3">
      <c r="A698" s="42"/>
      <c r="B698" s="42"/>
      <c r="C698" s="74"/>
      <c r="D698" s="74"/>
      <c r="E698" s="70"/>
      <c r="F698" s="70"/>
      <c r="G698" s="70"/>
      <c r="H698" s="70"/>
      <c r="I698" s="70"/>
      <c r="J698" s="77"/>
      <c r="K698" s="77"/>
      <c r="L698" s="9"/>
      <c r="M698" s="42"/>
      <c r="N698" s="42"/>
      <c r="O698" s="9"/>
      <c r="P698" s="9"/>
      <c r="Q698" s="9"/>
      <c r="R698" s="33"/>
      <c r="S698" s="9"/>
      <c r="U698" s="8"/>
      <c r="V698" s="9"/>
      <c r="W698" s="9"/>
      <c r="X698" s="9"/>
      <c r="Y698" s="9"/>
      <c r="Z698" s="9"/>
      <c r="AA698" s="9"/>
      <c r="AB698" s="9"/>
      <c r="AC698" s="9"/>
      <c r="AD698" s="9"/>
    </row>
    <row r="699" spans="1:30" ht="18.75" x14ac:dyDescent="0.3">
      <c r="A699" s="42"/>
      <c r="B699" s="42"/>
      <c r="C699" s="74"/>
      <c r="D699" s="74"/>
      <c r="E699" s="70"/>
      <c r="F699" s="70"/>
      <c r="G699" s="70"/>
      <c r="H699" s="70"/>
      <c r="I699" s="70"/>
      <c r="J699" s="77"/>
      <c r="K699" s="77"/>
      <c r="L699" s="9"/>
      <c r="M699" s="42"/>
      <c r="N699" s="42"/>
      <c r="O699" s="9"/>
      <c r="P699" s="9"/>
      <c r="Q699" s="9"/>
      <c r="R699" s="33"/>
      <c r="S699" s="9"/>
      <c r="U699" s="8"/>
      <c r="V699" s="9"/>
      <c r="W699" s="9"/>
      <c r="X699" s="9"/>
      <c r="Y699" s="9"/>
      <c r="Z699" s="9"/>
      <c r="AA699" s="9"/>
      <c r="AB699" s="9"/>
      <c r="AC699" s="9"/>
      <c r="AD699" s="9"/>
    </row>
    <row r="700" spans="1:30" ht="18.75" x14ac:dyDescent="0.3">
      <c r="A700" s="42"/>
      <c r="B700" s="42"/>
      <c r="C700" s="74"/>
      <c r="D700" s="74"/>
      <c r="E700" s="70"/>
      <c r="F700" s="70"/>
      <c r="G700" s="70"/>
      <c r="H700" s="70"/>
      <c r="I700" s="70"/>
      <c r="J700" s="77"/>
      <c r="K700" s="77"/>
      <c r="L700" s="9"/>
      <c r="M700" s="42"/>
      <c r="N700" s="42"/>
      <c r="O700" s="9"/>
      <c r="P700" s="9"/>
      <c r="Q700" s="9"/>
      <c r="R700" s="33"/>
      <c r="S700" s="9"/>
      <c r="U700" s="8"/>
      <c r="V700" s="9"/>
      <c r="W700" s="9"/>
      <c r="X700" s="9"/>
      <c r="Y700" s="9"/>
      <c r="Z700" s="9"/>
      <c r="AA700" s="9"/>
      <c r="AB700" s="9"/>
      <c r="AC700" s="9"/>
      <c r="AD700" s="9"/>
    </row>
    <row r="701" spans="1:30" ht="18.75" x14ac:dyDescent="0.3">
      <c r="A701" s="42"/>
      <c r="B701" s="42"/>
      <c r="C701" s="74"/>
      <c r="D701" s="74"/>
      <c r="E701" s="70"/>
      <c r="F701" s="70"/>
      <c r="G701" s="70"/>
      <c r="H701" s="70"/>
      <c r="I701" s="70"/>
      <c r="J701" s="77"/>
      <c r="K701" s="77"/>
      <c r="L701" s="9"/>
      <c r="M701" s="42"/>
      <c r="N701" s="42"/>
      <c r="O701" s="9"/>
      <c r="P701" s="9"/>
      <c r="Q701" s="9"/>
      <c r="R701" s="33"/>
      <c r="S701" s="9"/>
      <c r="U701" s="8"/>
      <c r="V701" s="9"/>
      <c r="W701" s="9"/>
      <c r="X701" s="9"/>
      <c r="Y701" s="9"/>
      <c r="Z701" s="9"/>
      <c r="AA701" s="9"/>
      <c r="AB701" s="9"/>
      <c r="AC701" s="9"/>
      <c r="AD701" s="9"/>
    </row>
    <row r="702" spans="1:30" ht="18.75" x14ac:dyDescent="0.3">
      <c r="A702" s="42"/>
      <c r="B702" s="42"/>
      <c r="C702" s="74"/>
      <c r="D702" s="74"/>
      <c r="E702" s="70"/>
      <c r="F702" s="70"/>
      <c r="G702" s="70"/>
      <c r="H702" s="70"/>
      <c r="I702" s="70"/>
      <c r="J702" s="77"/>
      <c r="K702" s="77"/>
      <c r="L702" s="9"/>
      <c r="M702" s="42"/>
      <c r="N702" s="42"/>
      <c r="O702" s="9"/>
      <c r="P702" s="9"/>
      <c r="Q702" s="9"/>
      <c r="R702" s="33"/>
      <c r="S702" s="9"/>
      <c r="U702" s="8"/>
      <c r="V702" s="9"/>
      <c r="W702" s="9"/>
      <c r="X702" s="9"/>
      <c r="Y702" s="9"/>
      <c r="Z702" s="9"/>
      <c r="AA702" s="9"/>
      <c r="AB702" s="9"/>
      <c r="AC702" s="9"/>
      <c r="AD702" s="9"/>
    </row>
    <row r="703" spans="1:30" ht="18.75" x14ac:dyDescent="0.3">
      <c r="A703" s="42"/>
      <c r="B703" s="42"/>
      <c r="C703" s="74"/>
      <c r="D703" s="74"/>
      <c r="E703" s="70"/>
      <c r="F703" s="70"/>
      <c r="G703" s="70"/>
      <c r="H703" s="70"/>
      <c r="I703" s="70"/>
      <c r="J703" s="77"/>
      <c r="K703" s="77"/>
      <c r="L703" s="9"/>
      <c r="M703" s="42"/>
      <c r="N703" s="42"/>
      <c r="O703" s="9"/>
      <c r="P703" s="9"/>
      <c r="Q703" s="9"/>
      <c r="R703" s="33"/>
      <c r="S703" s="9"/>
      <c r="U703" s="8"/>
      <c r="V703" s="9"/>
      <c r="W703" s="9"/>
      <c r="X703" s="9"/>
      <c r="Y703" s="9"/>
      <c r="Z703" s="9"/>
      <c r="AA703" s="9"/>
      <c r="AB703" s="9"/>
      <c r="AC703" s="9"/>
      <c r="AD703" s="9"/>
    </row>
    <row r="704" spans="1:30" ht="18.75" x14ac:dyDescent="0.3">
      <c r="A704" s="42"/>
      <c r="B704" s="42"/>
      <c r="C704" s="74"/>
      <c r="D704" s="74"/>
      <c r="E704" s="70"/>
      <c r="F704" s="70"/>
      <c r="G704" s="70"/>
      <c r="H704" s="70"/>
      <c r="I704" s="70"/>
      <c r="J704" s="77"/>
      <c r="K704" s="77"/>
      <c r="L704" s="9"/>
      <c r="M704" s="42"/>
      <c r="N704" s="42"/>
      <c r="O704" s="9"/>
      <c r="P704" s="9"/>
      <c r="Q704" s="9"/>
      <c r="R704" s="33"/>
      <c r="S704" s="9"/>
      <c r="U704" s="8"/>
      <c r="V704" s="9"/>
      <c r="W704" s="9"/>
      <c r="X704" s="9"/>
      <c r="Y704" s="9"/>
      <c r="Z704" s="9"/>
      <c r="AA704" s="9"/>
      <c r="AB704" s="9"/>
      <c r="AC704" s="9"/>
      <c r="AD704" s="9"/>
    </row>
    <row r="705" spans="1:30" ht="18.75" x14ac:dyDescent="0.3">
      <c r="A705" s="42"/>
      <c r="B705" s="42"/>
      <c r="C705" s="74"/>
      <c r="D705" s="74"/>
      <c r="E705" s="70"/>
      <c r="F705" s="70"/>
      <c r="G705" s="70"/>
      <c r="H705" s="70"/>
      <c r="I705" s="70"/>
      <c r="J705" s="77"/>
      <c r="K705" s="77"/>
      <c r="L705" s="9"/>
      <c r="M705" s="42"/>
      <c r="N705" s="42"/>
      <c r="O705" s="9"/>
      <c r="P705" s="9"/>
      <c r="Q705" s="9"/>
      <c r="R705" s="33"/>
      <c r="S705" s="9"/>
      <c r="U705" s="8"/>
      <c r="V705" s="9"/>
      <c r="W705" s="9"/>
      <c r="X705" s="9"/>
      <c r="Y705" s="9"/>
      <c r="Z705" s="9"/>
      <c r="AA705" s="9"/>
      <c r="AB705" s="9"/>
      <c r="AC705" s="9"/>
      <c r="AD705" s="9"/>
    </row>
    <row r="706" spans="1:30" ht="18.75" x14ac:dyDescent="0.3">
      <c r="A706" s="42"/>
      <c r="B706" s="42"/>
      <c r="C706" s="74"/>
      <c r="D706" s="74"/>
      <c r="E706" s="70"/>
      <c r="F706" s="70"/>
      <c r="G706" s="70"/>
      <c r="H706" s="70"/>
      <c r="I706" s="70"/>
      <c r="J706" s="77"/>
      <c r="K706" s="77"/>
      <c r="L706" s="9"/>
      <c r="M706" s="42"/>
      <c r="N706" s="42"/>
      <c r="O706" s="9"/>
      <c r="P706" s="9"/>
      <c r="Q706" s="9"/>
      <c r="R706" s="33"/>
      <c r="S706" s="9"/>
      <c r="U706" s="8"/>
      <c r="V706" s="9"/>
      <c r="W706" s="9"/>
      <c r="X706" s="9"/>
      <c r="Y706" s="9"/>
      <c r="Z706" s="9"/>
      <c r="AA706" s="9"/>
      <c r="AB706" s="9"/>
      <c r="AC706" s="9"/>
      <c r="AD706" s="9"/>
    </row>
    <row r="707" spans="1:30" ht="18.75" x14ac:dyDescent="0.3">
      <c r="A707" s="42"/>
      <c r="B707" s="42"/>
      <c r="C707" s="74"/>
      <c r="D707" s="74"/>
      <c r="E707" s="70"/>
      <c r="F707" s="70"/>
      <c r="G707" s="70"/>
      <c r="H707" s="70"/>
      <c r="I707" s="70"/>
      <c r="J707" s="77"/>
      <c r="K707" s="77"/>
      <c r="L707" s="9"/>
      <c r="M707" s="42"/>
      <c r="N707" s="42"/>
      <c r="O707" s="9"/>
      <c r="P707" s="9"/>
      <c r="Q707" s="9"/>
      <c r="R707" s="33"/>
      <c r="S707" s="9"/>
      <c r="U707" s="8"/>
      <c r="V707" s="9"/>
      <c r="W707" s="9"/>
      <c r="X707" s="9"/>
      <c r="Y707" s="9"/>
      <c r="Z707" s="9"/>
      <c r="AA707" s="9"/>
      <c r="AB707" s="9"/>
      <c r="AC707" s="9"/>
      <c r="AD707" s="9"/>
    </row>
    <row r="708" spans="1:30" ht="18.75" x14ac:dyDescent="0.3">
      <c r="A708" s="42"/>
      <c r="B708" s="42"/>
      <c r="C708" s="74"/>
      <c r="D708" s="74"/>
      <c r="E708" s="70"/>
      <c r="F708" s="70"/>
      <c r="G708" s="70"/>
      <c r="H708" s="70"/>
      <c r="I708" s="70"/>
      <c r="J708" s="77"/>
      <c r="K708" s="77"/>
      <c r="L708" s="9"/>
      <c r="M708" s="42"/>
      <c r="N708" s="42"/>
      <c r="O708" s="9"/>
      <c r="P708" s="9"/>
      <c r="Q708" s="9"/>
      <c r="R708" s="33"/>
      <c r="S708" s="9"/>
      <c r="U708" s="8"/>
      <c r="V708" s="9"/>
      <c r="W708" s="9"/>
      <c r="X708" s="9"/>
      <c r="Y708" s="9"/>
      <c r="Z708" s="9"/>
      <c r="AA708" s="9"/>
      <c r="AB708" s="9"/>
      <c r="AC708" s="9"/>
      <c r="AD708" s="9"/>
    </row>
    <row r="709" spans="1:30" ht="18.75" x14ac:dyDescent="0.3">
      <c r="A709" s="42"/>
      <c r="B709" s="42"/>
      <c r="C709" s="74"/>
      <c r="D709" s="74"/>
      <c r="E709" s="70"/>
      <c r="F709" s="70"/>
      <c r="G709" s="70"/>
      <c r="H709" s="70"/>
      <c r="I709" s="70"/>
      <c r="J709" s="77"/>
      <c r="K709" s="77"/>
      <c r="L709" s="9"/>
      <c r="M709" s="42"/>
      <c r="N709" s="42"/>
      <c r="O709" s="9"/>
      <c r="P709" s="9"/>
      <c r="Q709" s="9"/>
      <c r="R709" s="33"/>
      <c r="S709" s="9"/>
      <c r="U709" s="8"/>
      <c r="V709" s="9"/>
      <c r="W709" s="9"/>
      <c r="X709" s="9"/>
      <c r="Y709" s="9"/>
      <c r="Z709" s="9"/>
      <c r="AA709" s="9"/>
      <c r="AB709" s="9"/>
      <c r="AC709" s="9"/>
      <c r="AD709" s="9"/>
    </row>
    <row r="710" spans="1:30" ht="18.75" x14ac:dyDescent="0.3">
      <c r="A710" s="42"/>
      <c r="B710" s="42"/>
      <c r="C710" s="74"/>
      <c r="D710" s="74"/>
      <c r="E710" s="70"/>
      <c r="F710" s="70"/>
      <c r="G710" s="70"/>
      <c r="H710" s="70"/>
      <c r="I710" s="70"/>
      <c r="J710" s="77"/>
      <c r="K710" s="77"/>
      <c r="L710" s="9"/>
      <c r="M710" s="42"/>
      <c r="N710" s="42"/>
      <c r="O710" s="9"/>
      <c r="P710" s="9"/>
      <c r="Q710" s="9"/>
      <c r="R710" s="33"/>
      <c r="S710" s="9"/>
      <c r="U710" s="8"/>
      <c r="V710" s="9"/>
      <c r="W710" s="9"/>
      <c r="X710" s="9"/>
      <c r="Y710" s="9"/>
      <c r="Z710" s="9"/>
      <c r="AA710" s="9"/>
      <c r="AB710" s="9"/>
      <c r="AC710" s="9"/>
      <c r="AD710" s="9"/>
    </row>
    <row r="711" spans="1:30" ht="18.75" x14ac:dyDescent="0.3">
      <c r="A711" s="42"/>
      <c r="B711" s="42"/>
      <c r="C711" s="74"/>
      <c r="D711" s="74"/>
      <c r="E711" s="70"/>
      <c r="F711" s="70"/>
      <c r="G711" s="70"/>
      <c r="H711" s="70"/>
      <c r="I711" s="70"/>
      <c r="J711" s="77"/>
      <c r="K711" s="77"/>
      <c r="L711" s="9"/>
      <c r="M711" s="42"/>
      <c r="N711" s="42"/>
      <c r="O711" s="9"/>
      <c r="P711" s="9"/>
      <c r="Q711" s="9"/>
      <c r="R711" s="33"/>
      <c r="S711" s="9"/>
      <c r="U711" s="8"/>
      <c r="V711" s="9"/>
      <c r="W711" s="9"/>
      <c r="X711" s="9"/>
      <c r="Y711" s="9"/>
      <c r="Z711" s="9"/>
      <c r="AA711" s="9"/>
      <c r="AB711" s="9"/>
      <c r="AC711" s="9"/>
      <c r="AD711" s="9"/>
    </row>
    <row r="712" spans="1:30" ht="18.75" x14ac:dyDescent="0.3">
      <c r="A712" s="42"/>
      <c r="B712" s="42"/>
      <c r="C712" s="74"/>
      <c r="D712" s="74"/>
      <c r="E712" s="70"/>
      <c r="F712" s="70"/>
      <c r="G712" s="70"/>
      <c r="H712" s="70"/>
      <c r="I712" s="70"/>
      <c r="J712" s="77"/>
      <c r="K712" s="77"/>
      <c r="L712" s="9"/>
      <c r="M712" s="42"/>
      <c r="N712" s="42"/>
      <c r="O712" s="9"/>
      <c r="P712" s="9"/>
      <c r="Q712" s="9"/>
      <c r="R712" s="33"/>
      <c r="S712" s="9"/>
      <c r="U712" s="8"/>
      <c r="V712" s="9"/>
      <c r="W712" s="9"/>
      <c r="X712" s="9"/>
      <c r="Y712" s="9"/>
      <c r="Z712" s="9"/>
      <c r="AA712" s="9"/>
      <c r="AB712" s="9"/>
      <c r="AC712" s="9"/>
      <c r="AD712" s="9"/>
    </row>
    <row r="713" spans="1:30" ht="18.75" x14ac:dyDescent="0.3">
      <c r="A713" s="42"/>
      <c r="B713" s="42"/>
      <c r="C713" s="74"/>
      <c r="D713" s="74"/>
      <c r="E713" s="70"/>
      <c r="F713" s="70"/>
      <c r="G713" s="70"/>
      <c r="H713" s="70"/>
      <c r="I713" s="70"/>
      <c r="J713" s="77"/>
      <c r="K713" s="77"/>
      <c r="L713" s="9"/>
      <c r="M713" s="42"/>
      <c r="N713" s="42"/>
      <c r="O713" s="9"/>
      <c r="P713" s="9"/>
      <c r="Q713" s="9"/>
      <c r="R713" s="33"/>
      <c r="S713" s="9"/>
      <c r="U713" s="8"/>
      <c r="V713" s="9"/>
      <c r="W713" s="9"/>
      <c r="X713" s="9"/>
      <c r="Y713" s="9"/>
      <c r="Z713" s="9"/>
      <c r="AA713" s="9"/>
      <c r="AB713" s="9"/>
      <c r="AC713" s="9"/>
      <c r="AD713" s="9"/>
    </row>
    <row r="714" spans="1:30" ht="18.75" x14ac:dyDescent="0.3">
      <c r="A714" s="42"/>
      <c r="B714" s="42"/>
      <c r="C714" s="74"/>
      <c r="D714" s="74"/>
      <c r="E714" s="70"/>
      <c r="F714" s="70"/>
      <c r="G714" s="70"/>
      <c r="H714" s="70"/>
      <c r="I714" s="70"/>
      <c r="J714" s="77"/>
      <c r="K714" s="77"/>
      <c r="L714" s="9"/>
      <c r="M714" s="42"/>
      <c r="N714" s="42"/>
      <c r="O714" s="9"/>
      <c r="P714" s="9"/>
      <c r="Q714" s="9"/>
      <c r="R714" s="33"/>
      <c r="S714" s="9"/>
      <c r="U714" s="8"/>
      <c r="V714" s="9"/>
      <c r="W714" s="9"/>
      <c r="X714" s="9"/>
      <c r="Y714" s="9"/>
      <c r="Z714" s="9"/>
      <c r="AA714" s="9"/>
      <c r="AB714" s="9"/>
      <c r="AC714" s="9"/>
      <c r="AD714" s="9"/>
    </row>
    <row r="715" spans="1:30" ht="18.75" x14ac:dyDescent="0.3">
      <c r="A715" s="42"/>
      <c r="B715" s="42"/>
      <c r="C715" s="74"/>
      <c r="D715" s="74"/>
      <c r="E715" s="70"/>
      <c r="F715" s="70"/>
      <c r="G715" s="70"/>
      <c r="H715" s="70"/>
      <c r="I715" s="70"/>
      <c r="J715" s="77"/>
      <c r="K715" s="77"/>
      <c r="L715" s="9"/>
      <c r="M715" s="42"/>
      <c r="N715" s="42"/>
      <c r="O715" s="9"/>
      <c r="P715" s="9"/>
      <c r="Q715" s="9"/>
      <c r="R715" s="33"/>
      <c r="S715" s="9"/>
      <c r="U715" s="8"/>
      <c r="V715" s="9"/>
      <c r="W715" s="9"/>
      <c r="X715" s="9"/>
      <c r="Y715" s="9"/>
      <c r="Z715" s="9"/>
      <c r="AA715" s="9"/>
      <c r="AB715" s="9"/>
      <c r="AC715" s="9"/>
      <c r="AD715" s="9"/>
    </row>
    <row r="716" spans="1:30" ht="18.75" x14ac:dyDescent="0.3">
      <c r="A716" s="42"/>
      <c r="B716" s="42"/>
      <c r="C716" s="74"/>
      <c r="D716" s="74"/>
      <c r="E716" s="70"/>
      <c r="F716" s="70"/>
      <c r="G716" s="70"/>
      <c r="H716" s="70"/>
      <c r="I716" s="70"/>
      <c r="J716" s="77"/>
      <c r="K716" s="77"/>
      <c r="L716" s="9"/>
      <c r="M716" s="42"/>
      <c r="N716" s="42"/>
      <c r="O716" s="9"/>
      <c r="P716" s="9"/>
      <c r="Q716" s="9"/>
      <c r="R716" s="33"/>
      <c r="S716" s="9"/>
      <c r="U716" s="8"/>
      <c r="V716" s="9"/>
      <c r="W716" s="9"/>
      <c r="X716" s="9"/>
      <c r="Y716" s="9"/>
      <c r="Z716" s="9"/>
      <c r="AA716" s="9"/>
      <c r="AB716" s="9"/>
      <c r="AC716" s="9"/>
      <c r="AD716" s="9"/>
    </row>
    <row r="717" spans="1:30" ht="18.75" x14ac:dyDescent="0.3">
      <c r="A717" s="42"/>
      <c r="B717" s="42"/>
      <c r="C717" s="74"/>
      <c r="D717" s="74"/>
      <c r="E717" s="70"/>
      <c r="F717" s="70"/>
      <c r="G717" s="70"/>
      <c r="H717" s="70"/>
      <c r="I717" s="70"/>
      <c r="J717" s="77"/>
      <c r="K717" s="77"/>
      <c r="L717" s="9"/>
      <c r="M717" s="42"/>
      <c r="N717" s="42"/>
      <c r="O717" s="9"/>
      <c r="P717" s="9"/>
      <c r="Q717" s="9"/>
      <c r="R717" s="33"/>
      <c r="S717" s="9"/>
      <c r="U717" s="8"/>
      <c r="V717" s="9"/>
      <c r="W717" s="9"/>
      <c r="X717" s="9"/>
      <c r="Y717" s="9"/>
      <c r="Z717" s="9"/>
      <c r="AA717" s="9"/>
      <c r="AB717" s="9"/>
      <c r="AC717" s="9"/>
      <c r="AD717" s="9"/>
    </row>
    <row r="718" spans="1:30" ht="18.75" x14ac:dyDescent="0.3">
      <c r="A718" s="42"/>
      <c r="B718" s="42"/>
      <c r="C718" s="74"/>
      <c r="D718" s="74"/>
      <c r="E718" s="70"/>
      <c r="F718" s="70"/>
      <c r="G718" s="70"/>
      <c r="H718" s="70"/>
      <c r="I718" s="70"/>
      <c r="J718" s="77"/>
      <c r="K718" s="77"/>
      <c r="L718" s="9"/>
      <c r="M718" s="42"/>
      <c r="N718" s="42"/>
      <c r="O718" s="9"/>
      <c r="P718" s="9"/>
      <c r="Q718" s="9"/>
      <c r="R718" s="33"/>
      <c r="S718" s="9"/>
      <c r="U718" s="8"/>
      <c r="V718" s="9"/>
      <c r="W718" s="9"/>
      <c r="X718" s="9"/>
      <c r="Y718" s="9"/>
      <c r="Z718" s="9"/>
      <c r="AA718" s="9"/>
      <c r="AB718" s="9"/>
      <c r="AC718" s="9"/>
      <c r="AD718" s="9"/>
    </row>
    <row r="719" spans="1:30" ht="18.75" x14ac:dyDescent="0.3">
      <c r="A719" s="42"/>
      <c r="B719" s="42"/>
      <c r="C719" s="74"/>
      <c r="D719" s="74"/>
      <c r="E719" s="70"/>
      <c r="F719" s="70"/>
      <c r="G719" s="70"/>
      <c r="H719" s="70"/>
      <c r="I719" s="70"/>
      <c r="J719" s="77"/>
      <c r="K719" s="77"/>
      <c r="L719" s="9"/>
      <c r="M719" s="42"/>
      <c r="N719" s="42"/>
      <c r="O719" s="9"/>
      <c r="P719" s="9"/>
      <c r="Q719" s="9"/>
      <c r="R719" s="33"/>
      <c r="S719" s="9"/>
      <c r="U719" s="8"/>
      <c r="V719" s="9"/>
      <c r="W719" s="9"/>
      <c r="X719" s="9"/>
      <c r="Y719" s="9"/>
      <c r="Z719" s="9"/>
      <c r="AA719" s="9"/>
      <c r="AB719" s="9"/>
      <c r="AC719" s="9"/>
      <c r="AD719" s="9"/>
    </row>
    <row r="720" spans="1:30" ht="18.75" x14ac:dyDescent="0.3">
      <c r="A720" s="42"/>
      <c r="B720" s="42"/>
      <c r="C720" s="74"/>
      <c r="D720" s="74"/>
      <c r="E720" s="70"/>
      <c r="F720" s="70"/>
      <c r="G720" s="70"/>
      <c r="H720" s="70"/>
      <c r="I720" s="70"/>
      <c r="J720" s="77"/>
      <c r="K720" s="77"/>
      <c r="L720" s="9"/>
      <c r="M720" s="42"/>
      <c r="N720" s="42"/>
      <c r="O720" s="9"/>
      <c r="P720" s="9"/>
      <c r="Q720" s="9"/>
      <c r="R720" s="33"/>
      <c r="S720" s="9"/>
      <c r="U720" s="8"/>
      <c r="V720" s="9"/>
      <c r="W720" s="9"/>
      <c r="X720" s="9"/>
      <c r="Y720" s="9"/>
      <c r="Z720" s="9"/>
      <c r="AA720" s="9"/>
      <c r="AB720" s="9"/>
      <c r="AC720" s="9"/>
      <c r="AD720" s="9"/>
    </row>
    <row r="721" spans="1:30" ht="18.75" x14ac:dyDescent="0.3">
      <c r="A721" s="42"/>
      <c r="B721" s="42"/>
      <c r="C721" s="74"/>
      <c r="D721" s="74"/>
      <c r="E721" s="70"/>
      <c r="F721" s="70"/>
      <c r="G721" s="70"/>
      <c r="H721" s="70"/>
      <c r="I721" s="70"/>
      <c r="J721" s="77"/>
      <c r="K721" s="77"/>
      <c r="L721" s="9"/>
      <c r="M721" s="42"/>
      <c r="N721" s="42"/>
      <c r="O721" s="9"/>
      <c r="P721" s="9"/>
      <c r="Q721" s="9"/>
      <c r="R721" s="33"/>
      <c r="S721" s="9"/>
      <c r="U721" s="8"/>
      <c r="V721" s="9"/>
      <c r="W721" s="9"/>
      <c r="X721" s="9"/>
      <c r="Y721" s="9"/>
      <c r="Z721" s="9"/>
      <c r="AA721" s="9"/>
      <c r="AB721" s="9"/>
      <c r="AC721" s="9"/>
      <c r="AD721" s="9"/>
    </row>
    <row r="722" spans="1:30" ht="18.75" x14ac:dyDescent="0.3">
      <c r="A722" s="42"/>
      <c r="B722" s="42"/>
      <c r="C722" s="74"/>
      <c r="D722" s="74"/>
      <c r="E722" s="70"/>
      <c r="F722" s="70"/>
      <c r="G722" s="70"/>
      <c r="H722" s="70"/>
      <c r="I722" s="70"/>
      <c r="J722" s="77"/>
      <c r="K722" s="77"/>
      <c r="L722" s="9"/>
      <c r="M722" s="42"/>
      <c r="N722" s="42"/>
      <c r="O722" s="9"/>
      <c r="P722" s="9"/>
      <c r="Q722" s="9"/>
      <c r="R722" s="33"/>
      <c r="S722" s="9"/>
      <c r="U722" s="8"/>
      <c r="V722" s="9"/>
      <c r="W722" s="9"/>
      <c r="X722" s="9"/>
      <c r="Y722" s="9"/>
      <c r="Z722" s="9"/>
      <c r="AA722" s="9"/>
      <c r="AB722" s="9"/>
      <c r="AC722" s="9"/>
      <c r="AD722" s="9"/>
    </row>
    <row r="723" spans="1:30" ht="18.75" x14ac:dyDescent="0.3">
      <c r="A723" s="42"/>
      <c r="B723" s="42"/>
      <c r="C723" s="74"/>
      <c r="D723" s="74"/>
      <c r="E723" s="70"/>
      <c r="F723" s="70"/>
      <c r="G723" s="70"/>
      <c r="H723" s="70"/>
      <c r="I723" s="70"/>
      <c r="J723" s="77"/>
      <c r="K723" s="77"/>
      <c r="L723" s="9"/>
      <c r="M723" s="42"/>
      <c r="N723" s="42"/>
      <c r="O723" s="9"/>
      <c r="P723" s="9"/>
      <c r="Q723" s="9"/>
      <c r="R723" s="33"/>
      <c r="S723" s="9"/>
      <c r="U723" s="8"/>
      <c r="V723" s="9"/>
      <c r="W723" s="9"/>
      <c r="X723" s="9"/>
      <c r="Y723" s="9"/>
      <c r="Z723" s="9"/>
      <c r="AA723" s="9"/>
      <c r="AB723" s="9"/>
      <c r="AC723" s="9"/>
      <c r="AD723" s="9"/>
    </row>
    <row r="724" spans="1:30" ht="18.75" x14ac:dyDescent="0.3">
      <c r="A724" s="42"/>
      <c r="B724" s="42"/>
      <c r="C724" s="74"/>
      <c r="D724" s="74"/>
      <c r="E724" s="70"/>
      <c r="F724" s="70"/>
      <c r="G724" s="70"/>
      <c r="H724" s="70"/>
      <c r="I724" s="70"/>
      <c r="J724" s="77"/>
      <c r="K724" s="77"/>
      <c r="L724" s="9"/>
      <c r="M724" s="42"/>
      <c r="N724" s="42"/>
      <c r="O724" s="9"/>
      <c r="P724" s="9"/>
      <c r="Q724" s="9"/>
      <c r="R724" s="33"/>
      <c r="S724" s="9"/>
      <c r="U724" s="8"/>
      <c r="V724" s="9"/>
      <c r="W724" s="9"/>
      <c r="X724" s="9"/>
      <c r="Y724" s="9"/>
      <c r="Z724" s="9"/>
      <c r="AA724" s="9"/>
      <c r="AB724" s="9"/>
      <c r="AC724" s="9"/>
      <c r="AD724" s="9"/>
    </row>
    <row r="725" spans="1:30" ht="18.75" x14ac:dyDescent="0.3">
      <c r="A725" s="42"/>
      <c r="B725" s="42"/>
      <c r="C725" s="74"/>
      <c r="D725" s="74"/>
      <c r="E725" s="70"/>
      <c r="F725" s="70"/>
      <c r="G725" s="70"/>
      <c r="H725" s="70"/>
      <c r="I725" s="70"/>
      <c r="J725" s="77"/>
      <c r="K725" s="77"/>
      <c r="L725" s="9"/>
      <c r="M725" s="42"/>
      <c r="N725" s="42"/>
      <c r="O725" s="9"/>
      <c r="P725" s="9"/>
      <c r="Q725" s="9"/>
      <c r="R725" s="33"/>
      <c r="S725" s="9"/>
      <c r="U725" s="8"/>
      <c r="V725" s="9"/>
      <c r="W725" s="9"/>
      <c r="X725" s="9"/>
      <c r="Y725" s="9"/>
      <c r="Z725" s="9"/>
      <c r="AA725" s="9"/>
      <c r="AB725" s="9"/>
      <c r="AC725" s="9"/>
      <c r="AD725" s="9"/>
    </row>
    <row r="726" spans="1:30" ht="18.75" x14ac:dyDescent="0.3">
      <c r="A726" s="42"/>
      <c r="B726" s="42"/>
      <c r="C726" s="74"/>
      <c r="D726" s="74"/>
      <c r="E726" s="70"/>
      <c r="F726" s="70"/>
      <c r="G726" s="70"/>
      <c r="H726" s="70"/>
      <c r="I726" s="70"/>
      <c r="J726" s="77"/>
      <c r="K726" s="77"/>
      <c r="L726" s="9"/>
      <c r="M726" s="42"/>
      <c r="N726" s="42"/>
      <c r="O726" s="9"/>
      <c r="P726" s="9"/>
      <c r="Q726" s="9"/>
      <c r="R726" s="33"/>
      <c r="S726" s="9"/>
      <c r="U726" s="8"/>
      <c r="V726" s="9"/>
      <c r="W726" s="9"/>
      <c r="X726" s="9"/>
      <c r="Y726" s="9"/>
      <c r="Z726" s="9"/>
      <c r="AA726" s="9"/>
      <c r="AB726" s="9"/>
      <c r="AC726" s="9"/>
      <c r="AD726" s="9"/>
    </row>
    <row r="727" spans="1:30" ht="18.75" x14ac:dyDescent="0.3">
      <c r="A727" s="42"/>
      <c r="B727" s="42"/>
      <c r="C727" s="74"/>
      <c r="D727" s="74"/>
      <c r="E727" s="70"/>
      <c r="F727" s="70"/>
      <c r="G727" s="70"/>
      <c r="H727" s="70"/>
      <c r="I727" s="70"/>
      <c r="J727" s="77"/>
      <c r="K727" s="77"/>
      <c r="L727" s="9"/>
      <c r="M727" s="42"/>
      <c r="N727" s="42"/>
      <c r="O727" s="9"/>
      <c r="P727" s="9"/>
      <c r="Q727" s="9"/>
      <c r="R727" s="33"/>
      <c r="S727" s="9"/>
      <c r="U727" s="8"/>
      <c r="V727" s="9"/>
      <c r="W727" s="9"/>
      <c r="X727" s="9"/>
      <c r="Y727" s="9"/>
      <c r="Z727" s="9"/>
      <c r="AA727" s="9"/>
      <c r="AB727" s="9"/>
      <c r="AC727" s="9"/>
      <c r="AD727" s="9"/>
    </row>
    <row r="728" spans="1:30" ht="18.75" x14ac:dyDescent="0.3">
      <c r="A728" s="42"/>
      <c r="B728" s="42"/>
      <c r="C728" s="74"/>
      <c r="D728" s="74"/>
      <c r="E728" s="70"/>
      <c r="F728" s="70"/>
      <c r="G728" s="70"/>
      <c r="H728" s="70"/>
      <c r="I728" s="70"/>
      <c r="J728" s="77"/>
      <c r="K728" s="77"/>
      <c r="L728" s="9"/>
      <c r="M728" s="42"/>
      <c r="N728" s="42"/>
      <c r="O728" s="9"/>
      <c r="P728" s="9"/>
      <c r="Q728" s="9"/>
      <c r="R728" s="33"/>
      <c r="S728" s="9"/>
      <c r="U728" s="8"/>
      <c r="V728" s="9"/>
      <c r="W728" s="9"/>
      <c r="X728" s="9"/>
      <c r="Y728" s="9"/>
      <c r="Z728" s="9"/>
      <c r="AA728" s="9"/>
      <c r="AB728" s="9"/>
      <c r="AC728" s="9"/>
      <c r="AD728" s="9"/>
    </row>
    <row r="729" spans="1:30" ht="18.75" x14ac:dyDescent="0.3">
      <c r="A729" s="42"/>
      <c r="B729" s="42"/>
      <c r="C729" s="74"/>
      <c r="D729" s="74"/>
      <c r="E729" s="70"/>
      <c r="F729" s="70"/>
      <c r="G729" s="70"/>
      <c r="H729" s="70"/>
      <c r="I729" s="70"/>
      <c r="J729" s="77"/>
      <c r="K729" s="77"/>
      <c r="L729" s="9"/>
      <c r="M729" s="42"/>
      <c r="N729" s="42"/>
      <c r="O729" s="9"/>
      <c r="P729" s="9"/>
      <c r="Q729" s="9"/>
      <c r="R729" s="33"/>
      <c r="S729" s="9"/>
      <c r="U729" s="8"/>
      <c r="V729" s="9"/>
      <c r="W729" s="9"/>
      <c r="X729" s="9"/>
      <c r="Y729" s="9"/>
      <c r="Z729" s="9"/>
      <c r="AA729" s="9"/>
      <c r="AB729" s="9"/>
      <c r="AC729" s="9"/>
      <c r="AD729" s="9"/>
    </row>
    <row r="730" spans="1:30" ht="18.75" x14ac:dyDescent="0.3">
      <c r="A730" s="42"/>
      <c r="B730" s="42"/>
      <c r="C730" s="74"/>
      <c r="D730" s="74"/>
      <c r="E730" s="70"/>
      <c r="F730" s="70"/>
      <c r="G730" s="70"/>
      <c r="H730" s="70"/>
      <c r="I730" s="70"/>
      <c r="J730" s="77"/>
      <c r="K730" s="77"/>
      <c r="L730" s="9"/>
      <c r="M730" s="42"/>
      <c r="N730" s="42"/>
      <c r="O730" s="9"/>
      <c r="P730" s="9"/>
      <c r="Q730" s="9"/>
      <c r="R730" s="33"/>
      <c r="S730" s="9"/>
      <c r="U730" s="8"/>
      <c r="V730" s="9"/>
      <c r="W730" s="9"/>
      <c r="X730" s="9"/>
      <c r="Y730" s="9"/>
      <c r="Z730" s="9"/>
      <c r="AA730" s="9"/>
      <c r="AB730" s="9"/>
      <c r="AC730" s="9"/>
      <c r="AD730" s="9"/>
    </row>
    <row r="731" spans="1:30" ht="18.75" x14ac:dyDescent="0.3">
      <c r="A731" s="42"/>
      <c r="B731" s="42"/>
      <c r="C731" s="74"/>
      <c r="D731" s="74"/>
      <c r="E731" s="70"/>
      <c r="F731" s="70"/>
      <c r="G731" s="70"/>
      <c r="H731" s="70"/>
      <c r="I731" s="70"/>
      <c r="J731" s="77"/>
      <c r="K731" s="77"/>
      <c r="L731" s="9"/>
      <c r="M731" s="42"/>
      <c r="N731" s="42"/>
      <c r="O731" s="9"/>
      <c r="P731" s="9"/>
      <c r="Q731" s="9"/>
      <c r="R731" s="33"/>
      <c r="S731" s="9"/>
      <c r="U731" s="8"/>
      <c r="V731" s="9"/>
      <c r="W731" s="9"/>
      <c r="X731" s="9"/>
      <c r="Y731" s="9"/>
      <c r="Z731" s="9"/>
      <c r="AA731" s="9"/>
      <c r="AB731" s="9"/>
      <c r="AC731" s="9"/>
      <c r="AD731" s="9"/>
    </row>
    <row r="732" spans="1:30" ht="18.75" x14ac:dyDescent="0.3">
      <c r="A732" s="42"/>
      <c r="B732" s="42"/>
      <c r="C732" s="74"/>
      <c r="D732" s="74"/>
      <c r="E732" s="70"/>
      <c r="F732" s="70"/>
      <c r="G732" s="70"/>
      <c r="H732" s="70"/>
      <c r="I732" s="70"/>
      <c r="J732" s="77"/>
      <c r="K732" s="77"/>
      <c r="L732" s="9"/>
      <c r="M732" s="42"/>
      <c r="N732" s="42"/>
      <c r="O732" s="9"/>
      <c r="P732" s="9"/>
      <c r="Q732" s="9"/>
      <c r="R732" s="33"/>
      <c r="S732" s="9"/>
      <c r="U732" s="8"/>
      <c r="V732" s="9"/>
      <c r="W732" s="9"/>
      <c r="X732" s="9"/>
      <c r="Y732" s="9"/>
      <c r="Z732" s="9"/>
      <c r="AA732" s="9"/>
      <c r="AB732" s="9"/>
      <c r="AC732" s="9"/>
      <c r="AD732" s="9"/>
    </row>
    <row r="733" spans="1:30" ht="18.75" x14ac:dyDescent="0.3">
      <c r="A733" s="42"/>
      <c r="B733" s="42"/>
      <c r="C733" s="74"/>
      <c r="D733" s="74"/>
      <c r="E733" s="70"/>
      <c r="F733" s="70"/>
      <c r="G733" s="70"/>
      <c r="H733" s="70"/>
      <c r="I733" s="70"/>
      <c r="J733" s="77"/>
      <c r="K733" s="77"/>
      <c r="L733" s="9"/>
      <c r="M733" s="42"/>
      <c r="N733" s="42"/>
      <c r="O733" s="9"/>
      <c r="P733" s="9"/>
      <c r="Q733" s="9"/>
      <c r="R733" s="33"/>
      <c r="S733" s="9"/>
      <c r="U733" s="8"/>
      <c r="V733" s="9"/>
      <c r="W733" s="9"/>
      <c r="X733" s="9"/>
      <c r="Y733" s="9"/>
      <c r="Z733" s="9"/>
      <c r="AA733" s="9"/>
      <c r="AB733" s="9"/>
      <c r="AC733" s="9"/>
      <c r="AD733" s="9"/>
    </row>
    <row r="734" spans="1:30" ht="18.75" x14ac:dyDescent="0.3">
      <c r="A734" s="42"/>
      <c r="B734" s="42"/>
      <c r="C734" s="74"/>
      <c r="D734" s="74"/>
      <c r="E734" s="70"/>
      <c r="F734" s="70"/>
      <c r="G734" s="70"/>
      <c r="H734" s="70"/>
      <c r="I734" s="70"/>
      <c r="J734" s="77"/>
      <c r="K734" s="77"/>
      <c r="L734" s="9"/>
      <c r="M734" s="42"/>
      <c r="N734" s="42"/>
      <c r="O734" s="9"/>
      <c r="P734" s="9"/>
      <c r="Q734" s="9"/>
      <c r="R734" s="33"/>
      <c r="S734" s="9"/>
      <c r="U734" s="8"/>
      <c r="V734" s="9"/>
      <c r="W734" s="9"/>
      <c r="X734" s="9"/>
      <c r="Y734" s="9"/>
      <c r="Z734" s="9"/>
      <c r="AA734" s="9"/>
      <c r="AB734" s="9"/>
      <c r="AC734" s="9"/>
      <c r="AD734" s="9"/>
    </row>
    <row r="735" spans="1:30" ht="18.75" x14ac:dyDescent="0.3">
      <c r="A735" s="42"/>
      <c r="B735" s="42"/>
      <c r="C735" s="74"/>
      <c r="D735" s="74"/>
      <c r="E735" s="70"/>
      <c r="F735" s="70"/>
      <c r="G735" s="70"/>
      <c r="H735" s="70"/>
      <c r="I735" s="70"/>
      <c r="J735" s="77"/>
      <c r="K735" s="77"/>
      <c r="L735" s="9"/>
      <c r="M735" s="42"/>
      <c r="N735" s="42"/>
      <c r="O735" s="9"/>
      <c r="P735" s="9"/>
      <c r="Q735" s="9"/>
      <c r="R735" s="33"/>
      <c r="S735" s="9"/>
      <c r="U735" s="8"/>
      <c r="V735" s="9"/>
      <c r="W735" s="9"/>
      <c r="X735" s="9"/>
      <c r="Y735" s="9"/>
      <c r="Z735" s="9"/>
      <c r="AA735" s="9"/>
      <c r="AB735" s="9"/>
      <c r="AC735" s="9"/>
      <c r="AD735" s="9"/>
    </row>
    <row r="736" spans="1:30" ht="18.75" x14ac:dyDescent="0.3">
      <c r="A736" s="42"/>
      <c r="B736" s="42"/>
      <c r="C736" s="74"/>
      <c r="D736" s="74"/>
      <c r="E736" s="70"/>
      <c r="F736" s="70"/>
      <c r="G736" s="70"/>
      <c r="H736" s="70"/>
      <c r="I736" s="70"/>
      <c r="J736" s="77"/>
      <c r="K736" s="77"/>
      <c r="L736" s="9"/>
      <c r="M736" s="42"/>
      <c r="N736" s="42"/>
      <c r="O736" s="9"/>
      <c r="P736" s="9"/>
      <c r="Q736" s="9"/>
      <c r="R736" s="33"/>
      <c r="S736" s="9"/>
      <c r="U736" s="8"/>
      <c r="V736" s="9"/>
      <c r="W736" s="9"/>
      <c r="X736" s="9"/>
      <c r="Y736" s="9"/>
      <c r="Z736" s="9"/>
      <c r="AA736" s="9"/>
      <c r="AB736" s="9"/>
      <c r="AC736" s="9"/>
      <c r="AD736" s="9"/>
    </row>
    <row r="737" spans="1:30" ht="18.75" x14ac:dyDescent="0.3">
      <c r="A737" s="42"/>
      <c r="B737" s="42"/>
      <c r="C737" s="74"/>
      <c r="D737" s="74"/>
      <c r="E737" s="70"/>
      <c r="F737" s="70"/>
      <c r="G737" s="70"/>
      <c r="H737" s="70"/>
      <c r="I737" s="70"/>
      <c r="J737" s="77"/>
      <c r="K737" s="77"/>
      <c r="L737" s="9"/>
      <c r="M737" s="42"/>
      <c r="N737" s="42"/>
      <c r="O737" s="9"/>
      <c r="P737" s="9"/>
      <c r="Q737" s="9"/>
      <c r="R737" s="33"/>
      <c r="S737" s="9"/>
      <c r="U737" s="8"/>
      <c r="V737" s="9"/>
      <c r="W737" s="9"/>
      <c r="X737" s="9"/>
      <c r="Y737" s="9"/>
      <c r="Z737" s="9"/>
      <c r="AA737" s="9"/>
      <c r="AB737" s="9"/>
      <c r="AC737" s="9"/>
      <c r="AD737" s="9"/>
    </row>
    <row r="738" spans="1:30" ht="18.75" x14ac:dyDescent="0.3">
      <c r="A738" s="42"/>
      <c r="B738" s="42"/>
      <c r="C738" s="74"/>
      <c r="D738" s="74"/>
      <c r="E738" s="70"/>
      <c r="F738" s="70"/>
      <c r="G738" s="70"/>
      <c r="H738" s="70"/>
      <c r="I738" s="70"/>
      <c r="J738" s="77"/>
      <c r="K738" s="77"/>
      <c r="L738" s="9"/>
      <c r="M738" s="42"/>
      <c r="N738" s="42"/>
      <c r="O738" s="9"/>
      <c r="P738" s="9"/>
      <c r="Q738" s="9"/>
      <c r="R738" s="33"/>
      <c r="S738" s="9"/>
      <c r="U738" s="8"/>
      <c r="V738" s="9"/>
      <c r="W738" s="9"/>
      <c r="X738" s="9"/>
      <c r="Y738" s="9"/>
      <c r="Z738" s="9"/>
      <c r="AA738" s="9"/>
      <c r="AB738" s="9"/>
      <c r="AC738" s="9"/>
      <c r="AD738" s="9"/>
    </row>
    <row r="739" spans="1:30" ht="18.75" x14ac:dyDescent="0.3">
      <c r="A739" s="42"/>
      <c r="B739" s="42"/>
      <c r="C739" s="74"/>
      <c r="D739" s="74"/>
      <c r="E739" s="70"/>
      <c r="F739" s="70"/>
      <c r="G739" s="70"/>
      <c r="H739" s="70"/>
      <c r="I739" s="70"/>
      <c r="J739" s="77"/>
      <c r="K739" s="77"/>
      <c r="L739" s="9"/>
      <c r="M739" s="42"/>
      <c r="N739" s="42"/>
      <c r="O739" s="9"/>
      <c r="P739" s="9"/>
      <c r="Q739" s="9"/>
      <c r="R739" s="33"/>
      <c r="S739" s="9"/>
      <c r="U739" s="8"/>
      <c r="V739" s="9"/>
      <c r="W739" s="9"/>
      <c r="X739" s="9"/>
      <c r="Y739" s="9"/>
      <c r="Z739" s="9"/>
      <c r="AA739" s="9"/>
      <c r="AB739" s="9"/>
      <c r="AC739" s="9"/>
      <c r="AD739" s="9"/>
    </row>
    <row r="740" spans="1:30" ht="18.75" x14ac:dyDescent="0.3">
      <c r="A740" s="42"/>
      <c r="B740" s="42"/>
      <c r="C740" s="74"/>
      <c r="D740" s="74"/>
      <c r="E740" s="70"/>
      <c r="F740" s="70"/>
      <c r="G740" s="70"/>
      <c r="H740" s="70"/>
      <c r="I740" s="70"/>
      <c r="J740" s="77"/>
      <c r="K740" s="77"/>
      <c r="L740" s="9"/>
      <c r="M740" s="42"/>
      <c r="N740" s="42"/>
      <c r="O740" s="9"/>
      <c r="P740" s="9"/>
      <c r="Q740" s="9"/>
      <c r="R740" s="33"/>
      <c r="S740" s="9"/>
      <c r="U740" s="8"/>
      <c r="V740" s="9"/>
      <c r="W740" s="9"/>
      <c r="X740" s="9"/>
      <c r="Y740" s="9"/>
      <c r="Z740" s="9"/>
      <c r="AA740" s="9"/>
      <c r="AB740" s="9"/>
      <c r="AC740" s="9"/>
      <c r="AD740" s="9"/>
    </row>
    <row r="741" spans="1:30" ht="18.75" x14ac:dyDescent="0.3">
      <c r="A741" s="42"/>
      <c r="B741" s="42"/>
      <c r="C741" s="74"/>
      <c r="D741" s="74"/>
      <c r="E741" s="70"/>
      <c r="F741" s="70"/>
      <c r="G741" s="70"/>
      <c r="H741" s="70"/>
      <c r="I741" s="70"/>
      <c r="J741" s="77"/>
      <c r="K741" s="77"/>
      <c r="L741" s="9"/>
      <c r="M741" s="42"/>
      <c r="N741" s="42"/>
      <c r="O741" s="9"/>
      <c r="P741" s="9"/>
      <c r="Q741" s="9"/>
      <c r="R741" s="33"/>
      <c r="S741" s="9"/>
      <c r="U741" s="8"/>
      <c r="V741" s="9"/>
      <c r="W741" s="9"/>
      <c r="X741" s="9"/>
      <c r="Y741" s="9"/>
      <c r="Z741" s="9"/>
      <c r="AA741" s="9"/>
      <c r="AB741" s="9"/>
      <c r="AC741" s="9"/>
      <c r="AD741" s="9"/>
    </row>
    <row r="742" spans="1:30" ht="18.75" x14ac:dyDescent="0.3">
      <c r="A742" s="42"/>
      <c r="B742" s="42"/>
      <c r="C742" s="74"/>
      <c r="D742" s="74"/>
      <c r="E742" s="70"/>
      <c r="F742" s="70"/>
      <c r="G742" s="70"/>
      <c r="H742" s="70"/>
      <c r="I742" s="70"/>
      <c r="J742" s="77"/>
      <c r="K742" s="77"/>
      <c r="L742" s="9"/>
      <c r="M742" s="42"/>
      <c r="N742" s="42"/>
      <c r="O742" s="9"/>
      <c r="P742" s="9"/>
      <c r="Q742" s="9"/>
      <c r="R742" s="33"/>
      <c r="S742" s="9"/>
      <c r="U742" s="8"/>
      <c r="V742" s="9"/>
      <c r="W742" s="9"/>
      <c r="X742" s="9"/>
      <c r="Y742" s="9"/>
      <c r="Z742" s="9"/>
      <c r="AA742" s="9"/>
      <c r="AB742" s="9"/>
      <c r="AC742" s="9"/>
      <c r="AD742" s="9"/>
    </row>
    <row r="743" spans="1:30" ht="18.75" x14ac:dyDescent="0.3">
      <c r="A743" s="42"/>
      <c r="B743" s="42"/>
      <c r="C743" s="74"/>
      <c r="D743" s="74"/>
      <c r="E743" s="70"/>
      <c r="F743" s="70"/>
      <c r="G743" s="70"/>
      <c r="H743" s="70"/>
      <c r="I743" s="70"/>
      <c r="J743" s="77"/>
      <c r="K743" s="77"/>
      <c r="L743" s="9"/>
      <c r="M743" s="42"/>
      <c r="N743" s="42"/>
      <c r="O743" s="9"/>
      <c r="P743" s="9"/>
      <c r="Q743" s="9"/>
      <c r="R743" s="33"/>
      <c r="S743" s="9"/>
      <c r="U743" s="8"/>
      <c r="V743" s="9"/>
      <c r="W743" s="9"/>
      <c r="X743" s="9"/>
      <c r="Y743" s="9"/>
      <c r="Z743" s="9"/>
      <c r="AA743" s="9"/>
      <c r="AB743" s="9"/>
      <c r="AC743" s="9"/>
      <c r="AD743" s="9"/>
    </row>
    <row r="744" spans="1:30" ht="18.75" x14ac:dyDescent="0.3">
      <c r="A744" s="42"/>
      <c r="B744" s="42"/>
      <c r="C744" s="74"/>
      <c r="D744" s="74"/>
      <c r="E744" s="70"/>
      <c r="F744" s="70"/>
      <c r="G744" s="70"/>
      <c r="H744" s="70"/>
      <c r="I744" s="70"/>
      <c r="J744" s="77"/>
      <c r="K744" s="77"/>
      <c r="L744" s="9"/>
      <c r="M744" s="42"/>
      <c r="N744" s="42"/>
      <c r="O744" s="9"/>
      <c r="P744" s="9"/>
      <c r="Q744" s="9"/>
      <c r="R744" s="33"/>
      <c r="S744" s="9"/>
      <c r="U744" s="8"/>
      <c r="V744" s="9"/>
      <c r="W744" s="9"/>
      <c r="X744" s="9"/>
      <c r="Y744" s="9"/>
      <c r="Z744" s="9"/>
      <c r="AA744" s="9"/>
      <c r="AB744" s="9"/>
      <c r="AC744" s="9"/>
      <c r="AD744" s="9"/>
    </row>
    <row r="745" spans="1:30" ht="18.75" x14ac:dyDescent="0.3">
      <c r="A745" s="42"/>
      <c r="B745" s="42"/>
      <c r="C745" s="74"/>
      <c r="D745" s="74"/>
      <c r="E745" s="70"/>
      <c r="F745" s="70"/>
      <c r="G745" s="70"/>
      <c r="H745" s="70"/>
      <c r="I745" s="70"/>
      <c r="J745" s="77"/>
      <c r="K745" s="77"/>
      <c r="L745" s="9"/>
      <c r="M745" s="42"/>
      <c r="N745" s="42"/>
      <c r="O745" s="9"/>
      <c r="P745" s="9"/>
      <c r="Q745" s="9"/>
      <c r="R745" s="33"/>
      <c r="S745" s="9"/>
      <c r="U745" s="8"/>
      <c r="V745" s="9"/>
      <c r="W745" s="9"/>
      <c r="X745" s="9"/>
      <c r="Y745" s="9"/>
      <c r="Z745" s="9"/>
      <c r="AA745" s="9"/>
      <c r="AB745" s="9"/>
      <c r="AC745" s="9"/>
      <c r="AD745" s="9"/>
    </row>
    <row r="746" spans="1:30" ht="18.75" x14ac:dyDescent="0.3">
      <c r="A746" s="42"/>
      <c r="B746" s="42"/>
      <c r="C746" s="74"/>
      <c r="D746" s="74"/>
      <c r="E746" s="70"/>
      <c r="F746" s="70"/>
      <c r="G746" s="70"/>
      <c r="H746" s="70"/>
      <c r="I746" s="70"/>
      <c r="J746" s="77"/>
      <c r="K746" s="77"/>
      <c r="L746" s="9"/>
      <c r="M746" s="42"/>
      <c r="N746" s="42"/>
      <c r="O746" s="9"/>
      <c r="P746" s="9"/>
      <c r="Q746" s="9"/>
      <c r="R746" s="33"/>
      <c r="S746" s="9"/>
      <c r="U746" s="8"/>
      <c r="V746" s="9"/>
      <c r="W746" s="9"/>
      <c r="X746" s="9"/>
      <c r="Y746" s="9"/>
      <c r="Z746" s="9"/>
      <c r="AA746" s="9"/>
      <c r="AB746" s="9"/>
      <c r="AC746" s="9"/>
      <c r="AD746" s="9"/>
    </row>
    <row r="747" spans="1:30" ht="18.75" x14ac:dyDescent="0.3">
      <c r="A747" s="42"/>
      <c r="B747" s="42"/>
      <c r="C747" s="74"/>
      <c r="D747" s="74"/>
      <c r="E747" s="70"/>
      <c r="F747" s="70"/>
      <c r="G747" s="70"/>
      <c r="H747" s="70"/>
      <c r="I747" s="70"/>
      <c r="J747" s="77"/>
      <c r="K747" s="77"/>
      <c r="L747" s="9"/>
      <c r="M747" s="42"/>
      <c r="N747" s="42"/>
      <c r="O747" s="9"/>
      <c r="P747" s="9"/>
      <c r="Q747" s="9"/>
      <c r="R747" s="33"/>
      <c r="S747" s="9"/>
      <c r="U747" s="8"/>
      <c r="V747" s="9"/>
      <c r="W747" s="9"/>
      <c r="X747" s="9"/>
      <c r="Y747" s="9"/>
      <c r="Z747" s="9"/>
      <c r="AA747" s="9"/>
      <c r="AB747" s="9"/>
      <c r="AC747" s="9"/>
      <c r="AD747" s="9"/>
    </row>
    <row r="748" spans="1:30" ht="18.75" x14ac:dyDescent="0.3">
      <c r="A748" s="42"/>
      <c r="B748" s="42"/>
      <c r="C748" s="74"/>
      <c r="D748" s="74"/>
      <c r="E748" s="70"/>
      <c r="F748" s="70"/>
      <c r="G748" s="70"/>
      <c r="H748" s="70"/>
      <c r="I748" s="70"/>
      <c r="J748" s="77"/>
      <c r="K748" s="77"/>
      <c r="L748" s="9"/>
      <c r="M748" s="42"/>
      <c r="N748" s="42"/>
      <c r="O748" s="9"/>
      <c r="P748" s="9"/>
      <c r="Q748" s="9"/>
      <c r="R748" s="33"/>
      <c r="S748" s="9"/>
      <c r="U748" s="8"/>
      <c r="V748" s="9"/>
      <c r="W748" s="9"/>
      <c r="X748" s="9"/>
      <c r="Y748" s="9"/>
      <c r="Z748" s="9"/>
      <c r="AA748" s="9"/>
      <c r="AB748" s="9"/>
      <c r="AC748" s="9"/>
      <c r="AD748" s="9"/>
    </row>
    <row r="749" spans="1:30" ht="18.75" x14ac:dyDescent="0.3">
      <c r="A749" s="42"/>
      <c r="B749" s="42"/>
      <c r="C749" s="74"/>
      <c r="D749" s="74"/>
      <c r="E749" s="70"/>
      <c r="F749" s="70"/>
      <c r="G749" s="70"/>
      <c r="H749" s="70"/>
      <c r="I749" s="70"/>
      <c r="J749" s="77"/>
      <c r="K749" s="77"/>
      <c r="L749" s="9"/>
      <c r="M749" s="42"/>
      <c r="N749" s="42"/>
      <c r="O749" s="9"/>
      <c r="P749" s="9"/>
      <c r="Q749" s="9"/>
      <c r="R749" s="33"/>
      <c r="S749" s="9"/>
      <c r="U749" s="8"/>
      <c r="V749" s="9"/>
      <c r="W749" s="9"/>
      <c r="X749" s="9"/>
      <c r="Y749" s="9"/>
      <c r="Z749" s="9"/>
      <c r="AA749" s="9"/>
      <c r="AB749" s="9"/>
      <c r="AC749" s="9"/>
      <c r="AD749" s="9"/>
    </row>
    <row r="750" spans="1:30" ht="18.75" x14ac:dyDescent="0.3">
      <c r="A750" s="42"/>
      <c r="B750" s="42"/>
      <c r="C750" s="74"/>
      <c r="D750" s="74"/>
      <c r="E750" s="70"/>
      <c r="F750" s="70"/>
      <c r="G750" s="70"/>
      <c r="H750" s="70"/>
      <c r="I750" s="70"/>
      <c r="J750" s="77"/>
      <c r="K750" s="77"/>
      <c r="L750" s="9"/>
      <c r="M750" s="42"/>
      <c r="N750" s="42"/>
      <c r="O750" s="9"/>
      <c r="P750" s="9"/>
      <c r="Q750" s="9"/>
      <c r="R750" s="33"/>
      <c r="S750" s="9"/>
      <c r="U750" s="8"/>
      <c r="V750" s="9"/>
      <c r="W750" s="9"/>
      <c r="X750" s="9"/>
      <c r="Y750" s="9"/>
      <c r="Z750" s="9"/>
      <c r="AA750" s="9"/>
      <c r="AB750" s="9"/>
      <c r="AC750" s="9"/>
      <c r="AD750" s="9"/>
    </row>
    <row r="751" spans="1:30" ht="18.75" x14ac:dyDescent="0.3">
      <c r="A751" s="42"/>
      <c r="B751" s="42"/>
      <c r="C751" s="74"/>
      <c r="D751" s="74"/>
      <c r="E751" s="70"/>
      <c r="F751" s="70"/>
      <c r="G751" s="70"/>
      <c r="H751" s="70"/>
      <c r="I751" s="70"/>
      <c r="J751" s="77"/>
      <c r="K751" s="77"/>
      <c r="L751" s="9"/>
      <c r="M751" s="42"/>
      <c r="N751" s="42"/>
      <c r="O751" s="9"/>
      <c r="P751" s="9"/>
      <c r="Q751" s="9"/>
      <c r="R751" s="33"/>
      <c r="S751" s="9"/>
      <c r="U751" s="8"/>
      <c r="V751" s="9"/>
      <c r="W751" s="9"/>
      <c r="X751" s="9"/>
      <c r="Y751" s="9"/>
      <c r="Z751" s="9"/>
      <c r="AA751" s="9"/>
      <c r="AB751" s="9"/>
      <c r="AC751" s="9"/>
      <c r="AD751" s="9"/>
    </row>
    <row r="752" spans="1:30" ht="18.75" x14ac:dyDescent="0.3">
      <c r="A752" s="42"/>
      <c r="B752" s="42"/>
      <c r="C752" s="74"/>
      <c r="D752" s="74"/>
      <c r="E752" s="70"/>
      <c r="F752" s="70"/>
      <c r="G752" s="70"/>
      <c r="H752" s="70"/>
      <c r="I752" s="70"/>
      <c r="J752" s="77"/>
      <c r="K752" s="77"/>
      <c r="L752" s="9"/>
      <c r="M752" s="42"/>
      <c r="N752" s="42"/>
      <c r="O752" s="9"/>
      <c r="P752" s="9"/>
      <c r="Q752" s="9"/>
      <c r="R752" s="33"/>
      <c r="S752" s="9"/>
      <c r="U752" s="8"/>
      <c r="V752" s="9"/>
      <c r="W752" s="9"/>
      <c r="X752" s="9"/>
      <c r="Y752" s="9"/>
      <c r="Z752" s="9"/>
      <c r="AA752" s="9"/>
      <c r="AB752" s="9"/>
      <c r="AC752" s="9"/>
      <c r="AD752" s="9"/>
    </row>
    <row r="753" spans="1:30" ht="18.75" x14ac:dyDescent="0.3">
      <c r="A753" s="42"/>
      <c r="B753" s="42"/>
      <c r="C753" s="74"/>
      <c r="D753" s="74"/>
      <c r="E753" s="70"/>
      <c r="F753" s="70"/>
      <c r="G753" s="70"/>
      <c r="H753" s="70"/>
      <c r="I753" s="70"/>
      <c r="J753" s="77"/>
      <c r="K753" s="77"/>
      <c r="L753" s="9"/>
      <c r="M753" s="42"/>
      <c r="N753" s="42"/>
      <c r="O753" s="9"/>
      <c r="P753" s="9"/>
      <c r="Q753" s="9"/>
      <c r="R753" s="33"/>
      <c r="S753" s="9"/>
      <c r="U753" s="8"/>
      <c r="V753" s="9"/>
      <c r="W753" s="9"/>
      <c r="X753" s="9"/>
      <c r="Y753" s="9"/>
      <c r="Z753" s="9"/>
      <c r="AA753" s="9"/>
      <c r="AB753" s="9"/>
      <c r="AC753" s="9"/>
      <c r="AD753" s="9"/>
    </row>
    <row r="754" spans="1:30" ht="18.75" x14ac:dyDescent="0.3">
      <c r="A754" s="42"/>
      <c r="B754" s="42"/>
      <c r="C754" s="74"/>
      <c r="D754" s="74"/>
      <c r="E754" s="70"/>
      <c r="F754" s="70"/>
      <c r="G754" s="70"/>
      <c r="H754" s="70"/>
      <c r="I754" s="70"/>
      <c r="J754" s="77"/>
      <c r="K754" s="77"/>
      <c r="L754" s="9"/>
      <c r="M754" s="42"/>
      <c r="N754" s="42"/>
      <c r="O754" s="9"/>
      <c r="P754" s="9"/>
      <c r="Q754" s="9"/>
      <c r="R754" s="33"/>
      <c r="S754" s="9"/>
      <c r="U754" s="8"/>
      <c r="V754" s="9"/>
      <c r="W754" s="9"/>
      <c r="X754" s="9"/>
      <c r="Y754" s="9"/>
      <c r="Z754" s="9"/>
      <c r="AA754" s="9"/>
      <c r="AB754" s="9"/>
      <c r="AC754" s="9"/>
      <c r="AD754" s="9"/>
    </row>
    <row r="755" spans="1:30" ht="18.75" x14ac:dyDescent="0.3">
      <c r="A755" s="42"/>
      <c r="B755" s="42"/>
      <c r="C755" s="74"/>
      <c r="D755" s="74"/>
      <c r="E755" s="70"/>
      <c r="F755" s="70"/>
      <c r="G755" s="70"/>
      <c r="H755" s="70"/>
      <c r="I755" s="70"/>
      <c r="J755" s="77"/>
      <c r="K755" s="77"/>
      <c r="L755" s="9"/>
      <c r="M755" s="42"/>
      <c r="N755" s="42"/>
      <c r="O755" s="9"/>
      <c r="P755" s="9"/>
      <c r="Q755" s="9"/>
      <c r="R755" s="33"/>
      <c r="S755" s="9"/>
      <c r="U755" s="8"/>
      <c r="V755" s="9"/>
      <c r="W755" s="9"/>
      <c r="X755" s="9"/>
      <c r="Y755" s="9"/>
      <c r="Z755" s="9"/>
      <c r="AA755" s="9"/>
      <c r="AB755" s="9"/>
      <c r="AC755" s="9"/>
      <c r="AD755" s="9"/>
    </row>
    <row r="756" spans="1:30" ht="18.75" x14ac:dyDescent="0.3">
      <c r="A756" s="42"/>
      <c r="B756" s="42"/>
      <c r="C756" s="74"/>
      <c r="D756" s="74"/>
      <c r="E756" s="70"/>
      <c r="F756" s="70"/>
      <c r="G756" s="70"/>
      <c r="H756" s="70"/>
      <c r="I756" s="70"/>
      <c r="J756" s="77"/>
      <c r="K756" s="77"/>
      <c r="L756" s="9"/>
      <c r="M756" s="42"/>
      <c r="N756" s="42"/>
      <c r="O756" s="9"/>
      <c r="P756" s="9"/>
      <c r="Q756" s="9"/>
      <c r="R756" s="33"/>
      <c r="S756" s="9"/>
      <c r="U756" s="8"/>
      <c r="V756" s="9"/>
      <c r="W756" s="9"/>
      <c r="X756" s="9"/>
      <c r="Y756" s="9"/>
      <c r="Z756" s="9"/>
      <c r="AA756" s="9"/>
      <c r="AB756" s="9"/>
      <c r="AC756" s="9"/>
      <c r="AD756" s="9"/>
    </row>
    <row r="757" spans="1:30" ht="18.75" x14ac:dyDescent="0.3">
      <c r="A757" s="42"/>
      <c r="B757" s="42"/>
      <c r="C757" s="74"/>
      <c r="D757" s="74"/>
      <c r="E757" s="70"/>
      <c r="F757" s="70"/>
      <c r="G757" s="70"/>
      <c r="H757" s="70"/>
      <c r="I757" s="70"/>
      <c r="J757" s="77"/>
      <c r="K757" s="77"/>
      <c r="L757" s="9"/>
      <c r="M757" s="42"/>
      <c r="N757" s="42"/>
      <c r="O757" s="9"/>
      <c r="P757" s="9"/>
      <c r="Q757" s="9"/>
      <c r="R757" s="33"/>
      <c r="S757" s="9"/>
      <c r="U757" s="8"/>
      <c r="V757" s="9"/>
      <c r="W757" s="9"/>
      <c r="X757" s="9"/>
      <c r="Y757" s="9"/>
      <c r="Z757" s="9"/>
      <c r="AA757" s="9"/>
      <c r="AB757" s="9"/>
      <c r="AC757" s="9"/>
      <c r="AD757" s="9"/>
    </row>
    <row r="758" spans="1:30" ht="18.75" x14ac:dyDescent="0.3">
      <c r="A758" s="42"/>
      <c r="B758" s="42"/>
      <c r="C758" s="74"/>
      <c r="D758" s="74"/>
      <c r="E758" s="70"/>
      <c r="F758" s="70"/>
      <c r="G758" s="70"/>
      <c r="H758" s="70"/>
      <c r="I758" s="70"/>
      <c r="J758" s="77"/>
      <c r="K758" s="77"/>
      <c r="L758" s="9"/>
      <c r="M758" s="42"/>
      <c r="N758" s="42"/>
      <c r="O758" s="9"/>
      <c r="P758" s="9"/>
      <c r="Q758" s="9"/>
      <c r="R758" s="33"/>
      <c r="S758" s="9"/>
      <c r="U758" s="8"/>
      <c r="V758" s="9"/>
      <c r="W758" s="9"/>
      <c r="X758" s="9"/>
      <c r="Y758" s="9"/>
      <c r="Z758" s="9"/>
      <c r="AA758" s="9"/>
      <c r="AB758" s="9"/>
      <c r="AC758" s="9"/>
      <c r="AD758" s="9"/>
    </row>
    <row r="759" spans="1:30" ht="18.75" x14ac:dyDescent="0.3">
      <c r="A759" s="42"/>
      <c r="B759" s="42"/>
      <c r="C759" s="74"/>
      <c r="D759" s="74"/>
      <c r="E759" s="70"/>
      <c r="F759" s="70"/>
      <c r="G759" s="70"/>
      <c r="H759" s="70"/>
      <c r="I759" s="70"/>
      <c r="J759" s="77"/>
      <c r="K759" s="77"/>
      <c r="L759" s="9"/>
      <c r="M759" s="42"/>
      <c r="N759" s="42"/>
      <c r="O759" s="9"/>
      <c r="P759" s="9"/>
      <c r="Q759" s="9"/>
      <c r="R759" s="33"/>
      <c r="S759" s="9"/>
      <c r="U759" s="8"/>
      <c r="V759" s="9"/>
      <c r="W759" s="9"/>
      <c r="X759" s="9"/>
      <c r="Y759" s="9"/>
      <c r="Z759" s="9"/>
      <c r="AA759" s="9"/>
      <c r="AB759" s="9"/>
      <c r="AC759" s="9"/>
      <c r="AD759" s="9"/>
    </row>
    <row r="760" spans="1:30" ht="18.75" x14ac:dyDescent="0.3">
      <c r="A760" s="42"/>
      <c r="B760" s="42"/>
      <c r="C760" s="74"/>
      <c r="D760" s="74"/>
      <c r="E760" s="70"/>
      <c r="F760" s="70"/>
      <c r="G760" s="70"/>
      <c r="H760" s="70"/>
      <c r="I760" s="70"/>
      <c r="J760" s="77"/>
      <c r="K760" s="77"/>
      <c r="L760" s="9"/>
      <c r="M760" s="42"/>
      <c r="N760" s="42"/>
      <c r="O760" s="9"/>
      <c r="P760" s="9"/>
      <c r="Q760" s="9"/>
      <c r="R760" s="33"/>
      <c r="S760" s="9"/>
      <c r="U760" s="8"/>
      <c r="V760" s="9"/>
      <c r="W760" s="9"/>
      <c r="X760" s="9"/>
      <c r="Y760" s="9"/>
      <c r="Z760" s="9"/>
      <c r="AA760" s="9"/>
      <c r="AB760" s="9"/>
      <c r="AC760" s="9"/>
      <c r="AD760" s="9"/>
    </row>
    <row r="761" spans="1:30" ht="18.75" x14ac:dyDescent="0.3">
      <c r="A761" s="42"/>
      <c r="B761" s="42"/>
      <c r="C761" s="96"/>
      <c r="D761" s="96"/>
      <c r="J761" s="97"/>
      <c r="K761" s="97"/>
      <c r="L761" s="9"/>
      <c r="M761" s="42"/>
      <c r="N761" s="42"/>
      <c r="O761" s="9"/>
      <c r="P761" s="9"/>
      <c r="Q761" s="9"/>
      <c r="R761" s="33"/>
      <c r="S761" s="9"/>
      <c r="U761" s="8"/>
      <c r="V761" s="9"/>
      <c r="W761" s="9"/>
      <c r="X761" s="9"/>
      <c r="Y761" s="9"/>
      <c r="Z761" s="9"/>
      <c r="AA761" s="9"/>
      <c r="AB761" s="9"/>
      <c r="AC761" s="9"/>
      <c r="AD761" s="9"/>
    </row>
    <row r="762" spans="1:30" ht="18.75" x14ac:dyDescent="0.3">
      <c r="A762" s="42"/>
      <c r="B762" s="42"/>
      <c r="C762" s="96"/>
      <c r="D762" s="96"/>
      <c r="J762" s="97"/>
      <c r="K762" s="97"/>
      <c r="L762" s="9"/>
      <c r="M762" s="42"/>
      <c r="N762" s="42"/>
      <c r="O762" s="9"/>
      <c r="P762" s="9"/>
      <c r="Q762" s="9"/>
      <c r="R762" s="33"/>
      <c r="S762" s="9"/>
      <c r="U762" s="8"/>
      <c r="V762" s="9"/>
      <c r="W762" s="9"/>
      <c r="X762" s="9"/>
      <c r="Y762" s="9"/>
      <c r="Z762" s="9"/>
      <c r="AA762" s="9"/>
      <c r="AB762" s="9"/>
      <c r="AC762" s="9"/>
      <c r="AD762" s="9"/>
    </row>
    <row r="763" spans="1:30" ht="18.75" x14ac:dyDescent="0.3">
      <c r="A763" s="42"/>
      <c r="B763" s="42"/>
      <c r="C763" s="96"/>
      <c r="D763" s="96"/>
      <c r="J763" s="97"/>
      <c r="K763" s="97"/>
      <c r="L763" s="9"/>
      <c r="M763" s="42"/>
      <c r="N763" s="42"/>
      <c r="O763" s="9"/>
      <c r="P763" s="9"/>
      <c r="Q763" s="9"/>
      <c r="R763" s="33"/>
      <c r="S763" s="9"/>
      <c r="U763" s="8"/>
      <c r="V763" s="9"/>
      <c r="W763" s="9"/>
      <c r="X763" s="9"/>
      <c r="Y763" s="9"/>
      <c r="Z763" s="9"/>
      <c r="AA763" s="9"/>
      <c r="AB763" s="9"/>
      <c r="AC763" s="9"/>
      <c r="AD763" s="9"/>
    </row>
    <row r="764" spans="1:30" ht="18.75" x14ac:dyDescent="0.3">
      <c r="A764" s="42"/>
      <c r="B764" s="42"/>
      <c r="C764" s="96"/>
      <c r="D764" s="96"/>
      <c r="J764" s="97"/>
      <c r="K764" s="97"/>
      <c r="L764" s="9"/>
      <c r="M764" s="42"/>
      <c r="N764" s="42"/>
      <c r="O764" s="9"/>
      <c r="P764" s="9"/>
      <c r="Q764" s="9"/>
      <c r="R764" s="33"/>
      <c r="S764" s="9"/>
      <c r="U764" s="8"/>
      <c r="V764" s="9"/>
      <c r="W764" s="9"/>
      <c r="X764" s="9"/>
      <c r="Y764" s="9"/>
      <c r="Z764" s="9"/>
      <c r="AA764" s="9"/>
      <c r="AB764" s="9"/>
      <c r="AC764" s="9"/>
      <c r="AD764" s="9"/>
    </row>
    <row r="765" spans="1:30" ht="18.75" x14ac:dyDescent="0.3">
      <c r="C765" s="68"/>
      <c r="D765" s="68"/>
      <c r="J765" s="97"/>
      <c r="K765" s="97"/>
      <c r="L765" s="9"/>
      <c r="M765" s="42"/>
      <c r="N765" s="42"/>
      <c r="O765" s="9"/>
      <c r="P765" s="9"/>
      <c r="Q765" s="9"/>
      <c r="R765" s="33"/>
      <c r="S765" s="9"/>
      <c r="U765" s="8"/>
      <c r="V765" s="9"/>
      <c r="W765" s="9"/>
      <c r="X765" s="9"/>
      <c r="Y765" s="9"/>
      <c r="Z765" s="9"/>
      <c r="AA765" s="9"/>
      <c r="AB765" s="9"/>
      <c r="AC765" s="9"/>
      <c r="AD765" s="9"/>
    </row>
    <row r="766" spans="1:30" ht="18.75" x14ac:dyDescent="0.3">
      <c r="C766" s="68"/>
      <c r="D766" s="68"/>
      <c r="J766" s="97"/>
      <c r="K766" s="97"/>
      <c r="L766" s="9"/>
      <c r="M766" s="42"/>
      <c r="N766" s="42"/>
      <c r="O766" s="9"/>
      <c r="P766" s="9"/>
      <c r="Q766" s="9"/>
      <c r="R766" s="33"/>
      <c r="S766" s="9"/>
      <c r="U766" s="8"/>
      <c r="V766" s="9"/>
      <c r="W766" s="9"/>
      <c r="X766" s="9"/>
      <c r="Y766" s="9"/>
      <c r="Z766" s="9"/>
      <c r="AA766" s="9"/>
      <c r="AB766" s="9"/>
      <c r="AC766" s="9"/>
      <c r="AD766" s="9"/>
    </row>
    <row r="767" spans="1:30" ht="18.75" x14ac:dyDescent="0.3">
      <c r="C767" s="68"/>
      <c r="D767" s="68"/>
      <c r="J767" s="97"/>
      <c r="K767" s="97"/>
      <c r="L767" s="9"/>
      <c r="M767" s="42"/>
      <c r="N767" s="42"/>
      <c r="O767" s="9"/>
      <c r="P767" s="9"/>
      <c r="Q767" s="9"/>
      <c r="R767" s="33"/>
      <c r="S767" s="9"/>
      <c r="U767" s="8"/>
      <c r="V767" s="9"/>
      <c r="W767" s="9"/>
      <c r="X767" s="9"/>
      <c r="Y767" s="9"/>
      <c r="Z767" s="9"/>
      <c r="AA767" s="9"/>
      <c r="AB767" s="9"/>
      <c r="AC767" s="9"/>
      <c r="AD767" s="9"/>
    </row>
    <row r="768" spans="1:30" ht="18.75" x14ac:dyDescent="0.3">
      <c r="C768" s="68"/>
      <c r="D768" s="68"/>
      <c r="J768" s="97"/>
      <c r="K768" s="97"/>
      <c r="L768" s="9"/>
      <c r="P768" s="9"/>
      <c r="Q768" s="9"/>
      <c r="R768" s="33"/>
      <c r="S768" s="9"/>
      <c r="U768" s="8"/>
      <c r="V768" s="9"/>
      <c r="W768" s="9"/>
      <c r="X768" s="9"/>
      <c r="Y768" s="9"/>
      <c r="Z768" s="9"/>
      <c r="AA768" s="9"/>
      <c r="AB768" s="9"/>
      <c r="AC768" s="9"/>
      <c r="AD768" s="9"/>
    </row>
    <row r="769" spans="3:30" ht="18.75" x14ac:dyDescent="0.3">
      <c r="C769" s="68"/>
      <c r="D769" s="68"/>
      <c r="J769" s="97"/>
      <c r="K769" s="97"/>
      <c r="L769" s="9"/>
      <c r="P769" s="9"/>
      <c r="Q769" s="9"/>
      <c r="R769" s="33"/>
      <c r="S769" s="9"/>
      <c r="U769" s="8"/>
      <c r="V769" s="9"/>
      <c r="W769" s="9"/>
      <c r="X769" s="9"/>
      <c r="Y769" s="9"/>
      <c r="Z769" s="9"/>
      <c r="AA769" s="9"/>
      <c r="AB769" s="9"/>
      <c r="AC769" s="9"/>
      <c r="AD769" s="9"/>
    </row>
    <row r="770" spans="3:30" ht="18.75" x14ac:dyDescent="0.3">
      <c r="C770" s="68"/>
      <c r="D770" s="68"/>
      <c r="J770" s="97"/>
      <c r="K770" s="97"/>
      <c r="L770" s="9"/>
      <c r="P770" s="9"/>
      <c r="Q770" s="9"/>
      <c r="R770" s="33"/>
      <c r="S770" s="9"/>
      <c r="U770" s="8"/>
      <c r="V770" s="9"/>
      <c r="W770" s="9"/>
      <c r="X770" s="9"/>
      <c r="Y770" s="9"/>
      <c r="Z770" s="9"/>
      <c r="AA770" s="9"/>
      <c r="AB770" s="9"/>
      <c r="AC770" s="9"/>
      <c r="AD770" s="9"/>
    </row>
    <row r="771" spans="3:30" ht="18.75" x14ac:dyDescent="0.3">
      <c r="C771" s="68"/>
      <c r="D771" s="68"/>
      <c r="J771" s="97"/>
      <c r="K771" s="97"/>
      <c r="L771" s="9"/>
      <c r="P771" s="9"/>
      <c r="Q771" s="9"/>
      <c r="R771" s="33"/>
      <c r="S771" s="9"/>
      <c r="U771" s="8"/>
      <c r="V771" s="9"/>
      <c r="W771" s="9"/>
      <c r="X771" s="9"/>
      <c r="Y771" s="9"/>
      <c r="Z771" s="9"/>
      <c r="AA771" s="9"/>
      <c r="AB771" s="9"/>
      <c r="AC771" s="9"/>
      <c r="AD771" s="9"/>
    </row>
  </sheetData>
  <autoFilter ref="A1:S54" xr:uid="{00000000-0009-0000-0000-000000000000}">
    <filterColumn colId="3">
      <filters>
        <dateGroupItem year="2024" dateTimeGrouping="year"/>
      </filters>
    </filterColumn>
  </autoFilter>
  <customSheetViews>
    <customSheetView guid="{DAD660F0-6D5C-4263-B8A5-86474779ECEF}" filter="1" showAutoFilter="1">
      <pageMargins left="0.7" right="0.7" top="0.75" bottom="0.75" header="0.3" footer="0.3"/>
      <autoFilter ref="A1:S417" xr:uid="{9FA501C2-461C-4B66-AE34-B74E90EFE373}">
        <filterColumn colId="11">
          <filters blank="1">
            <filter val="billed"/>
            <filter val="DO NOT BILL"/>
            <filter val="READY"/>
            <filter val="REBILL"/>
          </filters>
        </filterColumn>
      </autoFilter>
    </customSheetView>
    <customSheetView guid="{A6D35D77-8AEB-447C-BA49-3C14371D70E9}" filter="1" showAutoFilter="1">
      <pageMargins left="0.7" right="0.7" top="0.75" bottom="0.75" header="0.3" footer="0.3"/>
      <autoFilter ref="F1:F1134" xr:uid="{64012764-ECF3-45B9-B227-666659FE1C70}"/>
    </customSheetView>
  </customSheetViews>
  <conditionalFormatting sqref="Q77:Q85 R86:R772 R1:R76">
    <cfRule type="containsText" dxfId="11" priority="1" operator="containsText" text="need">
      <formula>NOT(ISERROR(SEARCH(("need"),(AC1))))</formula>
    </cfRule>
  </conditionalFormatting>
  <conditionalFormatting sqref="M77:M85 N86:N772 N1:N76">
    <cfRule type="containsText" dxfId="10" priority="2" operator="containsText" text="NO">
      <formula>NOT(ISERROR(SEARCH(("NO"),(N1))))</formula>
    </cfRule>
  </conditionalFormatting>
  <conditionalFormatting sqref="M77:M85 N86:N772 N1:N76">
    <cfRule type="containsText" dxfId="9" priority="3" operator="containsText" text="HAVE">
      <formula>NOT(ISERROR(SEARCH(("HAVE"),(N1))))</formula>
    </cfRule>
  </conditionalFormatting>
  <conditionalFormatting sqref="M77:M85 N86:N772">
    <cfRule type="containsText" dxfId="8" priority="4" operator="containsText" text="HAVE">
      <formula>NOT(ISERROR(SEARCH(("HAVE"),(N77))))</formula>
    </cfRule>
  </conditionalFormatting>
  <conditionalFormatting sqref="A1:S744 T1:T743">
    <cfRule type="expression" dxfId="7" priority="5">
      <formula>FIND("HOLD",$M1)&gt;0</formula>
    </cfRule>
  </conditionalFormatting>
  <conditionalFormatting sqref="C2:D772">
    <cfRule type="expression" dxfId="6" priority="6">
      <formula>TODAY()&gt;D2</formula>
    </cfRule>
  </conditionalFormatting>
  <conditionalFormatting sqref="C1:D772">
    <cfRule type="containsText" dxfId="5" priority="7" operator="containsText" text="HOLD">
      <formula>NOT(ISERROR(SEARCH(("HOLD"),(D1))))</formula>
    </cfRule>
  </conditionalFormatting>
  <conditionalFormatting sqref="R77:R85 S86:S772 S2:S76">
    <cfRule type="containsText" dxfId="4" priority="8" operator="containsText" text="shipped">
      <formula>NOT(ISERROR(SEARCH(("shipped"),(S2))))</formula>
    </cfRule>
  </conditionalFormatting>
  <conditionalFormatting sqref="K77:K85 L86:L772 L2:L76">
    <cfRule type="containsText" dxfId="3" priority="9" operator="containsText" text="billed">
      <formula>NOT(ISERROR(SEARCH(("billed"),(T2))))</formula>
    </cfRule>
  </conditionalFormatting>
  <conditionalFormatting sqref="N6 K17 L77:L85 M86:M772 M1:M76">
    <cfRule type="containsText" dxfId="2" priority="10" operator="containsText" text="HOLD">
      <formula>NOT(ISERROR(SEARCH(("HOLD"),(M1))))</formula>
    </cfRule>
  </conditionalFormatting>
  <conditionalFormatting sqref="A1:S772 T1:T771">
    <cfRule type="expression" dxfId="1" priority="11">
      <formula>FIND("REV",#REF!)&gt;0</formula>
    </cfRule>
  </conditionalFormatting>
  <conditionalFormatting sqref="C2:D772">
    <cfRule type="expression" dxfId="0" priority="12">
      <formula>TODAY()&lt;D2</formula>
    </cfRule>
  </conditionalFormatting>
  <dataValidations count="1">
    <dataValidation type="list" allowBlank="1" showErrorMessage="1" sqref="A1" xr:uid="{00000000-0002-0000-0000-000000000000}">
      <formula1>"Option 1,Option 2"</formula1>
    </dataValidation>
  </dataValidations>
  <printOptions horizontalCentered="1" gridLines="1"/>
  <pageMargins left="0.7" right="0.7" top="0.75" bottom="0.75" header="0" footer="0"/>
  <pageSetup paperSize="3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N1002"/>
  <sheetViews>
    <sheetView showGridLines="0" workbookViewId="0"/>
  </sheetViews>
  <sheetFormatPr defaultColWidth="12.5703125" defaultRowHeight="15.75" customHeight="1" outlineLevelCol="1" x14ac:dyDescent="0.2"/>
  <cols>
    <col min="2" max="2" width="12.5703125" outlineLevel="1"/>
  </cols>
  <sheetData>
    <row r="1" spans="1:14" x14ac:dyDescent="0.2">
      <c r="H1" s="68"/>
      <c r="I1" s="68"/>
      <c r="J1" s="98"/>
      <c r="K1" s="68"/>
      <c r="L1" s="68"/>
      <c r="M1" s="98"/>
      <c r="N1" s="68" t="s">
        <v>126</v>
      </c>
    </row>
    <row r="2" spans="1:14" x14ac:dyDescent="0.2">
      <c r="H2" s="68">
        <v>70</v>
      </c>
      <c r="I2" s="68">
        <v>20</v>
      </c>
      <c r="J2" s="98" t="s">
        <v>127</v>
      </c>
      <c r="K2" s="68">
        <v>15</v>
      </c>
      <c r="L2" s="68">
        <v>6</v>
      </c>
      <c r="M2" s="98"/>
      <c r="N2" s="68" t="s">
        <v>128</v>
      </c>
    </row>
    <row r="3" spans="1:14" x14ac:dyDescent="0.2">
      <c r="A3" s="123"/>
      <c r="B3" s="124"/>
      <c r="C3" s="125" t="s">
        <v>148</v>
      </c>
      <c r="D3" s="124"/>
      <c r="E3" s="124"/>
      <c r="F3" s="124"/>
      <c r="G3" s="126"/>
      <c r="H3" s="68" t="s">
        <v>134</v>
      </c>
      <c r="I3" s="68" t="s">
        <v>135</v>
      </c>
      <c r="J3" s="98"/>
      <c r="K3" s="68" t="s">
        <v>136</v>
      </c>
      <c r="L3" s="68" t="s">
        <v>137</v>
      </c>
      <c r="M3" s="98" t="s">
        <v>138</v>
      </c>
    </row>
    <row r="4" spans="1:14" x14ac:dyDescent="0.2">
      <c r="A4" s="125" t="s">
        <v>11</v>
      </c>
      <c r="B4" s="125" t="s">
        <v>3</v>
      </c>
      <c r="C4" s="123" t="s">
        <v>129</v>
      </c>
      <c r="D4" s="133" t="s">
        <v>130</v>
      </c>
      <c r="E4" s="133" t="s">
        <v>131</v>
      </c>
      <c r="F4" s="133" t="s">
        <v>132</v>
      </c>
      <c r="G4" s="127" t="s">
        <v>133</v>
      </c>
      <c r="H4" s="68" t="e">
        <f t="shared" ref="H4:H9" si="0">C4/$H$2</f>
        <v>#VALUE!</v>
      </c>
      <c r="I4" s="68" t="e">
        <f t="shared" ref="I4:I9" si="1">D4/$I$2</f>
        <v>#VALUE!</v>
      </c>
      <c r="J4" s="98" t="e">
        <f t="shared" ref="J4:J9" si="2">I4+H4</f>
        <v>#VALUE!</v>
      </c>
      <c r="K4" s="68" t="e">
        <f t="shared" ref="K4:K9" si="3">E4/$K$2</f>
        <v>#VALUE!</v>
      </c>
      <c r="L4" s="68" t="e">
        <f t="shared" ref="L4:L9" si="4">F4/$L$2</f>
        <v>#VALUE!</v>
      </c>
      <c r="M4" s="98" t="e">
        <f t="shared" ref="M4:M9" si="5">L4+K4</f>
        <v>#VALUE!</v>
      </c>
      <c r="N4" s="68">
        <v>22</v>
      </c>
    </row>
    <row r="5" spans="1:14" x14ac:dyDescent="0.2">
      <c r="A5" s="123" t="s">
        <v>149</v>
      </c>
      <c r="B5" s="128" t="s">
        <v>139</v>
      </c>
      <c r="C5" s="136">
        <v>5</v>
      </c>
      <c r="D5" s="141">
        <v>2</v>
      </c>
      <c r="E5" s="141"/>
      <c r="F5" s="141"/>
      <c r="G5" s="137"/>
      <c r="H5" s="68">
        <f t="shared" si="0"/>
        <v>7.1428571428571425E-2</v>
      </c>
      <c r="I5" s="68">
        <f t="shared" si="1"/>
        <v>0.1</v>
      </c>
      <c r="J5" s="98">
        <f t="shared" si="2"/>
        <v>0.17142857142857143</v>
      </c>
      <c r="K5" s="68">
        <f t="shared" si="3"/>
        <v>0</v>
      </c>
      <c r="L5" s="68">
        <f t="shared" si="4"/>
        <v>0</v>
      </c>
      <c r="M5" s="98">
        <f t="shared" si="5"/>
        <v>0</v>
      </c>
      <c r="N5" s="68">
        <v>20</v>
      </c>
    </row>
    <row r="6" spans="1:14" x14ac:dyDescent="0.2">
      <c r="A6" s="134"/>
      <c r="B6" s="135" t="s">
        <v>140</v>
      </c>
      <c r="C6" s="142">
        <v>498</v>
      </c>
      <c r="D6" s="143">
        <v>111</v>
      </c>
      <c r="E6" s="143">
        <v>108</v>
      </c>
      <c r="F6" s="143">
        <v>38</v>
      </c>
      <c r="G6" s="144">
        <v>35</v>
      </c>
      <c r="H6" s="68">
        <f t="shared" si="0"/>
        <v>7.1142857142857139</v>
      </c>
      <c r="I6" s="68">
        <f t="shared" si="1"/>
        <v>5.55</v>
      </c>
      <c r="J6" s="98">
        <f t="shared" si="2"/>
        <v>12.664285714285715</v>
      </c>
      <c r="K6" s="68">
        <f t="shared" si="3"/>
        <v>7.2</v>
      </c>
      <c r="L6" s="68">
        <f t="shared" si="4"/>
        <v>6.333333333333333</v>
      </c>
      <c r="M6" s="98">
        <f t="shared" si="5"/>
        <v>13.533333333333333</v>
      </c>
      <c r="N6" s="68">
        <v>23</v>
      </c>
    </row>
    <row r="7" spans="1:14" x14ac:dyDescent="0.2">
      <c r="H7" s="68">
        <f t="shared" si="0"/>
        <v>0</v>
      </c>
      <c r="I7" s="68">
        <f t="shared" si="1"/>
        <v>0</v>
      </c>
      <c r="J7" s="98">
        <f t="shared" si="2"/>
        <v>0</v>
      </c>
      <c r="K7" s="68">
        <f t="shared" si="3"/>
        <v>0</v>
      </c>
      <c r="L7" s="68">
        <f t="shared" si="4"/>
        <v>0</v>
      </c>
      <c r="M7" s="98">
        <f t="shared" si="5"/>
        <v>0</v>
      </c>
      <c r="N7" s="68">
        <v>3</v>
      </c>
    </row>
    <row r="8" spans="1:14" x14ac:dyDescent="0.2">
      <c r="H8" s="68">
        <f t="shared" si="0"/>
        <v>0</v>
      </c>
      <c r="I8" s="68">
        <f t="shared" si="1"/>
        <v>0</v>
      </c>
      <c r="J8" s="98">
        <f t="shared" si="2"/>
        <v>0</v>
      </c>
      <c r="K8" s="68">
        <f t="shared" si="3"/>
        <v>0</v>
      </c>
      <c r="L8" s="68">
        <f t="shared" si="4"/>
        <v>0</v>
      </c>
      <c r="M8" s="98">
        <f t="shared" si="5"/>
        <v>0</v>
      </c>
    </row>
    <row r="9" spans="1:14" x14ac:dyDescent="0.2">
      <c r="H9" s="68">
        <f t="shared" si="0"/>
        <v>0</v>
      </c>
      <c r="I9" s="68">
        <f t="shared" si="1"/>
        <v>0</v>
      </c>
      <c r="J9" s="98">
        <f t="shared" si="2"/>
        <v>0</v>
      </c>
      <c r="K9" s="68">
        <f t="shared" si="3"/>
        <v>0</v>
      </c>
      <c r="L9" s="68">
        <f t="shared" si="4"/>
        <v>0</v>
      </c>
      <c r="M9" s="98">
        <f t="shared" si="5"/>
        <v>0</v>
      </c>
    </row>
    <row r="10" spans="1:14" x14ac:dyDescent="0.2">
      <c r="J10" s="98"/>
      <c r="M10" s="98"/>
    </row>
    <row r="11" spans="1:14" x14ac:dyDescent="0.2">
      <c r="J11" s="98"/>
      <c r="M11" s="98"/>
    </row>
    <row r="12" spans="1:14" x14ac:dyDescent="0.2">
      <c r="J12" s="98"/>
      <c r="M12" s="98"/>
    </row>
    <row r="13" spans="1:14" x14ac:dyDescent="0.2">
      <c r="J13" s="98"/>
      <c r="M13" s="98"/>
    </row>
    <row r="14" spans="1:14" x14ac:dyDescent="0.2">
      <c r="J14" s="98"/>
      <c r="M14" s="98"/>
    </row>
    <row r="15" spans="1:14" x14ac:dyDescent="0.2">
      <c r="J15" s="98"/>
      <c r="M15" s="98"/>
    </row>
    <row r="16" spans="1:14" x14ac:dyDescent="0.2">
      <c r="J16" s="98"/>
      <c r="M16" s="98"/>
    </row>
    <row r="17" spans="10:13" x14ac:dyDescent="0.2">
      <c r="J17" s="98"/>
      <c r="M17" s="98"/>
    </row>
    <row r="18" spans="10:13" x14ac:dyDescent="0.2">
      <c r="J18" s="98"/>
      <c r="M18" s="98"/>
    </row>
    <row r="19" spans="10:13" x14ac:dyDescent="0.2">
      <c r="J19" s="98"/>
      <c r="M19" s="98"/>
    </row>
    <row r="20" spans="10:13" x14ac:dyDescent="0.2">
      <c r="J20" s="98"/>
      <c r="M20" s="98"/>
    </row>
    <row r="21" spans="10:13" x14ac:dyDescent="0.2">
      <c r="J21" s="98"/>
      <c r="M21" s="98"/>
    </row>
    <row r="22" spans="10:13" x14ac:dyDescent="0.2">
      <c r="J22" s="98"/>
      <c r="M22" s="98"/>
    </row>
    <row r="23" spans="10:13" x14ac:dyDescent="0.2">
      <c r="J23" s="98"/>
      <c r="M23" s="98"/>
    </row>
    <row r="24" spans="10:13" x14ac:dyDescent="0.2">
      <c r="J24" s="98"/>
      <c r="M24" s="98"/>
    </row>
    <row r="25" spans="10:13" x14ac:dyDescent="0.2">
      <c r="J25" s="98"/>
      <c r="M25" s="98"/>
    </row>
    <row r="26" spans="10:13" x14ac:dyDescent="0.2">
      <c r="J26" s="98"/>
      <c r="M26" s="98"/>
    </row>
    <row r="27" spans="10:13" x14ac:dyDescent="0.2">
      <c r="J27" s="98"/>
      <c r="M27" s="98"/>
    </row>
    <row r="28" spans="10:13" x14ac:dyDescent="0.2">
      <c r="J28" s="98"/>
      <c r="M28" s="98"/>
    </row>
    <row r="29" spans="10:13" x14ac:dyDescent="0.2">
      <c r="J29" s="98"/>
      <c r="M29" s="98"/>
    </row>
    <row r="30" spans="10:13" x14ac:dyDescent="0.2">
      <c r="J30" s="98"/>
      <c r="M30" s="98"/>
    </row>
    <row r="31" spans="10:13" x14ac:dyDescent="0.2">
      <c r="J31" s="98"/>
      <c r="M31" s="98"/>
    </row>
    <row r="32" spans="10:13" x14ac:dyDescent="0.2">
      <c r="J32" s="98"/>
      <c r="M32" s="98"/>
    </row>
    <row r="33" spans="10:13" x14ac:dyDescent="0.2">
      <c r="J33" s="98"/>
      <c r="M33" s="98"/>
    </row>
    <row r="34" spans="10:13" x14ac:dyDescent="0.2">
      <c r="J34" s="98"/>
      <c r="M34" s="98"/>
    </row>
    <row r="35" spans="10:13" x14ac:dyDescent="0.2">
      <c r="J35" s="98"/>
      <c r="M35" s="98"/>
    </row>
    <row r="36" spans="10:13" x14ac:dyDescent="0.2">
      <c r="J36" s="98"/>
      <c r="M36" s="98"/>
    </row>
    <row r="37" spans="10:13" x14ac:dyDescent="0.2">
      <c r="J37" s="98"/>
      <c r="M37" s="98"/>
    </row>
    <row r="38" spans="10:13" x14ac:dyDescent="0.2">
      <c r="J38" s="98"/>
      <c r="M38" s="98"/>
    </row>
    <row r="39" spans="10:13" x14ac:dyDescent="0.2">
      <c r="J39" s="98"/>
      <c r="M39" s="98"/>
    </row>
    <row r="40" spans="10:13" x14ac:dyDescent="0.2">
      <c r="J40" s="98"/>
      <c r="M40" s="98"/>
    </row>
    <row r="41" spans="10:13" x14ac:dyDescent="0.2">
      <c r="J41" s="98"/>
      <c r="M41" s="98"/>
    </row>
    <row r="42" spans="10:13" x14ac:dyDescent="0.2">
      <c r="J42" s="98"/>
      <c r="M42" s="98"/>
    </row>
    <row r="43" spans="10:13" x14ac:dyDescent="0.2">
      <c r="J43" s="98"/>
      <c r="M43" s="98"/>
    </row>
    <row r="44" spans="10:13" x14ac:dyDescent="0.2">
      <c r="J44" s="98"/>
      <c r="M44" s="98"/>
    </row>
    <row r="45" spans="10:13" x14ac:dyDescent="0.2">
      <c r="J45" s="98"/>
      <c r="M45" s="98"/>
    </row>
    <row r="46" spans="10:13" x14ac:dyDescent="0.2">
      <c r="J46" s="98"/>
      <c r="M46" s="98"/>
    </row>
    <row r="47" spans="10:13" x14ac:dyDescent="0.2">
      <c r="J47" s="98"/>
      <c r="M47" s="98"/>
    </row>
    <row r="48" spans="10:13" x14ac:dyDescent="0.2">
      <c r="J48" s="98"/>
      <c r="M48" s="98"/>
    </row>
    <row r="49" spans="10:13" x14ac:dyDescent="0.2">
      <c r="J49" s="98"/>
      <c r="M49" s="98"/>
    </row>
    <row r="50" spans="10:13" x14ac:dyDescent="0.2">
      <c r="J50" s="98"/>
      <c r="M50" s="98"/>
    </row>
    <row r="51" spans="10:13" x14ac:dyDescent="0.2">
      <c r="J51" s="98"/>
      <c r="M51" s="98"/>
    </row>
    <row r="52" spans="10:13" x14ac:dyDescent="0.2">
      <c r="J52" s="98"/>
      <c r="M52" s="98"/>
    </row>
    <row r="53" spans="10:13" x14ac:dyDescent="0.2">
      <c r="J53" s="98"/>
      <c r="M53" s="98"/>
    </row>
    <row r="54" spans="10:13" x14ac:dyDescent="0.2">
      <c r="J54" s="98"/>
      <c r="M54" s="98"/>
    </row>
    <row r="55" spans="10:13" x14ac:dyDescent="0.2">
      <c r="J55" s="98"/>
      <c r="M55" s="98"/>
    </row>
    <row r="56" spans="10:13" x14ac:dyDescent="0.2">
      <c r="J56" s="98"/>
      <c r="M56" s="98"/>
    </row>
    <row r="57" spans="10:13" x14ac:dyDescent="0.2">
      <c r="J57" s="98"/>
      <c r="M57" s="98"/>
    </row>
    <row r="58" spans="10:13" x14ac:dyDescent="0.2">
      <c r="J58" s="98"/>
      <c r="M58" s="98"/>
    </row>
    <row r="59" spans="10:13" x14ac:dyDescent="0.2">
      <c r="J59" s="98"/>
      <c r="M59" s="98"/>
    </row>
    <row r="60" spans="10:13" x14ac:dyDescent="0.2">
      <c r="J60" s="98"/>
      <c r="M60" s="98"/>
    </row>
    <row r="61" spans="10:13" x14ac:dyDescent="0.2">
      <c r="J61" s="98"/>
      <c r="M61" s="98"/>
    </row>
    <row r="62" spans="10:13" x14ac:dyDescent="0.2">
      <c r="J62" s="98"/>
      <c r="M62" s="98"/>
    </row>
    <row r="63" spans="10:13" x14ac:dyDescent="0.2">
      <c r="J63" s="98"/>
      <c r="M63" s="98"/>
    </row>
    <row r="64" spans="10:13" x14ac:dyDescent="0.2">
      <c r="J64" s="98"/>
      <c r="M64" s="98"/>
    </row>
    <row r="65" spans="10:13" x14ac:dyDescent="0.2">
      <c r="J65" s="98"/>
      <c r="M65" s="98"/>
    </row>
    <row r="66" spans="10:13" x14ac:dyDescent="0.2">
      <c r="J66" s="98"/>
      <c r="M66" s="98"/>
    </row>
    <row r="67" spans="10:13" x14ac:dyDescent="0.2">
      <c r="J67" s="98"/>
      <c r="M67" s="98"/>
    </row>
    <row r="68" spans="10:13" x14ac:dyDescent="0.2">
      <c r="J68" s="98"/>
      <c r="M68" s="98"/>
    </row>
    <row r="69" spans="10:13" x14ac:dyDescent="0.2">
      <c r="J69" s="98"/>
      <c r="M69" s="98"/>
    </row>
    <row r="70" spans="10:13" x14ac:dyDescent="0.2">
      <c r="J70" s="98"/>
      <c r="M70" s="98"/>
    </row>
    <row r="71" spans="10:13" x14ac:dyDescent="0.2">
      <c r="J71" s="98"/>
      <c r="M71" s="98"/>
    </row>
    <row r="72" spans="10:13" x14ac:dyDescent="0.2">
      <c r="J72" s="98"/>
      <c r="M72" s="98"/>
    </row>
    <row r="73" spans="10:13" x14ac:dyDescent="0.2">
      <c r="J73" s="98"/>
      <c r="M73" s="98"/>
    </row>
    <row r="74" spans="10:13" x14ac:dyDescent="0.2">
      <c r="J74" s="98"/>
      <c r="M74" s="98"/>
    </row>
    <row r="75" spans="10:13" x14ac:dyDescent="0.2">
      <c r="J75" s="98"/>
      <c r="M75" s="98"/>
    </row>
    <row r="76" spans="10:13" x14ac:dyDescent="0.2">
      <c r="J76" s="98"/>
      <c r="M76" s="98"/>
    </row>
    <row r="77" spans="10:13" x14ac:dyDescent="0.2">
      <c r="J77" s="98"/>
      <c r="M77" s="98"/>
    </row>
    <row r="78" spans="10:13" x14ac:dyDescent="0.2">
      <c r="J78" s="98"/>
      <c r="M78" s="98"/>
    </row>
    <row r="79" spans="10:13" x14ac:dyDescent="0.2">
      <c r="J79" s="98"/>
      <c r="M79" s="98"/>
    </row>
    <row r="80" spans="10:13" x14ac:dyDescent="0.2">
      <c r="J80" s="98"/>
      <c r="M80" s="98"/>
    </row>
    <row r="81" spans="10:13" x14ac:dyDescent="0.2">
      <c r="J81" s="98"/>
      <c r="M81" s="98"/>
    </row>
    <row r="82" spans="10:13" x14ac:dyDescent="0.2">
      <c r="J82" s="98"/>
      <c r="M82" s="98"/>
    </row>
    <row r="83" spans="10:13" x14ac:dyDescent="0.2">
      <c r="J83" s="98"/>
      <c r="M83" s="98"/>
    </row>
    <row r="84" spans="10:13" x14ac:dyDescent="0.2">
      <c r="J84" s="98"/>
      <c r="M84" s="98"/>
    </row>
    <row r="85" spans="10:13" x14ac:dyDescent="0.2">
      <c r="J85" s="98"/>
      <c r="M85" s="98"/>
    </row>
    <row r="86" spans="10:13" x14ac:dyDescent="0.2">
      <c r="J86" s="98"/>
      <c r="M86" s="98"/>
    </row>
    <row r="87" spans="10:13" x14ac:dyDescent="0.2">
      <c r="J87" s="98"/>
      <c r="M87" s="98"/>
    </row>
    <row r="88" spans="10:13" x14ac:dyDescent="0.2">
      <c r="J88" s="98"/>
      <c r="M88" s="98"/>
    </row>
    <row r="89" spans="10:13" x14ac:dyDescent="0.2">
      <c r="J89" s="98"/>
      <c r="M89" s="98"/>
    </row>
    <row r="90" spans="10:13" x14ac:dyDescent="0.2">
      <c r="J90" s="98"/>
      <c r="M90" s="98"/>
    </row>
    <row r="91" spans="10:13" x14ac:dyDescent="0.2">
      <c r="J91" s="98"/>
      <c r="M91" s="98"/>
    </row>
    <row r="92" spans="10:13" x14ac:dyDescent="0.2">
      <c r="J92" s="98"/>
      <c r="M92" s="98"/>
    </row>
    <row r="93" spans="10:13" x14ac:dyDescent="0.2">
      <c r="J93" s="98"/>
      <c r="M93" s="98"/>
    </row>
    <row r="94" spans="10:13" x14ac:dyDescent="0.2">
      <c r="J94" s="98"/>
      <c r="M94" s="98"/>
    </row>
    <row r="95" spans="10:13" x14ac:dyDescent="0.2">
      <c r="J95" s="98"/>
      <c r="M95" s="98"/>
    </row>
    <row r="96" spans="10:13" x14ac:dyDescent="0.2">
      <c r="J96" s="98"/>
      <c r="M96" s="98"/>
    </row>
    <row r="97" spans="10:13" x14ac:dyDescent="0.2">
      <c r="J97" s="98"/>
      <c r="M97" s="98"/>
    </row>
    <row r="98" spans="10:13" x14ac:dyDescent="0.2">
      <c r="J98" s="98"/>
      <c r="M98" s="98"/>
    </row>
    <row r="99" spans="10:13" x14ac:dyDescent="0.2">
      <c r="J99" s="98"/>
      <c r="M99" s="98"/>
    </row>
    <row r="100" spans="10:13" x14ac:dyDescent="0.2">
      <c r="J100" s="98"/>
      <c r="M100" s="98"/>
    </row>
    <row r="101" spans="10:13" x14ac:dyDescent="0.2">
      <c r="J101" s="98"/>
      <c r="M101" s="98"/>
    </row>
    <row r="102" spans="10:13" x14ac:dyDescent="0.2">
      <c r="J102" s="98"/>
      <c r="M102" s="98"/>
    </row>
    <row r="103" spans="10:13" x14ac:dyDescent="0.2">
      <c r="J103" s="98"/>
      <c r="M103" s="98"/>
    </row>
    <row r="104" spans="10:13" x14ac:dyDescent="0.2">
      <c r="J104" s="98"/>
      <c r="M104" s="98"/>
    </row>
    <row r="105" spans="10:13" x14ac:dyDescent="0.2">
      <c r="J105" s="98"/>
      <c r="M105" s="98"/>
    </row>
    <row r="106" spans="10:13" x14ac:dyDescent="0.2">
      <c r="J106" s="98"/>
      <c r="M106" s="98"/>
    </row>
    <row r="107" spans="10:13" x14ac:dyDescent="0.2">
      <c r="J107" s="98"/>
      <c r="M107" s="98"/>
    </row>
    <row r="108" spans="10:13" x14ac:dyDescent="0.2">
      <c r="J108" s="98"/>
      <c r="M108" s="98"/>
    </row>
    <row r="109" spans="10:13" x14ac:dyDescent="0.2">
      <c r="J109" s="98"/>
      <c r="M109" s="98"/>
    </row>
    <row r="110" spans="10:13" x14ac:dyDescent="0.2">
      <c r="J110" s="98"/>
      <c r="M110" s="98"/>
    </row>
    <row r="111" spans="10:13" x14ac:dyDescent="0.2">
      <c r="J111" s="98"/>
      <c r="M111" s="98"/>
    </row>
    <row r="112" spans="10:13" x14ac:dyDescent="0.2">
      <c r="J112" s="98"/>
      <c r="M112" s="98"/>
    </row>
    <row r="113" spans="10:13" x14ac:dyDescent="0.2">
      <c r="J113" s="98"/>
      <c r="M113" s="98"/>
    </row>
    <row r="114" spans="10:13" x14ac:dyDescent="0.2">
      <c r="J114" s="98"/>
      <c r="M114" s="98"/>
    </row>
    <row r="115" spans="10:13" x14ac:dyDescent="0.2">
      <c r="J115" s="98"/>
      <c r="M115" s="98"/>
    </row>
    <row r="116" spans="10:13" x14ac:dyDescent="0.2">
      <c r="J116" s="98"/>
      <c r="M116" s="98"/>
    </row>
    <row r="117" spans="10:13" x14ac:dyDescent="0.2">
      <c r="J117" s="98"/>
      <c r="M117" s="98"/>
    </row>
    <row r="118" spans="10:13" x14ac:dyDescent="0.2">
      <c r="J118" s="98"/>
      <c r="M118" s="98"/>
    </row>
    <row r="119" spans="10:13" x14ac:dyDescent="0.2">
      <c r="J119" s="98"/>
      <c r="M119" s="98"/>
    </row>
    <row r="120" spans="10:13" x14ac:dyDescent="0.2">
      <c r="J120" s="98"/>
      <c r="M120" s="98"/>
    </row>
    <row r="121" spans="10:13" x14ac:dyDescent="0.2">
      <c r="J121" s="98"/>
      <c r="M121" s="98"/>
    </row>
    <row r="122" spans="10:13" x14ac:dyDescent="0.2">
      <c r="J122" s="98"/>
      <c r="M122" s="98"/>
    </row>
    <row r="123" spans="10:13" x14ac:dyDescent="0.2">
      <c r="J123" s="98"/>
      <c r="M123" s="98"/>
    </row>
    <row r="124" spans="10:13" x14ac:dyDescent="0.2">
      <c r="J124" s="98"/>
      <c r="M124" s="98"/>
    </row>
    <row r="125" spans="10:13" x14ac:dyDescent="0.2">
      <c r="J125" s="98"/>
      <c r="M125" s="98"/>
    </row>
    <row r="126" spans="10:13" x14ac:dyDescent="0.2">
      <c r="J126" s="98"/>
      <c r="M126" s="98"/>
    </row>
    <row r="127" spans="10:13" x14ac:dyDescent="0.2">
      <c r="J127" s="98"/>
      <c r="M127" s="98"/>
    </row>
    <row r="128" spans="10:13" x14ac:dyDescent="0.2">
      <c r="J128" s="98"/>
      <c r="M128" s="98"/>
    </row>
    <row r="129" spans="10:13" x14ac:dyDescent="0.2">
      <c r="J129" s="98"/>
      <c r="M129" s="98"/>
    </row>
    <row r="130" spans="10:13" x14ac:dyDescent="0.2">
      <c r="J130" s="98"/>
      <c r="M130" s="98"/>
    </row>
    <row r="131" spans="10:13" x14ac:dyDescent="0.2">
      <c r="J131" s="98"/>
      <c r="M131" s="98"/>
    </row>
    <row r="132" spans="10:13" x14ac:dyDescent="0.2">
      <c r="J132" s="98"/>
      <c r="M132" s="98"/>
    </row>
    <row r="133" spans="10:13" x14ac:dyDescent="0.2">
      <c r="J133" s="98"/>
      <c r="M133" s="98"/>
    </row>
    <row r="134" spans="10:13" x14ac:dyDescent="0.2">
      <c r="J134" s="98"/>
      <c r="M134" s="98"/>
    </row>
    <row r="135" spans="10:13" x14ac:dyDescent="0.2">
      <c r="J135" s="98"/>
      <c r="M135" s="98"/>
    </row>
    <row r="136" spans="10:13" x14ac:dyDescent="0.2">
      <c r="J136" s="98"/>
      <c r="M136" s="98"/>
    </row>
    <row r="137" spans="10:13" x14ac:dyDescent="0.2">
      <c r="J137" s="98"/>
      <c r="M137" s="98"/>
    </row>
    <row r="138" spans="10:13" x14ac:dyDescent="0.2">
      <c r="J138" s="98"/>
      <c r="M138" s="98"/>
    </row>
    <row r="139" spans="10:13" x14ac:dyDescent="0.2">
      <c r="J139" s="98"/>
      <c r="M139" s="98"/>
    </row>
    <row r="140" spans="10:13" x14ac:dyDescent="0.2">
      <c r="J140" s="98"/>
      <c r="M140" s="98"/>
    </row>
    <row r="141" spans="10:13" x14ac:dyDescent="0.2">
      <c r="J141" s="98"/>
      <c r="M141" s="98"/>
    </row>
    <row r="142" spans="10:13" x14ac:dyDescent="0.2">
      <c r="J142" s="98"/>
      <c r="M142" s="98"/>
    </row>
    <row r="143" spans="10:13" x14ac:dyDescent="0.2">
      <c r="J143" s="98"/>
      <c r="M143" s="98"/>
    </row>
    <row r="144" spans="10:13" x14ac:dyDescent="0.2">
      <c r="J144" s="98"/>
      <c r="M144" s="98"/>
    </row>
    <row r="145" spans="10:13" x14ac:dyDescent="0.2">
      <c r="J145" s="98"/>
      <c r="M145" s="98"/>
    </row>
    <row r="146" spans="10:13" x14ac:dyDescent="0.2">
      <c r="J146" s="98"/>
      <c r="M146" s="98"/>
    </row>
    <row r="147" spans="10:13" x14ac:dyDescent="0.2">
      <c r="J147" s="98"/>
      <c r="M147" s="98"/>
    </row>
    <row r="148" spans="10:13" x14ac:dyDescent="0.2">
      <c r="J148" s="98"/>
      <c r="M148" s="98"/>
    </row>
    <row r="149" spans="10:13" x14ac:dyDescent="0.2">
      <c r="J149" s="98"/>
      <c r="M149" s="98"/>
    </row>
    <row r="150" spans="10:13" x14ac:dyDescent="0.2">
      <c r="J150" s="98"/>
      <c r="M150" s="98"/>
    </row>
    <row r="151" spans="10:13" x14ac:dyDescent="0.2">
      <c r="J151" s="98"/>
      <c r="M151" s="98"/>
    </row>
    <row r="152" spans="10:13" x14ac:dyDescent="0.2">
      <c r="J152" s="98"/>
      <c r="M152" s="98"/>
    </row>
    <row r="153" spans="10:13" x14ac:dyDescent="0.2">
      <c r="J153" s="98"/>
      <c r="M153" s="98"/>
    </row>
    <row r="154" spans="10:13" x14ac:dyDescent="0.2">
      <c r="J154" s="98"/>
      <c r="M154" s="98"/>
    </row>
    <row r="155" spans="10:13" x14ac:dyDescent="0.2">
      <c r="J155" s="98"/>
      <c r="M155" s="98"/>
    </row>
    <row r="156" spans="10:13" x14ac:dyDescent="0.2">
      <c r="J156" s="98"/>
      <c r="M156" s="98"/>
    </row>
    <row r="157" spans="10:13" x14ac:dyDescent="0.2">
      <c r="J157" s="98"/>
      <c r="M157" s="98"/>
    </row>
    <row r="158" spans="10:13" x14ac:dyDescent="0.2">
      <c r="J158" s="98"/>
      <c r="M158" s="98"/>
    </row>
    <row r="159" spans="10:13" x14ac:dyDescent="0.2">
      <c r="J159" s="98"/>
      <c r="M159" s="98"/>
    </row>
    <row r="160" spans="10:13" x14ac:dyDescent="0.2">
      <c r="J160" s="98"/>
      <c r="M160" s="98"/>
    </row>
    <row r="161" spans="10:13" x14ac:dyDescent="0.2">
      <c r="J161" s="98"/>
      <c r="M161" s="98"/>
    </row>
    <row r="162" spans="10:13" x14ac:dyDescent="0.2">
      <c r="J162" s="98"/>
      <c r="M162" s="98"/>
    </row>
    <row r="163" spans="10:13" x14ac:dyDescent="0.2">
      <c r="J163" s="98"/>
      <c r="M163" s="98"/>
    </row>
    <row r="164" spans="10:13" x14ac:dyDescent="0.2">
      <c r="J164" s="98"/>
      <c r="M164" s="98"/>
    </row>
    <row r="165" spans="10:13" x14ac:dyDescent="0.2">
      <c r="J165" s="98"/>
      <c r="M165" s="98"/>
    </row>
    <row r="166" spans="10:13" x14ac:dyDescent="0.2">
      <c r="J166" s="98"/>
      <c r="M166" s="98"/>
    </row>
    <row r="167" spans="10:13" x14ac:dyDescent="0.2">
      <c r="J167" s="98"/>
      <c r="M167" s="98"/>
    </row>
    <row r="168" spans="10:13" x14ac:dyDescent="0.2">
      <c r="J168" s="98"/>
      <c r="M168" s="98"/>
    </row>
    <row r="169" spans="10:13" x14ac:dyDescent="0.2">
      <c r="J169" s="98"/>
      <c r="M169" s="98"/>
    </row>
    <row r="170" spans="10:13" x14ac:dyDescent="0.2">
      <c r="J170" s="98"/>
      <c r="M170" s="98"/>
    </row>
    <row r="171" spans="10:13" x14ac:dyDescent="0.2">
      <c r="J171" s="98"/>
      <c r="M171" s="98"/>
    </row>
    <row r="172" spans="10:13" x14ac:dyDescent="0.2">
      <c r="J172" s="98"/>
      <c r="M172" s="98"/>
    </row>
    <row r="173" spans="10:13" x14ac:dyDescent="0.2">
      <c r="J173" s="98"/>
      <c r="M173" s="98"/>
    </row>
    <row r="174" spans="10:13" x14ac:dyDescent="0.2">
      <c r="J174" s="98"/>
      <c r="M174" s="98"/>
    </row>
    <row r="175" spans="10:13" x14ac:dyDescent="0.2">
      <c r="J175" s="98"/>
      <c r="M175" s="98"/>
    </row>
    <row r="176" spans="10:13" x14ac:dyDescent="0.2">
      <c r="J176" s="98"/>
      <c r="M176" s="98"/>
    </row>
    <row r="177" spans="10:13" x14ac:dyDescent="0.2">
      <c r="J177" s="98"/>
      <c r="M177" s="98"/>
    </row>
    <row r="178" spans="10:13" x14ac:dyDescent="0.2">
      <c r="J178" s="98"/>
      <c r="M178" s="98"/>
    </row>
    <row r="179" spans="10:13" x14ac:dyDescent="0.2">
      <c r="J179" s="98"/>
      <c r="M179" s="98"/>
    </row>
    <row r="180" spans="10:13" x14ac:dyDescent="0.2">
      <c r="J180" s="98"/>
      <c r="M180" s="98"/>
    </row>
    <row r="181" spans="10:13" x14ac:dyDescent="0.2">
      <c r="J181" s="98"/>
      <c r="M181" s="98"/>
    </row>
    <row r="182" spans="10:13" x14ac:dyDescent="0.2">
      <c r="J182" s="98"/>
      <c r="M182" s="98"/>
    </row>
    <row r="183" spans="10:13" x14ac:dyDescent="0.2">
      <c r="J183" s="98"/>
      <c r="M183" s="98"/>
    </row>
    <row r="184" spans="10:13" x14ac:dyDescent="0.2">
      <c r="J184" s="98"/>
      <c r="M184" s="98"/>
    </row>
    <row r="185" spans="10:13" x14ac:dyDescent="0.2">
      <c r="J185" s="98"/>
      <c r="M185" s="98"/>
    </row>
    <row r="186" spans="10:13" x14ac:dyDescent="0.2">
      <c r="J186" s="98"/>
      <c r="M186" s="98"/>
    </row>
    <row r="187" spans="10:13" x14ac:dyDescent="0.2">
      <c r="J187" s="98"/>
      <c r="M187" s="98"/>
    </row>
    <row r="188" spans="10:13" x14ac:dyDescent="0.2">
      <c r="J188" s="98"/>
      <c r="M188" s="98"/>
    </row>
    <row r="189" spans="10:13" x14ac:dyDescent="0.2">
      <c r="J189" s="98"/>
      <c r="M189" s="98"/>
    </row>
    <row r="190" spans="10:13" x14ac:dyDescent="0.2">
      <c r="J190" s="98"/>
      <c r="M190" s="98"/>
    </row>
    <row r="191" spans="10:13" x14ac:dyDescent="0.2">
      <c r="J191" s="98"/>
      <c r="M191" s="98"/>
    </row>
    <row r="192" spans="10:13" x14ac:dyDescent="0.2">
      <c r="J192" s="98"/>
      <c r="M192" s="98"/>
    </row>
    <row r="193" spans="10:13" x14ac:dyDescent="0.2">
      <c r="J193" s="98"/>
      <c r="M193" s="98"/>
    </row>
    <row r="194" spans="10:13" x14ac:dyDescent="0.2">
      <c r="J194" s="98"/>
      <c r="M194" s="98"/>
    </row>
    <row r="195" spans="10:13" x14ac:dyDescent="0.2">
      <c r="J195" s="98"/>
      <c r="M195" s="98"/>
    </row>
    <row r="196" spans="10:13" x14ac:dyDescent="0.2">
      <c r="J196" s="98"/>
      <c r="M196" s="98"/>
    </row>
    <row r="197" spans="10:13" x14ac:dyDescent="0.2">
      <c r="J197" s="98"/>
      <c r="M197" s="98"/>
    </row>
    <row r="198" spans="10:13" x14ac:dyDescent="0.2">
      <c r="J198" s="98"/>
      <c r="M198" s="98"/>
    </row>
    <row r="199" spans="10:13" x14ac:dyDescent="0.2">
      <c r="J199" s="98"/>
      <c r="M199" s="98"/>
    </row>
    <row r="200" spans="10:13" x14ac:dyDescent="0.2">
      <c r="J200" s="98"/>
      <c r="M200" s="98"/>
    </row>
    <row r="201" spans="10:13" x14ac:dyDescent="0.2">
      <c r="J201" s="98"/>
      <c r="M201" s="98"/>
    </row>
    <row r="202" spans="10:13" x14ac:dyDescent="0.2">
      <c r="J202" s="98"/>
      <c r="M202" s="98"/>
    </row>
    <row r="203" spans="10:13" x14ac:dyDescent="0.2">
      <c r="J203" s="98"/>
      <c r="M203" s="98"/>
    </row>
    <row r="204" spans="10:13" x14ac:dyDescent="0.2">
      <c r="J204" s="98"/>
      <c r="M204" s="98"/>
    </row>
    <row r="205" spans="10:13" x14ac:dyDescent="0.2">
      <c r="J205" s="98"/>
      <c r="M205" s="98"/>
    </row>
    <row r="206" spans="10:13" x14ac:dyDescent="0.2">
      <c r="J206" s="98"/>
      <c r="M206" s="98"/>
    </row>
    <row r="207" spans="10:13" x14ac:dyDescent="0.2">
      <c r="J207" s="98"/>
      <c r="M207" s="98"/>
    </row>
    <row r="208" spans="10:13" x14ac:dyDescent="0.2">
      <c r="J208" s="98"/>
      <c r="M208" s="98"/>
    </row>
    <row r="209" spans="10:13" x14ac:dyDescent="0.2">
      <c r="J209" s="98"/>
      <c r="M209" s="98"/>
    </row>
    <row r="210" spans="10:13" x14ac:dyDescent="0.2">
      <c r="J210" s="98"/>
      <c r="M210" s="98"/>
    </row>
    <row r="211" spans="10:13" x14ac:dyDescent="0.2">
      <c r="J211" s="98"/>
      <c r="M211" s="98"/>
    </row>
    <row r="212" spans="10:13" x14ac:dyDescent="0.2">
      <c r="J212" s="98"/>
      <c r="M212" s="98"/>
    </row>
    <row r="213" spans="10:13" x14ac:dyDescent="0.2">
      <c r="J213" s="98"/>
      <c r="M213" s="98"/>
    </row>
    <row r="214" spans="10:13" x14ac:dyDescent="0.2">
      <c r="J214" s="98"/>
      <c r="M214" s="98"/>
    </row>
    <row r="215" spans="10:13" x14ac:dyDescent="0.2">
      <c r="J215" s="98"/>
      <c r="M215" s="98"/>
    </row>
    <row r="216" spans="10:13" x14ac:dyDescent="0.2">
      <c r="J216" s="98"/>
      <c r="M216" s="98"/>
    </row>
    <row r="217" spans="10:13" x14ac:dyDescent="0.2">
      <c r="J217" s="98"/>
      <c r="M217" s="98"/>
    </row>
    <row r="218" spans="10:13" x14ac:dyDescent="0.2">
      <c r="J218" s="98"/>
      <c r="M218" s="98"/>
    </row>
    <row r="219" spans="10:13" x14ac:dyDescent="0.2">
      <c r="J219" s="98"/>
      <c r="M219" s="98"/>
    </row>
    <row r="220" spans="10:13" x14ac:dyDescent="0.2">
      <c r="J220" s="98"/>
      <c r="M220" s="98"/>
    </row>
    <row r="221" spans="10:13" x14ac:dyDescent="0.2">
      <c r="J221" s="98"/>
      <c r="M221" s="98"/>
    </row>
    <row r="222" spans="10:13" x14ac:dyDescent="0.2">
      <c r="J222" s="98"/>
      <c r="M222" s="98"/>
    </row>
    <row r="223" spans="10:13" x14ac:dyDescent="0.2">
      <c r="J223" s="98"/>
      <c r="M223" s="98"/>
    </row>
    <row r="224" spans="10:13" x14ac:dyDescent="0.2">
      <c r="J224" s="98"/>
      <c r="M224" s="98"/>
    </row>
    <row r="225" spans="10:13" x14ac:dyDescent="0.2">
      <c r="J225" s="98"/>
      <c r="M225" s="98"/>
    </row>
    <row r="226" spans="10:13" x14ac:dyDescent="0.2">
      <c r="J226" s="98"/>
      <c r="M226" s="98"/>
    </row>
    <row r="227" spans="10:13" x14ac:dyDescent="0.2">
      <c r="J227" s="98"/>
      <c r="M227" s="98"/>
    </row>
    <row r="228" spans="10:13" x14ac:dyDescent="0.2">
      <c r="J228" s="98"/>
      <c r="M228" s="98"/>
    </row>
    <row r="229" spans="10:13" x14ac:dyDescent="0.2">
      <c r="J229" s="98"/>
      <c r="M229" s="98"/>
    </row>
    <row r="230" spans="10:13" x14ac:dyDescent="0.2">
      <c r="J230" s="98"/>
      <c r="M230" s="98"/>
    </row>
    <row r="231" spans="10:13" x14ac:dyDescent="0.2">
      <c r="J231" s="98"/>
      <c r="M231" s="98"/>
    </row>
    <row r="232" spans="10:13" x14ac:dyDescent="0.2">
      <c r="J232" s="98"/>
      <c r="M232" s="98"/>
    </row>
    <row r="233" spans="10:13" x14ac:dyDescent="0.2">
      <c r="J233" s="98"/>
      <c r="M233" s="98"/>
    </row>
    <row r="234" spans="10:13" x14ac:dyDescent="0.2">
      <c r="J234" s="98"/>
      <c r="M234" s="98"/>
    </row>
    <row r="235" spans="10:13" x14ac:dyDescent="0.2">
      <c r="J235" s="98"/>
      <c r="M235" s="98"/>
    </row>
    <row r="236" spans="10:13" x14ac:dyDescent="0.2">
      <c r="J236" s="98"/>
      <c r="M236" s="98"/>
    </row>
    <row r="237" spans="10:13" x14ac:dyDescent="0.2">
      <c r="J237" s="98"/>
      <c r="M237" s="98"/>
    </row>
    <row r="238" spans="10:13" x14ac:dyDescent="0.2">
      <c r="J238" s="98"/>
      <c r="M238" s="98"/>
    </row>
    <row r="239" spans="10:13" x14ac:dyDescent="0.2">
      <c r="J239" s="98"/>
      <c r="M239" s="98"/>
    </row>
    <row r="240" spans="10:13" x14ac:dyDescent="0.2">
      <c r="J240" s="98"/>
      <c r="M240" s="98"/>
    </row>
    <row r="241" spans="10:13" x14ac:dyDescent="0.2">
      <c r="J241" s="98"/>
      <c r="M241" s="98"/>
    </row>
    <row r="242" spans="10:13" x14ac:dyDescent="0.2">
      <c r="J242" s="98"/>
      <c r="M242" s="98"/>
    </row>
    <row r="243" spans="10:13" x14ac:dyDescent="0.2">
      <c r="J243" s="98"/>
      <c r="M243" s="98"/>
    </row>
    <row r="244" spans="10:13" x14ac:dyDescent="0.2">
      <c r="J244" s="98"/>
      <c r="M244" s="98"/>
    </row>
    <row r="245" spans="10:13" x14ac:dyDescent="0.2">
      <c r="J245" s="98"/>
      <c r="M245" s="98"/>
    </row>
    <row r="246" spans="10:13" x14ac:dyDescent="0.2">
      <c r="J246" s="98"/>
      <c r="M246" s="98"/>
    </row>
    <row r="247" spans="10:13" x14ac:dyDescent="0.2">
      <c r="J247" s="98"/>
      <c r="M247" s="98"/>
    </row>
    <row r="248" spans="10:13" x14ac:dyDescent="0.2">
      <c r="J248" s="98"/>
      <c r="M248" s="98"/>
    </row>
    <row r="249" spans="10:13" x14ac:dyDescent="0.2">
      <c r="J249" s="98"/>
      <c r="M249" s="98"/>
    </row>
    <row r="250" spans="10:13" x14ac:dyDescent="0.2">
      <c r="J250" s="98"/>
      <c r="M250" s="98"/>
    </row>
    <row r="251" spans="10:13" x14ac:dyDescent="0.2">
      <c r="J251" s="98"/>
      <c r="M251" s="98"/>
    </row>
    <row r="252" spans="10:13" x14ac:dyDescent="0.2">
      <c r="J252" s="98"/>
      <c r="M252" s="98"/>
    </row>
    <row r="253" spans="10:13" x14ac:dyDescent="0.2">
      <c r="J253" s="98"/>
      <c r="M253" s="98"/>
    </row>
    <row r="254" spans="10:13" x14ac:dyDescent="0.2">
      <c r="J254" s="98"/>
      <c r="M254" s="98"/>
    </row>
    <row r="255" spans="10:13" x14ac:dyDescent="0.2">
      <c r="J255" s="98"/>
      <c r="M255" s="98"/>
    </row>
    <row r="256" spans="10:13" x14ac:dyDescent="0.2">
      <c r="J256" s="98"/>
      <c r="M256" s="98"/>
    </row>
    <row r="257" spans="10:13" x14ac:dyDescent="0.2">
      <c r="J257" s="98"/>
      <c r="M257" s="98"/>
    </row>
    <row r="258" spans="10:13" x14ac:dyDescent="0.2">
      <c r="J258" s="98"/>
      <c r="M258" s="98"/>
    </row>
    <row r="259" spans="10:13" x14ac:dyDescent="0.2">
      <c r="J259" s="98"/>
      <c r="M259" s="98"/>
    </row>
    <row r="260" spans="10:13" x14ac:dyDescent="0.2">
      <c r="J260" s="98"/>
      <c r="M260" s="98"/>
    </row>
    <row r="261" spans="10:13" x14ac:dyDescent="0.2">
      <c r="J261" s="98"/>
      <c r="M261" s="98"/>
    </row>
    <row r="262" spans="10:13" x14ac:dyDescent="0.2">
      <c r="J262" s="98"/>
      <c r="M262" s="98"/>
    </row>
    <row r="263" spans="10:13" x14ac:dyDescent="0.2">
      <c r="J263" s="98"/>
      <c r="M263" s="98"/>
    </row>
    <row r="264" spans="10:13" x14ac:dyDescent="0.2">
      <c r="J264" s="98"/>
      <c r="M264" s="98"/>
    </row>
    <row r="265" spans="10:13" x14ac:dyDescent="0.2">
      <c r="J265" s="98"/>
      <c r="M265" s="98"/>
    </row>
    <row r="266" spans="10:13" x14ac:dyDescent="0.2">
      <c r="J266" s="98"/>
      <c r="M266" s="98"/>
    </row>
    <row r="267" spans="10:13" x14ac:dyDescent="0.2">
      <c r="J267" s="98"/>
      <c r="M267" s="98"/>
    </row>
    <row r="268" spans="10:13" x14ac:dyDescent="0.2">
      <c r="J268" s="98"/>
      <c r="M268" s="98"/>
    </row>
    <row r="269" spans="10:13" x14ac:dyDescent="0.2">
      <c r="J269" s="98"/>
      <c r="M269" s="98"/>
    </row>
    <row r="270" spans="10:13" x14ac:dyDescent="0.2">
      <c r="J270" s="98"/>
      <c r="M270" s="98"/>
    </row>
    <row r="271" spans="10:13" x14ac:dyDescent="0.2">
      <c r="J271" s="98"/>
      <c r="M271" s="98"/>
    </row>
    <row r="272" spans="10:13" x14ac:dyDescent="0.2">
      <c r="J272" s="98"/>
      <c r="M272" s="98"/>
    </row>
    <row r="273" spans="10:13" x14ac:dyDescent="0.2">
      <c r="J273" s="98"/>
      <c r="M273" s="98"/>
    </row>
    <row r="274" spans="10:13" x14ac:dyDescent="0.2">
      <c r="J274" s="98"/>
      <c r="M274" s="98"/>
    </row>
    <row r="275" spans="10:13" x14ac:dyDescent="0.2">
      <c r="J275" s="98"/>
      <c r="M275" s="98"/>
    </row>
    <row r="276" spans="10:13" x14ac:dyDescent="0.2">
      <c r="J276" s="98"/>
      <c r="M276" s="98"/>
    </row>
    <row r="277" spans="10:13" x14ac:dyDescent="0.2">
      <c r="J277" s="98"/>
      <c r="M277" s="98"/>
    </row>
    <row r="278" spans="10:13" x14ac:dyDescent="0.2">
      <c r="J278" s="98"/>
      <c r="M278" s="98"/>
    </row>
    <row r="279" spans="10:13" x14ac:dyDescent="0.2">
      <c r="J279" s="98"/>
      <c r="M279" s="98"/>
    </row>
    <row r="280" spans="10:13" x14ac:dyDescent="0.2">
      <c r="J280" s="98"/>
      <c r="M280" s="98"/>
    </row>
    <row r="281" spans="10:13" x14ac:dyDescent="0.2">
      <c r="J281" s="98"/>
      <c r="M281" s="98"/>
    </row>
    <row r="282" spans="10:13" x14ac:dyDescent="0.2">
      <c r="J282" s="98"/>
      <c r="M282" s="98"/>
    </row>
    <row r="283" spans="10:13" x14ac:dyDescent="0.2">
      <c r="J283" s="98"/>
      <c r="M283" s="98"/>
    </row>
    <row r="284" spans="10:13" x14ac:dyDescent="0.2">
      <c r="J284" s="98"/>
      <c r="M284" s="98"/>
    </row>
    <row r="285" spans="10:13" x14ac:dyDescent="0.2">
      <c r="J285" s="98"/>
      <c r="M285" s="98"/>
    </row>
    <row r="286" spans="10:13" x14ac:dyDescent="0.2">
      <c r="J286" s="98"/>
      <c r="M286" s="98"/>
    </row>
    <row r="287" spans="10:13" x14ac:dyDescent="0.2">
      <c r="J287" s="98"/>
      <c r="M287" s="98"/>
    </row>
    <row r="288" spans="10:13" x14ac:dyDescent="0.2">
      <c r="J288" s="98"/>
      <c r="M288" s="98"/>
    </row>
    <row r="289" spans="10:13" x14ac:dyDescent="0.2">
      <c r="J289" s="98"/>
      <c r="M289" s="98"/>
    </row>
    <row r="290" spans="10:13" x14ac:dyDescent="0.2">
      <c r="J290" s="98"/>
      <c r="M290" s="98"/>
    </row>
    <row r="291" spans="10:13" x14ac:dyDescent="0.2">
      <c r="J291" s="98"/>
      <c r="M291" s="98"/>
    </row>
    <row r="292" spans="10:13" x14ac:dyDescent="0.2">
      <c r="J292" s="98"/>
      <c r="M292" s="98"/>
    </row>
    <row r="293" spans="10:13" x14ac:dyDescent="0.2">
      <c r="J293" s="98"/>
      <c r="M293" s="98"/>
    </row>
    <row r="294" spans="10:13" x14ac:dyDescent="0.2">
      <c r="J294" s="98"/>
      <c r="M294" s="98"/>
    </row>
    <row r="295" spans="10:13" x14ac:dyDescent="0.2">
      <c r="J295" s="98"/>
      <c r="M295" s="98"/>
    </row>
    <row r="296" spans="10:13" x14ac:dyDescent="0.2">
      <c r="J296" s="98"/>
      <c r="M296" s="98"/>
    </row>
    <row r="297" spans="10:13" x14ac:dyDescent="0.2">
      <c r="J297" s="98"/>
      <c r="M297" s="98"/>
    </row>
    <row r="298" spans="10:13" x14ac:dyDescent="0.2">
      <c r="J298" s="98"/>
      <c r="M298" s="98"/>
    </row>
    <row r="299" spans="10:13" x14ac:dyDescent="0.2">
      <c r="J299" s="98"/>
      <c r="M299" s="98"/>
    </row>
    <row r="300" spans="10:13" x14ac:dyDescent="0.2">
      <c r="J300" s="98"/>
      <c r="M300" s="98"/>
    </row>
    <row r="301" spans="10:13" x14ac:dyDescent="0.2">
      <c r="J301" s="98"/>
      <c r="M301" s="98"/>
    </row>
    <row r="302" spans="10:13" x14ac:dyDescent="0.2">
      <c r="J302" s="98"/>
      <c r="M302" s="98"/>
    </row>
    <row r="303" spans="10:13" x14ac:dyDescent="0.2">
      <c r="J303" s="98"/>
      <c r="M303" s="98"/>
    </row>
    <row r="304" spans="10:13" x14ac:dyDescent="0.2">
      <c r="J304" s="98"/>
      <c r="M304" s="98"/>
    </row>
    <row r="305" spans="10:13" x14ac:dyDescent="0.2">
      <c r="J305" s="98"/>
      <c r="M305" s="98"/>
    </row>
    <row r="306" spans="10:13" x14ac:dyDescent="0.2">
      <c r="J306" s="98"/>
      <c r="M306" s="98"/>
    </row>
    <row r="307" spans="10:13" x14ac:dyDescent="0.2">
      <c r="J307" s="98"/>
      <c r="M307" s="98"/>
    </row>
    <row r="308" spans="10:13" x14ac:dyDescent="0.2">
      <c r="J308" s="98"/>
      <c r="M308" s="98"/>
    </row>
    <row r="309" spans="10:13" x14ac:dyDescent="0.2">
      <c r="J309" s="98"/>
      <c r="M309" s="98"/>
    </row>
    <row r="310" spans="10:13" x14ac:dyDescent="0.2">
      <c r="J310" s="98"/>
      <c r="M310" s="98"/>
    </row>
    <row r="311" spans="10:13" x14ac:dyDescent="0.2">
      <c r="J311" s="98"/>
      <c r="M311" s="98"/>
    </row>
    <row r="312" spans="10:13" x14ac:dyDescent="0.2">
      <c r="J312" s="98"/>
      <c r="M312" s="98"/>
    </row>
    <row r="313" spans="10:13" x14ac:dyDescent="0.2">
      <c r="J313" s="98"/>
      <c r="M313" s="98"/>
    </row>
    <row r="314" spans="10:13" x14ac:dyDescent="0.2">
      <c r="J314" s="98"/>
      <c r="M314" s="98"/>
    </row>
    <row r="315" spans="10:13" x14ac:dyDescent="0.2">
      <c r="J315" s="98"/>
      <c r="M315" s="98"/>
    </row>
    <row r="316" spans="10:13" x14ac:dyDescent="0.2">
      <c r="J316" s="98"/>
      <c r="M316" s="98"/>
    </row>
    <row r="317" spans="10:13" x14ac:dyDescent="0.2">
      <c r="J317" s="98"/>
      <c r="M317" s="98"/>
    </row>
    <row r="318" spans="10:13" x14ac:dyDescent="0.2">
      <c r="J318" s="98"/>
      <c r="M318" s="98"/>
    </row>
    <row r="319" spans="10:13" x14ac:dyDescent="0.2">
      <c r="J319" s="98"/>
      <c r="M319" s="98"/>
    </row>
    <row r="320" spans="10:13" x14ac:dyDescent="0.2">
      <c r="J320" s="98"/>
      <c r="M320" s="98"/>
    </row>
    <row r="321" spans="10:13" x14ac:dyDescent="0.2">
      <c r="J321" s="98"/>
      <c r="M321" s="98"/>
    </row>
    <row r="322" spans="10:13" x14ac:dyDescent="0.2">
      <c r="J322" s="98"/>
      <c r="M322" s="98"/>
    </row>
    <row r="323" spans="10:13" x14ac:dyDescent="0.2">
      <c r="J323" s="98"/>
      <c r="M323" s="98"/>
    </row>
    <row r="324" spans="10:13" x14ac:dyDescent="0.2">
      <c r="J324" s="98"/>
      <c r="M324" s="98"/>
    </row>
    <row r="325" spans="10:13" x14ac:dyDescent="0.2">
      <c r="J325" s="98"/>
      <c r="M325" s="98"/>
    </row>
    <row r="326" spans="10:13" x14ac:dyDescent="0.2">
      <c r="J326" s="98"/>
      <c r="M326" s="98"/>
    </row>
    <row r="327" spans="10:13" x14ac:dyDescent="0.2">
      <c r="J327" s="98"/>
      <c r="M327" s="98"/>
    </row>
    <row r="328" spans="10:13" x14ac:dyDescent="0.2">
      <c r="J328" s="98"/>
      <c r="M328" s="98"/>
    </row>
    <row r="329" spans="10:13" x14ac:dyDescent="0.2">
      <c r="J329" s="98"/>
      <c r="M329" s="98"/>
    </row>
    <row r="330" spans="10:13" x14ac:dyDescent="0.2">
      <c r="J330" s="98"/>
      <c r="M330" s="98"/>
    </row>
    <row r="331" spans="10:13" x14ac:dyDescent="0.2">
      <c r="J331" s="98"/>
      <c r="M331" s="98"/>
    </row>
    <row r="332" spans="10:13" x14ac:dyDescent="0.2">
      <c r="J332" s="98"/>
      <c r="M332" s="98"/>
    </row>
    <row r="333" spans="10:13" x14ac:dyDescent="0.2">
      <c r="J333" s="98"/>
      <c r="M333" s="98"/>
    </row>
    <row r="334" spans="10:13" x14ac:dyDescent="0.2">
      <c r="J334" s="98"/>
      <c r="M334" s="98"/>
    </row>
    <row r="335" spans="10:13" x14ac:dyDescent="0.2">
      <c r="J335" s="98"/>
      <c r="M335" s="98"/>
    </row>
    <row r="336" spans="10:13" x14ac:dyDescent="0.2">
      <c r="J336" s="98"/>
      <c r="M336" s="98"/>
    </row>
    <row r="337" spans="10:13" x14ac:dyDescent="0.2">
      <c r="J337" s="98"/>
      <c r="M337" s="98"/>
    </row>
    <row r="338" spans="10:13" x14ac:dyDescent="0.2">
      <c r="J338" s="98"/>
      <c r="M338" s="98"/>
    </row>
    <row r="339" spans="10:13" x14ac:dyDescent="0.2">
      <c r="J339" s="98"/>
      <c r="M339" s="98"/>
    </row>
    <row r="340" spans="10:13" x14ac:dyDescent="0.2">
      <c r="J340" s="98"/>
      <c r="M340" s="98"/>
    </row>
    <row r="341" spans="10:13" x14ac:dyDescent="0.2">
      <c r="J341" s="98"/>
      <c r="M341" s="98"/>
    </row>
    <row r="342" spans="10:13" x14ac:dyDescent="0.2">
      <c r="J342" s="98"/>
      <c r="M342" s="98"/>
    </row>
    <row r="343" spans="10:13" x14ac:dyDescent="0.2">
      <c r="J343" s="98"/>
      <c r="M343" s="98"/>
    </row>
    <row r="344" spans="10:13" x14ac:dyDescent="0.2">
      <c r="J344" s="98"/>
      <c r="M344" s="98"/>
    </row>
    <row r="345" spans="10:13" x14ac:dyDescent="0.2">
      <c r="J345" s="98"/>
      <c r="M345" s="98"/>
    </row>
    <row r="346" spans="10:13" x14ac:dyDescent="0.2">
      <c r="J346" s="98"/>
      <c r="M346" s="98"/>
    </row>
    <row r="347" spans="10:13" x14ac:dyDescent="0.2">
      <c r="J347" s="98"/>
      <c r="M347" s="98"/>
    </row>
    <row r="348" spans="10:13" x14ac:dyDescent="0.2">
      <c r="J348" s="98"/>
      <c r="M348" s="98"/>
    </row>
    <row r="349" spans="10:13" x14ac:dyDescent="0.2">
      <c r="J349" s="98"/>
      <c r="M349" s="98"/>
    </row>
    <row r="350" spans="10:13" x14ac:dyDescent="0.2">
      <c r="J350" s="98"/>
      <c r="M350" s="98"/>
    </row>
    <row r="351" spans="10:13" x14ac:dyDescent="0.2">
      <c r="J351" s="98"/>
      <c r="M351" s="98"/>
    </row>
    <row r="352" spans="10:13" x14ac:dyDescent="0.2">
      <c r="J352" s="98"/>
      <c r="M352" s="98"/>
    </row>
    <row r="353" spans="10:13" x14ac:dyDescent="0.2">
      <c r="J353" s="98"/>
      <c r="M353" s="98"/>
    </row>
    <row r="354" spans="10:13" x14ac:dyDescent="0.2">
      <c r="J354" s="98"/>
      <c r="M354" s="98"/>
    </row>
    <row r="355" spans="10:13" x14ac:dyDescent="0.2">
      <c r="J355" s="98"/>
      <c r="M355" s="98"/>
    </row>
    <row r="356" spans="10:13" x14ac:dyDescent="0.2">
      <c r="J356" s="98"/>
      <c r="M356" s="98"/>
    </row>
    <row r="357" spans="10:13" x14ac:dyDescent="0.2">
      <c r="J357" s="98"/>
      <c r="M357" s="98"/>
    </row>
    <row r="358" spans="10:13" x14ac:dyDescent="0.2">
      <c r="J358" s="98"/>
      <c r="M358" s="98"/>
    </row>
    <row r="359" spans="10:13" x14ac:dyDescent="0.2">
      <c r="J359" s="98"/>
      <c r="M359" s="98"/>
    </row>
    <row r="360" spans="10:13" x14ac:dyDescent="0.2">
      <c r="J360" s="98"/>
      <c r="M360" s="98"/>
    </row>
    <row r="361" spans="10:13" x14ac:dyDescent="0.2">
      <c r="J361" s="98"/>
      <c r="M361" s="98"/>
    </row>
    <row r="362" spans="10:13" x14ac:dyDescent="0.2">
      <c r="J362" s="98"/>
      <c r="M362" s="98"/>
    </row>
    <row r="363" spans="10:13" x14ac:dyDescent="0.2">
      <c r="J363" s="98"/>
      <c r="M363" s="98"/>
    </row>
    <row r="364" spans="10:13" x14ac:dyDescent="0.2">
      <c r="J364" s="98"/>
      <c r="M364" s="98"/>
    </row>
    <row r="365" spans="10:13" x14ac:dyDescent="0.2">
      <c r="J365" s="98"/>
      <c r="M365" s="98"/>
    </row>
    <row r="366" spans="10:13" x14ac:dyDescent="0.2">
      <c r="J366" s="98"/>
      <c r="M366" s="98"/>
    </row>
    <row r="367" spans="10:13" x14ac:dyDescent="0.2">
      <c r="J367" s="98"/>
      <c r="M367" s="98"/>
    </row>
    <row r="368" spans="10:13" x14ac:dyDescent="0.2">
      <c r="J368" s="98"/>
      <c r="M368" s="98"/>
    </row>
    <row r="369" spans="10:13" x14ac:dyDescent="0.2">
      <c r="J369" s="98"/>
      <c r="M369" s="98"/>
    </row>
    <row r="370" spans="10:13" x14ac:dyDescent="0.2">
      <c r="J370" s="98"/>
      <c r="M370" s="98"/>
    </row>
    <row r="371" spans="10:13" x14ac:dyDescent="0.2">
      <c r="J371" s="98"/>
      <c r="M371" s="98"/>
    </row>
    <row r="372" spans="10:13" x14ac:dyDescent="0.2">
      <c r="J372" s="98"/>
      <c r="M372" s="98"/>
    </row>
    <row r="373" spans="10:13" x14ac:dyDescent="0.2">
      <c r="J373" s="98"/>
      <c r="M373" s="98"/>
    </row>
    <row r="374" spans="10:13" x14ac:dyDescent="0.2">
      <c r="J374" s="98"/>
      <c r="M374" s="98"/>
    </row>
    <row r="375" spans="10:13" x14ac:dyDescent="0.2">
      <c r="J375" s="98"/>
      <c r="M375" s="98"/>
    </row>
    <row r="376" spans="10:13" x14ac:dyDescent="0.2">
      <c r="J376" s="98"/>
      <c r="M376" s="98"/>
    </row>
    <row r="377" spans="10:13" x14ac:dyDescent="0.2">
      <c r="J377" s="98"/>
      <c r="M377" s="98"/>
    </row>
    <row r="378" spans="10:13" x14ac:dyDescent="0.2">
      <c r="J378" s="98"/>
      <c r="M378" s="98"/>
    </row>
    <row r="379" spans="10:13" x14ac:dyDescent="0.2">
      <c r="J379" s="98"/>
      <c r="M379" s="98"/>
    </row>
    <row r="380" spans="10:13" x14ac:dyDescent="0.2">
      <c r="J380" s="98"/>
      <c r="M380" s="98"/>
    </row>
    <row r="381" spans="10:13" x14ac:dyDescent="0.2">
      <c r="J381" s="98"/>
      <c r="M381" s="98"/>
    </row>
    <row r="382" spans="10:13" x14ac:dyDescent="0.2">
      <c r="J382" s="98"/>
      <c r="M382" s="98"/>
    </row>
    <row r="383" spans="10:13" x14ac:dyDescent="0.2">
      <c r="J383" s="98"/>
      <c r="M383" s="98"/>
    </row>
    <row r="384" spans="10:13" x14ac:dyDescent="0.2">
      <c r="J384" s="98"/>
      <c r="M384" s="98"/>
    </row>
    <row r="385" spans="10:13" x14ac:dyDescent="0.2">
      <c r="J385" s="98"/>
      <c r="M385" s="98"/>
    </row>
    <row r="386" spans="10:13" x14ac:dyDescent="0.2">
      <c r="J386" s="98"/>
      <c r="M386" s="98"/>
    </row>
    <row r="387" spans="10:13" x14ac:dyDescent="0.2">
      <c r="J387" s="98"/>
      <c r="M387" s="98"/>
    </row>
    <row r="388" spans="10:13" x14ac:dyDescent="0.2">
      <c r="J388" s="98"/>
      <c r="M388" s="98"/>
    </row>
    <row r="389" spans="10:13" x14ac:dyDescent="0.2">
      <c r="J389" s="98"/>
      <c r="M389" s="98"/>
    </row>
    <row r="390" spans="10:13" x14ac:dyDescent="0.2">
      <c r="J390" s="98"/>
      <c r="M390" s="98"/>
    </row>
    <row r="391" spans="10:13" x14ac:dyDescent="0.2">
      <c r="J391" s="98"/>
      <c r="M391" s="98"/>
    </row>
    <row r="392" spans="10:13" x14ac:dyDescent="0.2">
      <c r="J392" s="98"/>
      <c r="M392" s="98"/>
    </row>
    <row r="393" spans="10:13" x14ac:dyDescent="0.2">
      <c r="J393" s="98"/>
      <c r="M393" s="98"/>
    </row>
    <row r="394" spans="10:13" x14ac:dyDescent="0.2">
      <c r="J394" s="98"/>
      <c r="M394" s="98"/>
    </row>
    <row r="395" spans="10:13" x14ac:dyDescent="0.2">
      <c r="J395" s="98"/>
      <c r="M395" s="98"/>
    </row>
    <row r="396" spans="10:13" x14ac:dyDescent="0.2">
      <c r="J396" s="98"/>
      <c r="M396" s="98"/>
    </row>
    <row r="397" spans="10:13" x14ac:dyDescent="0.2">
      <c r="J397" s="98"/>
      <c r="M397" s="98"/>
    </row>
    <row r="398" spans="10:13" x14ac:dyDescent="0.2">
      <c r="J398" s="98"/>
      <c r="M398" s="98"/>
    </row>
    <row r="399" spans="10:13" x14ac:dyDescent="0.2">
      <c r="J399" s="98"/>
      <c r="M399" s="98"/>
    </row>
    <row r="400" spans="10:13" x14ac:dyDescent="0.2">
      <c r="J400" s="98"/>
      <c r="M400" s="98"/>
    </row>
    <row r="401" spans="10:13" x14ac:dyDescent="0.2">
      <c r="J401" s="98"/>
      <c r="M401" s="98"/>
    </row>
    <row r="402" spans="10:13" x14ac:dyDescent="0.2">
      <c r="J402" s="98"/>
      <c r="M402" s="98"/>
    </row>
    <row r="403" spans="10:13" x14ac:dyDescent="0.2">
      <c r="J403" s="98"/>
      <c r="M403" s="98"/>
    </row>
    <row r="404" spans="10:13" x14ac:dyDescent="0.2">
      <c r="J404" s="98"/>
      <c r="M404" s="98"/>
    </row>
    <row r="405" spans="10:13" x14ac:dyDescent="0.2">
      <c r="J405" s="98"/>
      <c r="M405" s="98"/>
    </row>
    <row r="406" spans="10:13" x14ac:dyDescent="0.2">
      <c r="J406" s="98"/>
      <c r="M406" s="98"/>
    </row>
    <row r="407" spans="10:13" x14ac:dyDescent="0.2">
      <c r="J407" s="98"/>
      <c r="M407" s="98"/>
    </row>
    <row r="408" spans="10:13" x14ac:dyDescent="0.2">
      <c r="J408" s="98"/>
      <c r="M408" s="98"/>
    </row>
    <row r="409" spans="10:13" x14ac:dyDescent="0.2">
      <c r="J409" s="98"/>
      <c r="M409" s="98"/>
    </row>
    <row r="410" spans="10:13" x14ac:dyDescent="0.2">
      <c r="J410" s="98"/>
      <c r="M410" s="98"/>
    </row>
    <row r="411" spans="10:13" x14ac:dyDescent="0.2">
      <c r="J411" s="98"/>
      <c r="M411" s="98"/>
    </row>
    <row r="412" spans="10:13" x14ac:dyDescent="0.2">
      <c r="J412" s="98"/>
      <c r="M412" s="98"/>
    </row>
    <row r="413" spans="10:13" x14ac:dyDescent="0.2">
      <c r="J413" s="98"/>
      <c r="M413" s="98"/>
    </row>
    <row r="414" spans="10:13" x14ac:dyDescent="0.2">
      <c r="J414" s="98"/>
      <c r="M414" s="98"/>
    </row>
    <row r="415" spans="10:13" x14ac:dyDescent="0.2">
      <c r="J415" s="98"/>
      <c r="M415" s="98"/>
    </row>
    <row r="416" spans="10:13" x14ac:dyDescent="0.2">
      <c r="J416" s="98"/>
      <c r="M416" s="98"/>
    </row>
    <row r="417" spans="10:13" x14ac:dyDescent="0.2">
      <c r="J417" s="98"/>
      <c r="M417" s="98"/>
    </row>
    <row r="418" spans="10:13" x14ac:dyDescent="0.2">
      <c r="J418" s="98"/>
      <c r="M418" s="98"/>
    </row>
    <row r="419" spans="10:13" x14ac:dyDescent="0.2">
      <c r="J419" s="98"/>
      <c r="M419" s="98"/>
    </row>
    <row r="420" spans="10:13" x14ac:dyDescent="0.2">
      <c r="J420" s="98"/>
      <c r="M420" s="98"/>
    </row>
    <row r="421" spans="10:13" x14ac:dyDescent="0.2">
      <c r="J421" s="98"/>
      <c r="M421" s="98"/>
    </row>
    <row r="422" spans="10:13" x14ac:dyDescent="0.2">
      <c r="J422" s="98"/>
      <c r="M422" s="98"/>
    </row>
    <row r="423" spans="10:13" x14ac:dyDescent="0.2">
      <c r="J423" s="98"/>
      <c r="M423" s="98"/>
    </row>
    <row r="424" spans="10:13" x14ac:dyDescent="0.2">
      <c r="J424" s="98"/>
      <c r="M424" s="98"/>
    </row>
    <row r="425" spans="10:13" x14ac:dyDescent="0.2">
      <c r="J425" s="98"/>
      <c r="M425" s="98"/>
    </row>
    <row r="426" spans="10:13" x14ac:dyDescent="0.2">
      <c r="J426" s="98"/>
      <c r="M426" s="98"/>
    </row>
    <row r="427" spans="10:13" x14ac:dyDescent="0.2">
      <c r="J427" s="98"/>
      <c r="M427" s="98"/>
    </row>
    <row r="428" spans="10:13" x14ac:dyDescent="0.2">
      <c r="J428" s="98"/>
      <c r="M428" s="98"/>
    </row>
    <row r="429" spans="10:13" x14ac:dyDescent="0.2">
      <c r="J429" s="98"/>
      <c r="M429" s="98"/>
    </row>
    <row r="430" spans="10:13" x14ac:dyDescent="0.2">
      <c r="J430" s="98"/>
      <c r="M430" s="98"/>
    </row>
    <row r="431" spans="10:13" x14ac:dyDescent="0.2">
      <c r="J431" s="98"/>
      <c r="M431" s="98"/>
    </row>
    <row r="432" spans="10:13" x14ac:dyDescent="0.2">
      <c r="J432" s="98"/>
      <c r="M432" s="98"/>
    </row>
    <row r="433" spans="10:13" x14ac:dyDescent="0.2">
      <c r="J433" s="98"/>
      <c r="M433" s="98"/>
    </row>
    <row r="434" spans="10:13" x14ac:dyDescent="0.2">
      <c r="J434" s="98"/>
      <c r="M434" s="98"/>
    </row>
    <row r="435" spans="10:13" x14ac:dyDescent="0.2">
      <c r="J435" s="98"/>
      <c r="M435" s="98"/>
    </row>
    <row r="436" spans="10:13" x14ac:dyDescent="0.2">
      <c r="J436" s="98"/>
      <c r="M436" s="98"/>
    </row>
    <row r="437" spans="10:13" x14ac:dyDescent="0.2">
      <c r="J437" s="98"/>
      <c r="M437" s="98"/>
    </row>
    <row r="438" spans="10:13" x14ac:dyDescent="0.2">
      <c r="J438" s="98"/>
      <c r="M438" s="98"/>
    </row>
    <row r="439" spans="10:13" x14ac:dyDescent="0.2">
      <c r="J439" s="98"/>
      <c r="M439" s="98"/>
    </row>
    <row r="440" spans="10:13" x14ac:dyDescent="0.2">
      <c r="J440" s="98"/>
      <c r="M440" s="98"/>
    </row>
    <row r="441" spans="10:13" x14ac:dyDescent="0.2">
      <c r="J441" s="98"/>
      <c r="M441" s="98"/>
    </row>
    <row r="442" spans="10:13" x14ac:dyDescent="0.2">
      <c r="J442" s="98"/>
      <c r="M442" s="98"/>
    </row>
    <row r="443" spans="10:13" x14ac:dyDescent="0.2">
      <c r="J443" s="98"/>
      <c r="M443" s="98"/>
    </row>
    <row r="444" spans="10:13" x14ac:dyDescent="0.2">
      <c r="J444" s="98"/>
      <c r="M444" s="98"/>
    </row>
    <row r="445" spans="10:13" x14ac:dyDescent="0.2">
      <c r="J445" s="98"/>
      <c r="M445" s="98"/>
    </row>
    <row r="446" spans="10:13" x14ac:dyDescent="0.2">
      <c r="J446" s="98"/>
      <c r="M446" s="98"/>
    </row>
    <row r="447" spans="10:13" x14ac:dyDescent="0.2">
      <c r="J447" s="98"/>
      <c r="M447" s="98"/>
    </row>
    <row r="448" spans="10:13" x14ac:dyDescent="0.2">
      <c r="J448" s="98"/>
      <c r="M448" s="98"/>
    </row>
    <row r="449" spans="10:13" x14ac:dyDescent="0.2">
      <c r="J449" s="98"/>
      <c r="M449" s="98"/>
    </row>
    <row r="450" spans="10:13" x14ac:dyDescent="0.2">
      <c r="J450" s="98"/>
      <c r="M450" s="98"/>
    </row>
    <row r="451" spans="10:13" x14ac:dyDescent="0.2">
      <c r="J451" s="98"/>
      <c r="M451" s="98"/>
    </row>
    <row r="452" spans="10:13" x14ac:dyDescent="0.2">
      <c r="J452" s="98"/>
      <c r="M452" s="98"/>
    </row>
    <row r="453" spans="10:13" x14ac:dyDescent="0.2">
      <c r="J453" s="98"/>
      <c r="M453" s="98"/>
    </row>
    <row r="454" spans="10:13" x14ac:dyDescent="0.2">
      <c r="J454" s="98"/>
      <c r="M454" s="98"/>
    </row>
    <row r="455" spans="10:13" x14ac:dyDescent="0.2">
      <c r="J455" s="98"/>
      <c r="M455" s="98"/>
    </row>
    <row r="456" spans="10:13" x14ac:dyDescent="0.2">
      <c r="J456" s="98"/>
      <c r="M456" s="98"/>
    </row>
    <row r="457" spans="10:13" x14ac:dyDescent="0.2">
      <c r="J457" s="98"/>
      <c r="M457" s="98"/>
    </row>
    <row r="458" spans="10:13" x14ac:dyDescent="0.2">
      <c r="J458" s="98"/>
      <c r="M458" s="98"/>
    </row>
    <row r="459" spans="10:13" x14ac:dyDescent="0.2">
      <c r="J459" s="98"/>
      <c r="M459" s="98"/>
    </row>
    <row r="460" spans="10:13" x14ac:dyDescent="0.2">
      <c r="J460" s="98"/>
      <c r="M460" s="98"/>
    </row>
    <row r="461" spans="10:13" x14ac:dyDescent="0.2">
      <c r="J461" s="98"/>
      <c r="M461" s="98"/>
    </row>
    <row r="462" spans="10:13" x14ac:dyDescent="0.2">
      <c r="J462" s="98"/>
      <c r="M462" s="98"/>
    </row>
    <row r="463" spans="10:13" x14ac:dyDescent="0.2">
      <c r="J463" s="98"/>
      <c r="M463" s="98"/>
    </row>
    <row r="464" spans="10:13" x14ac:dyDescent="0.2">
      <c r="J464" s="98"/>
      <c r="M464" s="98"/>
    </row>
    <row r="465" spans="10:13" x14ac:dyDescent="0.2">
      <c r="J465" s="98"/>
      <c r="M465" s="98"/>
    </row>
    <row r="466" spans="10:13" x14ac:dyDescent="0.2">
      <c r="J466" s="98"/>
      <c r="M466" s="98"/>
    </row>
    <row r="467" spans="10:13" x14ac:dyDescent="0.2">
      <c r="J467" s="98"/>
      <c r="M467" s="98"/>
    </row>
    <row r="468" spans="10:13" x14ac:dyDescent="0.2">
      <c r="J468" s="98"/>
      <c r="M468" s="98"/>
    </row>
    <row r="469" spans="10:13" x14ac:dyDescent="0.2">
      <c r="J469" s="98"/>
      <c r="M469" s="98"/>
    </row>
    <row r="470" spans="10:13" x14ac:dyDescent="0.2">
      <c r="J470" s="98"/>
      <c r="M470" s="98"/>
    </row>
    <row r="471" spans="10:13" x14ac:dyDescent="0.2">
      <c r="J471" s="98"/>
      <c r="M471" s="98"/>
    </row>
    <row r="472" spans="10:13" x14ac:dyDescent="0.2">
      <c r="J472" s="98"/>
      <c r="M472" s="98"/>
    </row>
    <row r="473" spans="10:13" x14ac:dyDescent="0.2">
      <c r="J473" s="98"/>
      <c r="M473" s="98"/>
    </row>
    <row r="474" spans="10:13" x14ac:dyDescent="0.2">
      <c r="J474" s="98"/>
      <c r="M474" s="98"/>
    </row>
    <row r="475" spans="10:13" x14ac:dyDescent="0.2">
      <c r="J475" s="98"/>
      <c r="M475" s="98"/>
    </row>
    <row r="476" spans="10:13" x14ac:dyDescent="0.2">
      <c r="J476" s="98"/>
      <c r="M476" s="98"/>
    </row>
    <row r="477" spans="10:13" x14ac:dyDescent="0.2">
      <c r="J477" s="98"/>
      <c r="M477" s="98"/>
    </row>
    <row r="478" spans="10:13" x14ac:dyDescent="0.2">
      <c r="J478" s="98"/>
      <c r="M478" s="98"/>
    </row>
    <row r="479" spans="10:13" x14ac:dyDescent="0.2">
      <c r="J479" s="98"/>
      <c r="M479" s="98"/>
    </row>
    <row r="480" spans="10:13" x14ac:dyDescent="0.2">
      <c r="J480" s="98"/>
      <c r="M480" s="98"/>
    </row>
    <row r="481" spans="10:13" x14ac:dyDescent="0.2">
      <c r="J481" s="98"/>
      <c r="M481" s="98"/>
    </row>
    <row r="482" spans="10:13" x14ac:dyDescent="0.2">
      <c r="J482" s="98"/>
      <c r="M482" s="98"/>
    </row>
    <row r="483" spans="10:13" x14ac:dyDescent="0.2">
      <c r="J483" s="98"/>
      <c r="M483" s="98"/>
    </row>
    <row r="484" spans="10:13" x14ac:dyDescent="0.2">
      <c r="J484" s="98"/>
      <c r="M484" s="98"/>
    </row>
    <row r="485" spans="10:13" x14ac:dyDescent="0.2">
      <c r="J485" s="98"/>
      <c r="M485" s="98"/>
    </row>
    <row r="486" spans="10:13" x14ac:dyDescent="0.2">
      <c r="J486" s="98"/>
      <c r="M486" s="98"/>
    </row>
    <row r="487" spans="10:13" x14ac:dyDescent="0.2">
      <c r="J487" s="98"/>
      <c r="M487" s="98"/>
    </row>
    <row r="488" spans="10:13" x14ac:dyDescent="0.2">
      <c r="J488" s="98"/>
      <c r="M488" s="98"/>
    </row>
    <row r="489" spans="10:13" x14ac:dyDescent="0.2">
      <c r="J489" s="98"/>
      <c r="M489" s="98"/>
    </row>
    <row r="490" spans="10:13" x14ac:dyDescent="0.2">
      <c r="J490" s="98"/>
      <c r="M490" s="98"/>
    </row>
    <row r="491" spans="10:13" x14ac:dyDescent="0.2">
      <c r="J491" s="98"/>
      <c r="M491" s="98"/>
    </row>
    <row r="492" spans="10:13" x14ac:dyDescent="0.2">
      <c r="J492" s="98"/>
      <c r="M492" s="98"/>
    </row>
    <row r="493" spans="10:13" x14ac:dyDescent="0.2">
      <c r="J493" s="98"/>
      <c r="M493" s="98"/>
    </row>
    <row r="494" spans="10:13" x14ac:dyDescent="0.2">
      <c r="J494" s="98"/>
      <c r="M494" s="98"/>
    </row>
    <row r="495" spans="10:13" x14ac:dyDescent="0.2">
      <c r="J495" s="98"/>
      <c r="M495" s="98"/>
    </row>
    <row r="496" spans="10:13" x14ac:dyDescent="0.2">
      <c r="J496" s="98"/>
      <c r="M496" s="98"/>
    </row>
    <row r="497" spans="10:13" x14ac:dyDescent="0.2">
      <c r="J497" s="98"/>
      <c r="M497" s="98"/>
    </row>
    <row r="498" spans="10:13" x14ac:dyDescent="0.2">
      <c r="J498" s="98"/>
      <c r="M498" s="98"/>
    </row>
    <row r="499" spans="10:13" x14ac:dyDescent="0.2">
      <c r="J499" s="98"/>
      <c r="M499" s="98"/>
    </row>
    <row r="500" spans="10:13" x14ac:dyDescent="0.2">
      <c r="J500" s="98"/>
      <c r="M500" s="98"/>
    </row>
    <row r="501" spans="10:13" x14ac:dyDescent="0.2">
      <c r="J501" s="98"/>
      <c r="M501" s="98"/>
    </row>
    <row r="502" spans="10:13" x14ac:dyDescent="0.2">
      <c r="J502" s="98"/>
      <c r="M502" s="98"/>
    </row>
    <row r="503" spans="10:13" x14ac:dyDescent="0.2">
      <c r="J503" s="98"/>
      <c r="M503" s="98"/>
    </row>
    <row r="504" spans="10:13" x14ac:dyDescent="0.2">
      <c r="J504" s="98"/>
      <c r="M504" s="98"/>
    </row>
    <row r="505" spans="10:13" x14ac:dyDescent="0.2">
      <c r="J505" s="98"/>
      <c r="M505" s="98"/>
    </row>
    <row r="506" spans="10:13" x14ac:dyDescent="0.2">
      <c r="J506" s="98"/>
      <c r="M506" s="98"/>
    </row>
    <row r="507" spans="10:13" x14ac:dyDescent="0.2">
      <c r="J507" s="98"/>
      <c r="M507" s="98"/>
    </row>
    <row r="508" spans="10:13" x14ac:dyDescent="0.2">
      <c r="J508" s="98"/>
      <c r="M508" s="98"/>
    </row>
    <row r="509" spans="10:13" x14ac:dyDescent="0.2">
      <c r="J509" s="98"/>
      <c r="M509" s="98"/>
    </row>
    <row r="510" spans="10:13" x14ac:dyDescent="0.2">
      <c r="J510" s="98"/>
      <c r="M510" s="98"/>
    </row>
    <row r="511" spans="10:13" x14ac:dyDescent="0.2">
      <c r="J511" s="98"/>
      <c r="M511" s="98"/>
    </row>
    <row r="512" spans="10:13" x14ac:dyDescent="0.2">
      <c r="J512" s="98"/>
      <c r="M512" s="98"/>
    </row>
    <row r="513" spans="10:13" x14ac:dyDescent="0.2">
      <c r="J513" s="98"/>
      <c r="M513" s="98"/>
    </row>
    <row r="514" spans="10:13" x14ac:dyDescent="0.2">
      <c r="J514" s="98"/>
      <c r="M514" s="98"/>
    </row>
    <row r="515" spans="10:13" x14ac:dyDescent="0.2">
      <c r="J515" s="98"/>
      <c r="M515" s="98"/>
    </row>
    <row r="516" spans="10:13" x14ac:dyDescent="0.2">
      <c r="J516" s="98"/>
      <c r="M516" s="98"/>
    </row>
    <row r="517" spans="10:13" x14ac:dyDescent="0.2">
      <c r="J517" s="98"/>
      <c r="M517" s="98"/>
    </row>
    <row r="518" spans="10:13" x14ac:dyDescent="0.2">
      <c r="J518" s="98"/>
      <c r="M518" s="98"/>
    </row>
    <row r="519" spans="10:13" x14ac:dyDescent="0.2">
      <c r="J519" s="98"/>
      <c r="M519" s="98"/>
    </row>
    <row r="520" spans="10:13" x14ac:dyDescent="0.2">
      <c r="J520" s="98"/>
      <c r="M520" s="98"/>
    </row>
    <row r="521" spans="10:13" x14ac:dyDescent="0.2">
      <c r="J521" s="98"/>
      <c r="M521" s="98"/>
    </row>
    <row r="522" spans="10:13" x14ac:dyDescent="0.2">
      <c r="J522" s="98"/>
      <c r="M522" s="98"/>
    </row>
    <row r="523" spans="10:13" x14ac:dyDescent="0.2">
      <c r="J523" s="98"/>
      <c r="M523" s="98"/>
    </row>
    <row r="524" spans="10:13" x14ac:dyDescent="0.2">
      <c r="J524" s="98"/>
      <c r="M524" s="98"/>
    </row>
    <row r="525" spans="10:13" x14ac:dyDescent="0.2">
      <c r="J525" s="98"/>
      <c r="M525" s="98"/>
    </row>
    <row r="526" spans="10:13" x14ac:dyDescent="0.2">
      <c r="J526" s="98"/>
      <c r="M526" s="98"/>
    </row>
    <row r="527" spans="10:13" x14ac:dyDescent="0.2">
      <c r="J527" s="98"/>
      <c r="M527" s="98"/>
    </row>
    <row r="528" spans="10:13" x14ac:dyDescent="0.2">
      <c r="J528" s="98"/>
      <c r="M528" s="98"/>
    </row>
    <row r="529" spans="10:13" x14ac:dyDescent="0.2">
      <c r="J529" s="98"/>
      <c r="M529" s="98"/>
    </row>
    <row r="530" spans="10:13" x14ac:dyDescent="0.2">
      <c r="J530" s="98"/>
      <c r="M530" s="98"/>
    </row>
    <row r="531" spans="10:13" x14ac:dyDescent="0.2">
      <c r="J531" s="98"/>
      <c r="M531" s="98"/>
    </row>
    <row r="532" spans="10:13" x14ac:dyDescent="0.2">
      <c r="J532" s="98"/>
      <c r="M532" s="98"/>
    </row>
    <row r="533" spans="10:13" x14ac:dyDescent="0.2">
      <c r="J533" s="98"/>
      <c r="M533" s="98"/>
    </row>
    <row r="534" spans="10:13" x14ac:dyDescent="0.2">
      <c r="J534" s="98"/>
      <c r="M534" s="98"/>
    </row>
    <row r="535" spans="10:13" x14ac:dyDescent="0.2">
      <c r="J535" s="98"/>
      <c r="M535" s="98"/>
    </row>
    <row r="536" spans="10:13" x14ac:dyDescent="0.2">
      <c r="J536" s="98"/>
      <c r="M536" s="98"/>
    </row>
    <row r="537" spans="10:13" x14ac:dyDescent="0.2">
      <c r="J537" s="98"/>
      <c r="M537" s="98"/>
    </row>
    <row r="538" spans="10:13" x14ac:dyDescent="0.2">
      <c r="J538" s="98"/>
      <c r="M538" s="98"/>
    </row>
    <row r="539" spans="10:13" x14ac:dyDescent="0.2">
      <c r="J539" s="98"/>
      <c r="M539" s="98"/>
    </row>
    <row r="540" spans="10:13" x14ac:dyDescent="0.2">
      <c r="J540" s="98"/>
      <c r="M540" s="98"/>
    </row>
    <row r="541" spans="10:13" x14ac:dyDescent="0.2">
      <c r="J541" s="98"/>
      <c r="M541" s="98"/>
    </row>
    <row r="542" spans="10:13" x14ac:dyDescent="0.2">
      <c r="J542" s="98"/>
      <c r="M542" s="98"/>
    </row>
    <row r="543" spans="10:13" x14ac:dyDescent="0.2">
      <c r="J543" s="98"/>
      <c r="M543" s="98"/>
    </row>
    <row r="544" spans="10:13" x14ac:dyDescent="0.2">
      <c r="J544" s="98"/>
      <c r="M544" s="98"/>
    </row>
    <row r="545" spans="10:13" x14ac:dyDescent="0.2">
      <c r="J545" s="98"/>
      <c r="M545" s="98"/>
    </row>
    <row r="546" spans="10:13" x14ac:dyDescent="0.2">
      <c r="J546" s="98"/>
      <c r="M546" s="98"/>
    </row>
    <row r="547" spans="10:13" x14ac:dyDescent="0.2">
      <c r="J547" s="98"/>
      <c r="M547" s="98"/>
    </row>
    <row r="548" spans="10:13" x14ac:dyDescent="0.2">
      <c r="J548" s="98"/>
      <c r="M548" s="98"/>
    </row>
    <row r="549" spans="10:13" x14ac:dyDescent="0.2">
      <c r="J549" s="98"/>
      <c r="M549" s="98"/>
    </row>
    <row r="550" spans="10:13" x14ac:dyDescent="0.2">
      <c r="J550" s="98"/>
      <c r="M550" s="98"/>
    </row>
    <row r="551" spans="10:13" x14ac:dyDescent="0.2">
      <c r="J551" s="98"/>
      <c r="M551" s="98"/>
    </row>
    <row r="552" spans="10:13" x14ac:dyDescent="0.2">
      <c r="J552" s="98"/>
      <c r="M552" s="98"/>
    </row>
    <row r="553" spans="10:13" x14ac:dyDescent="0.2">
      <c r="J553" s="98"/>
      <c r="M553" s="98"/>
    </row>
    <row r="554" spans="10:13" x14ac:dyDescent="0.2">
      <c r="J554" s="98"/>
      <c r="M554" s="98"/>
    </row>
    <row r="555" spans="10:13" x14ac:dyDescent="0.2">
      <c r="J555" s="98"/>
      <c r="M555" s="98"/>
    </row>
    <row r="556" spans="10:13" x14ac:dyDescent="0.2">
      <c r="J556" s="98"/>
      <c r="M556" s="98"/>
    </row>
    <row r="557" spans="10:13" x14ac:dyDescent="0.2">
      <c r="J557" s="98"/>
      <c r="M557" s="98"/>
    </row>
    <row r="558" spans="10:13" x14ac:dyDescent="0.2">
      <c r="J558" s="98"/>
      <c r="M558" s="98"/>
    </row>
    <row r="559" spans="10:13" x14ac:dyDescent="0.2">
      <c r="J559" s="98"/>
      <c r="M559" s="98"/>
    </row>
    <row r="560" spans="10:13" x14ac:dyDescent="0.2">
      <c r="J560" s="98"/>
      <c r="M560" s="98"/>
    </row>
    <row r="561" spans="10:13" x14ac:dyDescent="0.2">
      <c r="J561" s="98"/>
      <c r="M561" s="98"/>
    </row>
    <row r="562" spans="10:13" x14ac:dyDescent="0.2">
      <c r="J562" s="98"/>
      <c r="M562" s="98"/>
    </row>
    <row r="563" spans="10:13" x14ac:dyDescent="0.2">
      <c r="J563" s="98"/>
      <c r="M563" s="98"/>
    </row>
    <row r="564" spans="10:13" x14ac:dyDescent="0.2">
      <c r="J564" s="98"/>
      <c r="M564" s="98"/>
    </row>
    <row r="565" spans="10:13" x14ac:dyDescent="0.2">
      <c r="J565" s="98"/>
      <c r="M565" s="98"/>
    </row>
    <row r="566" spans="10:13" x14ac:dyDescent="0.2">
      <c r="J566" s="98"/>
      <c r="M566" s="98"/>
    </row>
    <row r="567" spans="10:13" x14ac:dyDescent="0.2">
      <c r="J567" s="98"/>
      <c r="M567" s="98"/>
    </row>
    <row r="568" spans="10:13" x14ac:dyDescent="0.2">
      <c r="J568" s="98"/>
      <c r="M568" s="98"/>
    </row>
    <row r="569" spans="10:13" x14ac:dyDescent="0.2">
      <c r="J569" s="98"/>
      <c r="M569" s="98"/>
    </row>
    <row r="570" spans="10:13" x14ac:dyDescent="0.2">
      <c r="J570" s="98"/>
      <c r="M570" s="98"/>
    </row>
    <row r="571" spans="10:13" x14ac:dyDescent="0.2">
      <c r="J571" s="98"/>
      <c r="M571" s="98"/>
    </row>
    <row r="572" spans="10:13" x14ac:dyDescent="0.2">
      <c r="J572" s="98"/>
      <c r="M572" s="98"/>
    </row>
    <row r="573" spans="10:13" x14ac:dyDescent="0.2">
      <c r="J573" s="98"/>
      <c r="M573" s="98"/>
    </row>
    <row r="574" spans="10:13" x14ac:dyDescent="0.2">
      <c r="J574" s="98"/>
      <c r="M574" s="98"/>
    </row>
    <row r="575" spans="10:13" x14ac:dyDescent="0.2">
      <c r="J575" s="98"/>
      <c r="M575" s="98"/>
    </row>
    <row r="576" spans="10:13" x14ac:dyDescent="0.2">
      <c r="J576" s="98"/>
      <c r="M576" s="98"/>
    </row>
    <row r="577" spans="10:13" x14ac:dyDescent="0.2">
      <c r="J577" s="98"/>
      <c r="M577" s="98"/>
    </row>
    <row r="578" spans="10:13" x14ac:dyDescent="0.2">
      <c r="J578" s="98"/>
      <c r="M578" s="98"/>
    </row>
    <row r="579" spans="10:13" x14ac:dyDescent="0.2">
      <c r="J579" s="98"/>
      <c r="M579" s="98"/>
    </row>
    <row r="580" spans="10:13" x14ac:dyDescent="0.2">
      <c r="J580" s="98"/>
      <c r="M580" s="98"/>
    </row>
    <row r="581" spans="10:13" x14ac:dyDescent="0.2">
      <c r="J581" s="98"/>
      <c r="M581" s="98"/>
    </row>
    <row r="582" spans="10:13" x14ac:dyDescent="0.2">
      <c r="J582" s="98"/>
      <c r="M582" s="98"/>
    </row>
    <row r="583" spans="10:13" x14ac:dyDescent="0.2">
      <c r="J583" s="98"/>
      <c r="M583" s="98"/>
    </row>
    <row r="584" spans="10:13" x14ac:dyDescent="0.2">
      <c r="J584" s="98"/>
      <c r="M584" s="98"/>
    </row>
    <row r="585" spans="10:13" x14ac:dyDescent="0.2">
      <c r="J585" s="98"/>
      <c r="M585" s="98"/>
    </row>
    <row r="586" spans="10:13" x14ac:dyDescent="0.2">
      <c r="J586" s="98"/>
      <c r="M586" s="98"/>
    </row>
    <row r="587" spans="10:13" x14ac:dyDescent="0.2">
      <c r="J587" s="98"/>
      <c r="M587" s="98"/>
    </row>
    <row r="588" spans="10:13" x14ac:dyDescent="0.2">
      <c r="J588" s="98"/>
      <c r="M588" s="98"/>
    </row>
    <row r="589" spans="10:13" x14ac:dyDescent="0.2">
      <c r="J589" s="98"/>
      <c r="M589" s="98"/>
    </row>
    <row r="590" spans="10:13" x14ac:dyDescent="0.2">
      <c r="J590" s="98"/>
      <c r="M590" s="98"/>
    </row>
    <row r="591" spans="10:13" x14ac:dyDescent="0.2">
      <c r="J591" s="98"/>
      <c r="M591" s="98"/>
    </row>
    <row r="592" spans="10:13" x14ac:dyDescent="0.2">
      <c r="J592" s="98"/>
      <c r="M592" s="98"/>
    </row>
    <row r="593" spans="10:13" x14ac:dyDescent="0.2">
      <c r="J593" s="98"/>
      <c r="M593" s="98"/>
    </row>
    <row r="594" spans="10:13" x14ac:dyDescent="0.2">
      <c r="J594" s="98"/>
      <c r="M594" s="98"/>
    </row>
    <row r="595" spans="10:13" x14ac:dyDescent="0.2">
      <c r="J595" s="98"/>
      <c r="M595" s="98"/>
    </row>
    <row r="596" spans="10:13" x14ac:dyDescent="0.2">
      <c r="J596" s="98"/>
      <c r="M596" s="98"/>
    </row>
    <row r="597" spans="10:13" x14ac:dyDescent="0.2">
      <c r="J597" s="98"/>
      <c r="M597" s="98"/>
    </row>
    <row r="598" spans="10:13" x14ac:dyDescent="0.2">
      <c r="J598" s="98"/>
      <c r="M598" s="98"/>
    </row>
    <row r="599" spans="10:13" x14ac:dyDescent="0.2">
      <c r="J599" s="98"/>
      <c r="M599" s="98"/>
    </row>
    <row r="600" spans="10:13" x14ac:dyDescent="0.2">
      <c r="J600" s="98"/>
      <c r="M600" s="98"/>
    </row>
    <row r="601" spans="10:13" x14ac:dyDescent="0.2">
      <c r="J601" s="98"/>
      <c r="M601" s="98"/>
    </row>
    <row r="602" spans="10:13" x14ac:dyDescent="0.2">
      <c r="J602" s="98"/>
      <c r="M602" s="98"/>
    </row>
    <row r="603" spans="10:13" x14ac:dyDescent="0.2">
      <c r="J603" s="98"/>
      <c r="M603" s="98"/>
    </row>
    <row r="604" spans="10:13" x14ac:dyDescent="0.2">
      <c r="J604" s="98"/>
      <c r="M604" s="98"/>
    </row>
    <row r="605" spans="10:13" x14ac:dyDescent="0.2">
      <c r="J605" s="98"/>
      <c r="M605" s="98"/>
    </row>
    <row r="606" spans="10:13" x14ac:dyDescent="0.2">
      <c r="J606" s="98"/>
      <c r="M606" s="98"/>
    </row>
    <row r="607" spans="10:13" x14ac:dyDescent="0.2">
      <c r="J607" s="98"/>
      <c r="M607" s="98"/>
    </row>
    <row r="608" spans="10:13" x14ac:dyDescent="0.2">
      <c r="J608" s="98"/>
      <c r="M608" s="98"/>
    </row>
    <row r="609" spans="10:13" x14ac:dyDescent="0.2">
      <c r="J609" s="98"/>
      <c r="M609" s="98"/>
    </row>
    <row r="610" spans="10:13" x14ac:dyDescent="0.2">
      <c r="J610" s="98"/>
      <c r="M610" s="98"/>
    </row>
    <row r="611" spans="10:13" x14ac:dyDescent="0.2">
      <c r="J611" s="98"/>
      <c r="M611" s="98"/>
    </row>
    <row r="612" spans="10:13" x14ac:dyDescent="0.2">
      <c r="J612" s="98"/>
      <c r="M612" s="98"/>
    </row>
    <row r="613" spans="10:13" x14ac:dyDescent="0.2">
      <c r="J613" s="98"/>
      <c r="M613" s="98"/>
    </row>
    <row r="614" spans="10:13" x14ac:dyDescent="0.2">
      <c r="J614" s="98"/>
      <c r="M614" s="98"/>
    </row>
    <row r="615" spans="10:13" x14ac:dyDescent="0.2">
      <c r="J615" s="98"/>
      <c r="M615" s="98"/>
    </row>
    <row r="616" spans="10:13" x14ac:dyDescent="0.2">
      <c r="J616" s="98"/>
      <c r="M616" s="98"/>
    </row>
    <row r="617" spans="10:13" x14ac:dyDescent="0.2">
      <c r="J617" s="98"/>
      <c r="M617" s="98"/>
    </row>
    <row r="618" spans="10:13" x14ac:dyDescent="0.2">
      <c r="J618" s="98"/>
      <c r="M618" s="98"/>
    </row>
    <row r="619" spans="10:13" x14ac:dyDescent="0.2">
      <c r="J619" s="98"/>
      <c r="M619" s="98"/>
    </row>
    <row r="620" spans="10:13" x14ac:dyDescent="0.2">
      <c r="J620" s="98"/>
      <c r="M620" s="98"/>
    </row>
    <row r="621" spans="10:13" x14ac:dyDescent="0.2">
      <c r="J621" s="98"/>
      <c r="M621" s="98"/>
    </row>
    <row r="622" spans="10:13" x14ac:dyDescent="0.2">
      <c r="J622" s="98"/>
      <c r="M622" s="98"/>
    </row>
    <row r="623" spans="10:13" x14ac:dyDescent="0.2">
      <c r="J623" s="98"/>
      <c r="M623" s="98"/>
    </row>
    <row r="624" spans="10:13" x14ac:dyDescent="0.2">
      <c r="J624" s="98"/>
      <c r="M624" s="98"/>
    </row>
    <row r="625" spans="10:13" x14ac:dyDescent="0.2">
      <c r="J625" s="98"/>
      <c r="M625" s="98"/>
    </row>
    <row r="626" spans="10:13" x14ac:dyDescent="0.2">
      <c r="J626" s="98"/>
      <c r="M626" s="98"/>
    </row>
    <row r="627" spans="10:13" x14ac:dyDescent="0.2">
      <c r="J627" s="98"/>
      <c r="M627" s="98"/>
    </row>
    <row r="628" spans="10:13" x14ac:dyDescent="0.2">
      <c r="J628" s="98"/>
      <c r="M628" s="98"/>
    </row>
    <row r="629" spans="10:13" x14ac:dyDescent="0.2">
      <c r="J629" s="98"/>
      <c r="M629" s="98"/>
    </row>
    <row r="630" spans="10:13" x14ac:dyDescent="0.2">
      <c r="J630" s="98"/>
      <c r="M630" s="98"/>
    </row>
    <row r="631" spans="10:13" x14ac:dyDescent="0.2">
      <c r="J631" s="98"/>
      <c r="M631" s="98"/>
    </row>
    <row r="632" spans="10:13" x14ac:dyDescent="0.2">
      <c r="J632" s="98"/>
      <c r="M632" s="98"/>
    </row>
    <row r="633" spans="10:13" x14ac:dyDescent="0.2">
      <c r="J633" s="98"/>
      <c r="M633" s="98"/>
    </row>
    <row r="634" spans="10:13" x14ac:dyDescent="0.2">
      <c r="J634" s="98"/>
      <c r="M634" s="98"/>
    </row>
    <row r="635" spans="10:13" x14ac:dyDescent="0.2">
      <c r="J635" s="98"/>
      <c r="M635" s="98"/>
    </row>
    <row r="636" spans="10:13" x14ac:dyDescent="0.2">
      <c r="J636" s="98"/>
      <c r="M636" s="98"/>
    </row>
    <row r="637" spans="10:13" x14ac:dyDescent="0.2">
      <c r="J637" s="98"/>
      <c r="M637" s="98"/>
    </row>
    <row r="638" spans="10:13" x14ac:dyDescent="0.2">
      <c r="J638" s="98"/>
      <c r="M638" s="98"/>
    </row>
    <row r="639" spans="10:13" x14ac:dyDescent="0.2">
      <c r="J639" s="98"/>
      <c r="M639" s="98"/>
    </row>
    <row r="640" spans="10:13" x14ac:dyDescent="0.2">
      <c r="J640" s="98"/>
      <c r="M640" s="98"/>
    </row>
    <row r="641" spans="10:13" x14ac:dyDescent="0.2">
      <c r="J641" s="98"/>
      <c r="M641" s="98"/>
    </row>
    <row r="642" spans="10:13" x14ac:dyDescent="0.2">
      <c r="J642" s="98"/>
      <c r="M642" s="98"/>
    </row>
    <row r="643" spans="10:13" x14ac:dyDescent="0.2">
      <c r="J643" s="98"/>
      <c r="M643" s="98"/>
    </row>
    <row r="644" spans="10:13" x14ac:dyDescent="0.2">
      <c r="J644" s="98"/>
      <c r="M644" s="98"/>
    </row>
    <row r="645" spans="10:13" x14ac:dyDescent="0.2">
      <c r="J645" s="98"/>
      <c r="M645" s="98"/>
    </row>
    <row r="646" spans="10:13" x14ac:dyDescent="0.2">
      <c r="J646" s="98"/>
      <c r="M646" s="98"/>
    </row>
    <row r="647" spans="10:13" x14ac:dyDescent="0.2">
      <c r="J647" s="98"/>
      <c r="M647" s="98"/>
    </row>
    <row r="648" spans="10:13" x14ac:dyDescent="0.2">
      <c r="J648" s="98"/>
      <c r="M648" s="98"/>
    </row>
    <row r="649" spans="10:13" x14ac:dyDescent="0.2">
      <c r="J649" s="98"/>
      <c r="M649" s="98"/>
    </row>
    <row r="650" spans="10:13" x14ac:dyDescent="0.2">
      <c r="J650" s="98"/>
      <c r="M650" s="98"/>
    </row>
    <row r="651" spans="10:13" x14ac:dyDescent="0.2">
      <c r="J651" s="98"/>
      <c r="M651" s="98"/>
    </row>
    <row r="652" spans="10:13" x14ac:dyDescent="0.2">
      <c r="J652" s="98"/>
      <c r="M652" s="98"/>
    </row>
    <row r="653" spans="10:13" x14ac:dyDescent="0.2">
      <c r="J653" s="98"/>
      <c r="M653" s="98"/>
    </row>
    <row r="654" spans="10:13" x14ac:dyDescent="0.2">
      <c r="J654" s="98"/>
      <c r="M654" s="98"/>
    </row>
    <row r="655" spans="10:13" x14ac:dyDescent="0.2">
      <c r="J655" s="98"/>
      <c r="M655" s="98"/>
    </row>
    <row r="656" spans="10:13" x14ac:dyDescent="0.2">
      <c r="J656" s="98"/>
      <c r="M656" s="98"/>
    </row>
    <row r="657" spans="10:13" x14ac:dyDescent="0.2">
      <c r="J657" s="98"/>
      <c r="M657" s="98"/>
    </row>
    <row r="658" spans="10:13" x14ac:dyDescent="0.2">
      <c r="J658" s="98"/>
      <c r="M658" s="98"/>
    </row>
    <row r="659" spans="10:13" x14ac:dyDescent="0.2">
      <c r="J659" s="98"/>
      <c r="M659" s="98"/>
    </row>
    <row r="660" spans="10:13" x14ac:dyDescent="0.2">
      <c r="J660" s="98"/>
      <c r="M660" s="98"/>
    </row>
    <row r="661" spans="10:13" x14ac:dyDescent="0.2">
      <c r="J661" s="98"/>
      <c r="M661" s="98"/>
    </row>
    <row r="662" spans="10:13" x14ac:dyDescent="0.2">
      <c r="J662" s="98"/>
      <c r="M662" s="98"/>
    </row>
    <row r="663" spans="10:13" x14ac:dyDescent="0.2">
      <c r="J663" s="98"/>
      <c r="M663" s="98"/>
    </row>
    <row r="664" spans="10:13" x14ac:dyDescent="0.2">
      <c r="J664" s="98"/>
      <c r="M664" s="98"/>
    </row>
    <row r="665" spans="10:13" x14ac:dyDescent="0.2">
      <c r="J665" s="98"/>
      <c r="M665" s="98"/>
    </row>
    <row r="666" spans="10:13" x14ac:dyDescent="0.2">
      <c r="J666" s="98"/>
      <c r="M666" s="98"/>
    </row>
    <row r="667" spans="10:13" x14ac:dyDescent="0.2">
      <c r="J667" s="98"/>
      <c r="M667" s="98"/>
    </row>
    <row r="668" spans="10:13" x14ac:dyDescent="0.2">
      <c r="J668" s="98"/>
      <c r="M668" s="98"/>
    </row>
    <row r="669" spans="10:13" x14ac:dyDescent="0.2">
      <c r="J669" s="98"/>
      <c r="M669" s="98"/>
    </row>
    <row r="670" spans="10:13" x14ac:dyDescent="0.2">
      <c r="J670" s="98"/>
      <c r="M670" s="98"/>
    </row>
    <row r="671" spans="10:13" x14ac:dyDescent="0.2">
      <c r="J671" s="98"/>
      <c r="M671" s="98"/>
    </row>
    <row r="672" spans="10:13" x14ac:dyDescent="0.2">
      <c r="J672" s="98"/>
      <c r="M672" s="98"/>
    </row>
    <row r="673" spans="10:13" x14ac:dyDescent="0.2">
      <c r="J673" s="98"/>
      <c r="M673" s="98"/>
    </row>
    <row r="674" spans="10:13" x14ac:dyDescent="0.2">
      <c r="J674" s="98"/>
      <c r="M674" s="98"/>
    </row>
    <row r="675" spans="10:13" x14ac:dyDescent="0.2">
      <c r="J675" s="98"/>
      <c r="M675" s="98"/>
    </row>
    <row r="676" spans="10:13" x14ac:dyDescent="0.2">
      <c r="J676" s="98"/>
      <c r="M676" s="98"/>
    </row>
    <row r="677" spans="10:13" x14ac:dyDescent="0.2">
      <c r="J677" s="98"/>
      <c r="M677" s="98"/>
    </row>
    <row r="678" spans="10:13" x14ac:dyDescent="0.2">
      <c r="J678" s="98"/>
      <c r="M678" s="98"/>
    </row>
    <row r="679" spans="10:13" x14ac:dyDescent="0.2">
      <c r="J679" s="98"/>
      <c r="M679" s="98"/>
    </row>
    <row r="680" spans="10:13" x14ac:dyDescent="0.2">
      <c r="J680" s="98"/>
      <c r="M680" s="98"/>
    </row>
    <row r="681" spans="10:13" x14ac:dyDescent="0.2">
      <c r="J681" s="98"/>
      <c r="M681" s="98"/>
    </row>
    <row r="682" spans="10:13" x14ac:dyDescent="0.2">
      <c r="J682" s="98"/>
      <c r="M682" s="98"/>
    </row>
    <row r="683" spans="10:13" x14ac:dyDescent="0.2">
      <c r="J683" s="98"/>
      <c r="M683" s="98"/>
    </row>
    <row r="684" spans="10:13" x14ac:dyDescent="0.2">
      <c r="J684" s="98"/>
      <c r="M684" s="98"/>
    </row>
    <row r="685" spans="10:13" x14ac:dyDescent="0.2">
      <c r="J685" s="98"/>
      <c r="M685" s="98"/>
    </row>
    <row r="686" spans="10:13" x14ac:dyDescent="0.2">
      <c r="J686" s="98"/>
      <c r="M686" s="98"/>
    </row>
    <row r="687" spans="10:13" x14ac:dyDescent="0.2">
      <c r="J687" s="98"/>
      <c r="M687" s="98"/>
    </row>
    <row r="688" spans="10:13" x14ac:dyDescent="0.2">
      <c r="J688" s="98"/>
      <c r="M688" s="98"/>
    </row>
    <row r="689" spans="10:13" x14ac:dyDescent="0.2">
      <c r="J689" s="98"/>
      <c r="M689" s="98"/>
    </row>
    <row r="690" spans="10:13" x14ac:dyDescent="0.2">
      <c r="J690" s="98"/>
      <c r="M690" s="98"/>
    </row>
    <row r="691" spans="10:13" x14ac:dyDescent="0.2">
      <c r="J691" s="98"/>
      <c r="M691" s="98"/>
    </row>
    <row r="692" spans="10:13" x14ac:dyDescent="0.2">
      <c r="J692" s="98"/>
      <c r="M692" s="98"/>
    </row>
    <row r="693" spans="10:13" x14ac:dyDescent="0.2">
      <c r="J693" s="98"/>
      <c r="M693" s="98"/>
    </row>
    <row r="694" spans="10:13" x14ac:dyDescent="0.2">
      <c r="J694" s="98"/>
      <c r="M694" s="98"/>
    </row>
    <row r="695" spans="10:13" x14ac:dyDescent="0.2">
      <c r="J695" s="98"/>
      <c r="M695" s="98"/>
    </row>
    <row r="696" spans="10:13" x14ac:dyDescent="0.2">
      <c r="J696" s="98"/>
      <c r="M696" s="98"/>
    </row>
    <row r="697" spans="10:13" x14ac:dyDescent="0.2">
      <c r="J697" s="98"/>
      <c r="M697" s="98"/>
    </row>
    <row r="698" spans="10:13" x14ac:dyDescent="0.2">
      <c r="J698" s="98"/>
      <c r="M698" s="98"/>
    </row>
    <row r="699" spans="10:13" x14ac:dyDescent="0.2">
      <c r="J699" s="98"/>
      <c r="M699" s="98"/>
    </row>
    <row r="700" spans="10:13" x14ac:dyDescent="0.2">
      <c r="J700" s="98"/>
      <c r="M700" s="98"/>
    </row>
    <row r="701" spans="10:13" x14ac:dyDescent="0.2">
      <c r="J701" s="98"/>
      <c r="M701" s="98"/>
    </row>
    <row r="702" spans="10:13" x14ac:dyDescent="0.2">
      <c r="J702" s="98"/>
      <c r="M702" s="98"/>
    </row>
    <row r="703" spans="10:13" x14ac:dyDescent="0.2">
      <c r="J703" s="98"/>
      <c r="M703" s="98"/>
    </row>
    <row r="704" spans="10:13" x14ac:dyDescent="0.2">
      <c r="J704" s="98"/>
      <c r="M704" s="98"/>
    </row>
    <row r="705" spans="10:13" x14ac:dyDescent="0.2">
      <c r="J705" s="98"/>
      <c r="M705" s="98"/>
    </row>
    <row r="706" spans="10:13" x14ac:dyDescent="0.2">
      <c r="J706" s="98"/>
      <c r="M706" s="98"/>
    </row>
    <row r="707" spans="10:13" x14ac:dyDescent="0.2">
      <c r="J707" s="98"/>
      <c r="M707" s="98"/>
    </row>
    <row r="708" spans="10:13" x14ac:dyDescent="0.2">
      <c r="J708" s="98"/>
      <c r="M708" s="98"/>
    </row>
    <row r="709" spans="10:13" x14ac:dyDescent="0.2">
      <c r="J709" s="98"/>
      <c r="M709" s="98"/>
    </row>
    <row r="710" spans="10:13" x14ac:dyDescent="0.2">
      <c r="J710" s="98"/>
      <c r="M710" s="98"/>
    </row>
    <row r="711" spans="10:13" x14ac:dyDescent="0.2">
      <c r="J711" s="98"/>
      <c r="M711" s="98"/>
    </row>
    <row r="712" spans="10:13" x14ac:dyDescent="0.2">
      <c r="J712" s="98"/>
      <c r="M712" s="98"/>
    </row>
    <row r="713" spans="10:13" x14ac:dyDescent="0.2">
      <c r="J713" s="98"/>
      <c r="M713" s="98"/>
    </row>
    <row r="714" spans="10:13" x14ac:dyDescent="0.2">
      <c r="J714" s="98"/>
      <c r="M714" s="98"/>
    </row>
    <row r="715" spans="10:13" x14ac:dyDescent="0.2">
      <c r="J715" s="98"/>
      <c r="M715" s="98"/>
    </row>
    <row r="716" spans="10:13" x14ac:dyDescent="0.2">
      <c r="J716" s="98"/>
      <c r="M716" s="98"/>
    </row>
    <row r="717" spans="10:13" x14ac:dyDescent="0.2">
      <c r="J717" s="98"/>
      <c r="M717" s="98"/>
    </row>
    <row r="718" spans="10:13" x14ac:dyDescent="0.2">
      <c r="J718" s="98"/>
      <c r="M718" s="98"/>
    </row>
    <row r="719" spans="10:13" x14ac:dyDescent="0.2">
      <c r="J719" s="98"/>
      <c r="M719" s="98"/>
    </row>
    <row r="720" spans="10:13" x14ac:dyDescent="0.2">
      <c r="J720" s="98"/>
      <c r="M720" s="98"/>
    </row>
    <row r="721" spans="10:13" x14ac:dyDescent="0.2">
      <c r="J721" s="98"/>
      <c r="M721" s="98"/>
    </row>
    <row r="722" spans="10:13" x14ac:dyDescent="0.2">
      <c r="J722" s="98"/>
      <c r="M722" s="98"/>
    </row>
    <row r="723" spans="10:13" x14ac:dyDescent="0.2">
      <c r="J723" s="98"/>
      <c r="M723" s="98"/>
    </row>
    <row r="724" spans="10:13" x14ac:dyDescent="0.2">
      <c r="J724" s="98"/>
      <c r="M724" s="98"/>
    </row>
    <row r="725" spans="10:13" x14ac:dyDescent="0.2">
      <c r="J725" s="98"/>
      <c r="M725" s="98"/>
    </row>
    <row r="726" spans="10:13" x14ac:dyDescent="0.2">
      <c r="J726" s="98"/>
      <c r="M726" s="98"/>
    </row>
    <row r="727" spans="10:13" x14ac:dyDescent="0.2">
      <c r="J727" s="98"/>
      <c r="M727" s="98"/>
    </row>
    <row r="728" spans="10:13" x14ac:dyDescent="0.2">
      <c r="J728" s="98"/>
      <c r="M728" s="98"/>
    </row>
    <row r="729" spans="10:13" x14ac:dyDescent="0.2">
      <c r="J729" s="98"/>
      <c r="M729" s="98"/>
    </row>
    <row r="730" spans="10:13" x14ac:dyDescent="0.2">
      <c r="J730" s="98"/>
      <c r="M730" s="98"/>
    </row>
    <row r="731" spans="10:13" x14ac:dyDescent="0.2">
      <c r="J731" s="98"/>
      <c r="M731" s="98"/>
    </row>
    <row r="732" spans="10:13" x14ac:dyDescent="0.2">
      <c r="J732" s="98"/>
      <c r="M732" s="98"/>
    </row>
    <row r="733" spans="10:13" x14ac:dyDescent="0.2">
      <c r="J733" s="98"/>
      <c r="M733" s="98"/>
    </row>
    <row r="734" spans="10:13" x14ac:dyDescent="0.2">
      <c r="J734" s="98"/>
      <c r="M734" s="98"/>
    </row>
    <row r="735" spans="10:13" x14ac:dyDescent="0.2">
      <c r="J735" s="98"/>
      <c r="M735" s="98"/>
    </row>
    <row r="736" spans="10:13" x14ac:dyDescent="0.2">
      <c r="J736" s="98"/>
      <c r="M736" s="98"/>
    </row>
    <row r="737" spans="10:13" x14ac:dyDescent="0.2">
      <c r="J737" s="98"/>
      <c r="M737" s="98"/>
    </row>
    <row r="738" spans="10:13" x14ac:dyDescent="0.2">
      <c r="J738" s="98"/>
      <c r="M738" s="98"/>
    </row>
    <row r="739" spans="10:13" x14ac:dyDescent="0.2">
      <c r="J739" s="98"/>
      <c r="M739" s="98"/>
    </row>
    <row r="740" spans="10:13" x14ac:dyDescent="0.2">
      <c r="J740" s="98"/>
      <c r="M740" s="98"/>
    </row>
    <row r="741" spans="10:13" x14ac:dyDescent="0.2">
      <c r="J741" s="98"/>
      <c r="M741" s="98"/>
    </row>
    <row r="742" spans="10:13" x14ac:dyDescent="0.2">
      <c r="J742" s="98"/>
      <c r="M742" s="98"/>
    </row>
    <row r="743" spans="10:13" x14ac:dyDescent="0.2">
      <c r="J743" s="98"/>
      <c r="M743" s="98"/>
    </row>
    <row r="744" spans="10:13" x14ac:dyDescent="0.2">
      <c r="J744" s="98"/>
      <c r="M744" s="98"/>
    </row>
    <row r="745" spans="10:13" x14ac:dyDescent="0.2">
      <c r="J745" s="98"/>
      <c r="M745" s="98"/>
    </row>
    <row r="746" spans="10:13" x14ac:dyDescent="0.2">
      <c r="J746" s="98"/>
      <c r="M746" s="98"/>
    </row>
    <row r="747" spans="10:13" x14ac:dyDescent="0.2">
      <c r="J747" s="98"/>
      <c r="M747" s="98"/>
    </row>
    <row r="748" spans="10:13" x14ac:dyDescent="0.2">
      <c r="J748" s="98"/>
      <c r="M748" s="98"/>
    </row>
    <row r="749" spans="10:13" x14ac:dyDescent="0.2">
      <c r="J749" s="98"/>
      <c r="M749" s="98"/>
    </row>
    <row r="750" spans="10:13" x14ac:dyDescent="0.2">
      <c r="J750" s="98"/>
      <c r="M750" s="98"/>
    </row>
    <row r="751" spans="10:13" x14ac:dyDescent="0.2">
      <c r="J751" s="98"/>
      <c r="M751" s="98"/>
    </row>
    <row r="752" spans="10:13" x14ac:dyDescent="0.2">
      <c r="J752" s="98"/>
      <c r="M752" s="98"/>
    </row>
    <row r="753" spans="10:13" x14ac:dyDescent="0.2">
      <c r="J753" s="98"/>
      <c r="M753" s="98"/>
    </row>
    <row r="754" spans="10:13" x14ac:dyDescent="0.2">
      <c r="J754" s="98"/>
      <c r="M754" s="98"/>
    </row>
    <row r="755" spans="10:13" x14ac:dyDescent="0.2">
      <c r="J755" s="98"/>
      <c r="M755" s="98"/>
    </row>
    <row r="756" spans="10:13" x14ac:dyDescent="0.2">
      <c r="J756" s="98"/>
      <c r="M756" s="98"/>
    </row>
    <row r="757" spans="10:13" x14ac:dyDescent="0.2">
      <c r="J757" s="98"/>
      <c r="M757" s="98"/>
    </row>
    <row r="758" spans="10:13" x14ac:dyDescent="0.2">
      <c r="J758" s="98"/>
      <c r="M758" s="98"/>
    </row>
    <row r="759" spans="10:13" x14ac:dyDescent="0.2">
      <c r="J759" s="98"/>
      <c r="M759" s="98"/>
    </row>
    <row r="760" spans="10:13" x14ac:dyDescent="0.2">
      <c r="J760" s="98"/>
      <c r="M760" s="98"/>
    </row>
    <row r="761" spans="10:13" x14ac:dyDescent="0.2">
      <c r="J761" s="98"/>
      <c r="M761" s="98"/>
    </row>
    <row r="762" spans="10:13" x14ac:dyDescent="0.2">
      <c r="J762" s="98"/>
      <c r="M762" s="98"/>
    </row>
    <row r="763" spans="10:13" x14ac:dyDescent="0.2">
      <c r="J763" s="98"/>
      <c r="M763" s="98"/>
    </row>
    <row r="764" spans="10:13" x14ac:dyDescent="0.2">
      <c r="J764" s="98"/>
      <c r="M764" s="98"/>
    </row>
    <row r="765" spans="10:13" x14ac:dyDescent="0.2">
      <c r="J765" s="98"/>
      <c r="M765" s="98"/>
    </row>
    <row r="766" spans="10:13" x14ac:dyDescent="0.2">
      <c r="J766" s="98"/>
      <c r="M766" s="98"/>
    </row>
    <row r="767" spans="10:13" x14ac:dyDescent="0.2">
      <c r="J767" s="98"/>
      <c r="M767" s="98"/>
    </row>
    <row r="768" spans="10:13" x14ac:dyDescent="0.2">
      <c r="J768" s="98"/>
      <c r="M768" s="98"/>
    </row>
    <row r="769" spans="10:13" x14ac:dyDescent="0.2">
      <c r="J769" s="98"/>
      <c r="M769" s="98"/>
    </row>
    <row r="770" spans="10:13" x14ac:dyDescent="0.2">
      <c r="J770" s="98"/>
      <c r="M770" s="98"/>
    </row>
    <row r="771" spans="10:13" x14ac:dyDescent="0.2">
      <c r="J771" s="98"/>
      <c r="M771" s="98"/>
    </row>
    <row r="772" spans="10:13" x14ac:dyDescent="0.2">
      <c r="J772" s="98"/>
      <c r="M772" s="98"/>
    </row>
    <row r="773" spans="10:13" x14ac:dyDescent="0.2">
      <c r="J773" s="98"/>
      <c r="M773" s="98"/>
    </row>
    <row r="774" spans="10:13" x14ac:dyDescent="0.2">
      <c r="J774" s="98"/>
      <c r="M774" s="98"/>
    </row>
    <row r="775" spans="10:13" x14ac:dyDescent="0.2">
      <c r="J775" s="98"/>
      <c r="M775" s="98"/>
    </row>
    <row r="776" spans="10:13" x14ac:dyDescent="0.2">
      <c r="J776" s="98"/>
      <c r="M776" s="98"/>
    </row>
    <row r="777" spans="10:13" x14ac:dyDescent="0.2">
      <c r="J777" s="98"/>
      <c r="M777" s="98"/>
    </row>
    <row r="778" spans="10:13" x14ac:dyDescent="0.2">
      <c r="J778" s="98"/>
      <c r="M778" s="98"/>
    </row>
    <row r="779" spans="10:13" x14ac:dyDescent="0.2">
      <c r="J779" s="98"/>
      <c r="M779" s="98"/>
    </row>
    <row r="780" spans="10:13" x14ac:dyDescent="0.2">
      <c r="J780" s="98"/>
      <c r="M780" s="98"/>
    </row>
    <row r="781" spans="10:13" x14ac:dyDescent="0.2">
      <c r="J781" s="98"/>
      <c r="M781" s="98"/>
    </row>
    <row r="782" spans="10:13" x14ac:dyDescent="0.2">
      <c r="J782" s="98"/>
      <c r="M782" s="98"/>
    </row>
    <row r="783" spans="10:13" x14ac:dyDescent="0.2">
      <c r="J783" s="98"/>
      <c r="M783" s="98"/>
    </row>
    <row r="784" spans="10:13" x14ac:dyDescent="0.2">
      <c r="J784" s="98"/>
      <c r="M784" s="98"/>
    </row>
    <row r="785" spans="10:13" x14ac:dyDescent="0.2">
      <c r="J785" s="98"/>
      <c r="M785" s="98"/>
    </row>
    <row r="786" spans="10:13" x14ac:dyDescent="0.2">
      <c r="J786" s="98"/>
      <c r="M786" s="98"/>
    </row>
    <row r="787" spans="10:13" x14ac:dyDescent="0.2">
      <c r="J787" s="98"/>
      <c r="M787" s="98"/>
    </row>
    <row r="788" spans="10:13" x14ac:dyDescent="0.2">
      <c r="J788" s="98"/>
      <c r="M788" s="98"/>
    </row>
    <row r="789" spans="10:13" x14ac:dyDescent="0.2">
      <c r="J789" s="98"/>
      <c r="M789" s="98"/>
    </row>
    <row r="790" spans="10:13" x14ac:dyDescent="0.2">
      <c r="J790" s="98"/>
      <c r="M790" s="98"/>
    </row>
    <row r="791" spans="10:13" x14ac:dyDescent="0.2">
      <c r="J791" s="98"/>
      <c r="M791" s="98"/>
    </row>
    <row r="792" spans="10:13" x14ac:dyDescent="0.2">
      <c r="J792" s="98"/>
      <c r="M792" s="98"/>
    </row>
    <row r="793" spans="10:13" x14ac:dyDescent="0.2">
      <c r="J793" s="98"/>
      <c r="M793" s="98"/>
    </row>
    <row r="794" spans="10:13" x14ac:dyDescent="0.2">
      <c r="J794" s="98"/>
      <c r="M794" s="98"/>
    </row>
    <row r="795" spans="10:13" x14ac:dyDescent="0.2">
      <c r="J795" s="98"/>
      <c r="M795" s="98"/>
    </row>
    <row r="796" spans="10:13" x14ac:dyDescent="0.2">
      <c r="J796" s="98"/>
      <c r="M796" s="98"/>
    </row>
    <row r="797" spans="10:13" x14ac:dyDescent="0.2">
      <c r="J797" s="98"/>
      <c r="M797" s="98"/>
    </row>
    <row r="798" spans="10:13" x14ac:dyDescent="0.2">
      <c r="J798" s="98"/>
      <c r="M798" s="98"/>
    </row>
    <row r="799" spans="10:13" x14ac:dyDescent="0.2">
      <c r="J799" s="98"/>
      <c r="M799" s="98"/>
    </row>
    <row r="800" spans="10:13" x14ac:dyDescent="0.2">
      <c r="J800" s="98"/>
      <c r="M800" s="98"/>
    </row>
    <row r="801" spans="10:13" x14ac:dyDescent="0.2">
      <c r="J801" s="98"/>
      <c r="M801" s="98"/>
    </row>
    <row r="802" spans="10:13" x14ac:dyDescent="0.2">
      <c r="J802" s="98"/>
      <c r="M802" s="98"/>
    </row>
    <row r="803" spans="10:13" x14ac:dyDescent="0.2">
      <c r="J803" s="98"/>
      <c r="M803" s="98"/>
    </row>
    <row r="804" spans="10:13" x14ac:dyDescent="0.2">
      <c r="J804" s="98"/>
      <c r="M804" s="98"/>
    </row>
    <row r="805" spans="10:13" x14ac:dyDescent="0.2">
      <c r="J805" s="98"/>
      <c r="M805" s="98"/>
    </row>
    <row r="806" spans="10:13" x14ac:dyDescent="0.2">
      <c r="J806" s="98"/>
      <c r="M806" s="98"/>
    </row>
    <row r="807" spans="10:13" x14ac:dyDescent="0.2">
      <c r="J807" s="98"/>
      <c r="M807" s="98"/>
    </row>
    <row r="808" spans="10:13" x14ac:dyDescent="0.2">
      <c r="J808" s="98"/>
      <c r="M808" s="98"/>
    </row>
    <row r="809" spans="10:13" x14ac:dyDescent="0.2">
      <c r="J809" s="98"/>
      <c r="M809" s="98"/>
    </row>
    <row r="810" spans="10:13" x14ac:dyDescent="0.2">
      <c r="J810" s="98"/>
      <c r="M810" s="98"/>
    </row>
    <row r="811" spans="10:13" x14ac:dyDescent="0.2">
      <c r="J811" s="98"/>
      <c r="M811" s="98"/>
    </row>
    <row r="812" spans="10:13" x14ac:dyDescent="0.2">
      <c r="J812" s="98"/>
      <c r="M812" s="98"/>
    </row>
    <row r="813" spans="10:13" x14ac:dyDescent="0.2">
      <c r="J813" s="98"/>
      <c r="M813" s="98"/>
    </row>
    <row r="814" spans="10:13" x14ac:dyDescent="0.2">
      <c r="J814" s="98"/>
      <c r="M814" s="98"/>
    </row>
    <row r="815" spans="10:13" x14ac:dyDescent="0.2">
      <c r="J815" s="98"/>
      <c r="M815" s="98"/>
    </row>
    <row r="816" spans="10:13" x14ac:dyDescent="0.2">
      <c r="J816" s="98"/>
      <c r="M816" s="98"/>
    </row>
    <row r="817" spans="10:13" x14ac:dyDescent="0.2">
      <c r="J817" s="98"/>
      <c r="M817" s="98"/>
    </row>
    <row r="818" spans="10:13" x14ac:dyDescent="0.2">
      <c r="J818" s="98"/>
      <c r="M818" s="98"/>
    </row>
    <row r="819" spans="10:13" x14ac:dyDescent="0.2">
      <c r="J819" s="98"/>
      <c r="M819" s="98"/>
    </row>
    <row r="820" spans="10:13" x14ac:dyDescent="0.2">
      <c r="J820" s="98"/>
      <c r="M820" s="98"/>
    </row>
    <row r="821" spans="10:13" x14ac:dyDescent="0.2">
      <c r="J821" s="98"/>
      <c r="M821" s="98"/>
    </row>
    <row r="822" spans="10:13" x14ac:dyDescent="0.2">
      <c r="J822" s="98"/>
      <c r="M822" s="98"/>
    </row>
    <row r="823" spans="10:13" x14ac:dyDescent="0.2">
      <c r="J823" s="98"/>
      <c r="M823" s="98"/>
    </row>
    <row r="824" spans="10:13" x14ac:dyDescent="0.2">
      <c r="J824" s="98"/>
      <c r="M824" s="98"/>
    </row>
    <row r="825" spans="10:13" x14ac:dyDescent="0.2">
      <c r="J825" s="98"/>
      <c r="M825" s="98"/>
    </row>
    <row r="826" spans="10:13" x14ac:dyDescent="0.2">
      <c r="J826" s="98"/>
      <c r="M826" s="98"/>
    </row>
    <row r="827" spans="10:13" x14ac:dyDescent="0.2">
      <c r="J827" s="98"/>
      <c r="M827" s="98"/>
    </row>
    <row r="828" spans="10:13" x14ac:dyDescent="0.2">
      <c r="J828" s="98"/>
      <c r="M828" s="98"/>
    </row>
    <row r="829" spans="10:13" x14ac:dyDescent="0.2">
      <c r="J829" s="98"/>
      <c r="M829" s="98"/>
    </row>
    <row r="830" spans="10:13" x14ac:dyDescent="0.2">
      <c r="J830" s="98"/>
      <c r="M830" s="98"/>
    </row>
    <row r="831" spans="10:13" x14ac:dyDescent="0.2">
      <c r="J831" s="98"/>
      <c r="M831" s="98"/>
    </row>
    <row r="832" spans="10:13" x14ac:dyDescent="0.2">
      <c r="J832" s="98"/>
      <c r="M832" s="98"/>
    </row>
    <row r="833" spans="10:13" x14ac:dyDescent="0.2">
      <c r="J833" s="98"/>
      <c r="M833" s="98"/>
    </row>
    <row r="834" spans="10:13" x14ac:dyDescent="0.2">
      <c r="J834" s="98"/>
      <c r="M834" s="98"/>
    </row>
    <row r="835" spans="10:13" x14ac:dyDescent="0.2">
      <c r="J835" s="98"/>
      <c r="M835" s="98"/>
    </row>
    <row r="836" spans="10:13" x14ac:dyDescent="0.2">
      <c r="J836" s="98"/>
      <c r="M836" s="98"/>
    </row>
    <row r="837" spans="10:13" x14ac:dyDescent="0.2">
      <c r="J837" s="98"/>
      <c r="M837" s="98"/>
    </row>
    <row r="838" spans="10:13" x14ac:dyDescent="0.2">
      <c r="J838" s="98"/>
      <c r="M838" s="98"/>
    </row>
    <row r="839" spans="10:13" x14ac:dyDescent="0.2">
      <c r="J839" s="98"/>
      <c r="M839" s="98"/>
    </row>
    <row r="840" spans="10:13" x14ac:dyDescent="0.2">
      <c r="J840" s="98"/>
      <c r="M840" s="98"/>
    </row>
    <row r="841" spans="10:13" x14ac:dyDescent="0.2">
      <c r="J841" s="98"/>
      <c r="M841" s="98"/>
    </row>
    <row r="842" spans="10:13" x14ac:dyDescent="0.2">
      <c r="J842" s="98"/>
      <c r="M842" s="98"/>
    </row>
    <row r="843" spans="10:13" x14ac:dyDescent="0.2">
      <c r="J843" s="98"/>
      <c r="M843" s="98"/>
    </row>
    <row r="844" spans="10:13" x14ac:dyDescent="0.2">
      <c r="J844" s="98"/>
      <c r="M844" s="98"/>
    </row>
    <row r="845" spans="10:13" x14ac:dyDescent="0.2">
      <c r="J845" s="98"/>
      <c r="M845" s="98"/>
    </row>
    <row r="846" spans="10:13" x14ac:dyDescent="0.2">
      <c r="J846" s="98"/>
      <c r="M846" s="98"/>
    </row>
    <row r="847" spans="10:13" x14ac:dyDescent="0.2">
      <c r="J847" s="98"/>
      <c r="M847" s="98"/>
    </row>
    <row r="848" spans="10:13" x14ac:dyDescent="0.2">
      <c r="J848" s="98"/>
      <c r="M848" s="98"/>
    </row>
    <row r="849" spans="10:13" x14ac:dyDescent="0.2">
      <c r="J849" s="98"/>
      <c r="M849" s="98"/>
    </row>
    <row r="850" spans="10:13" x14ac:dyDescent="0.2">
      <c r="J850" s="98"/>
      <c r="M850" s="98"/>
    </row>
    <row r="851" spans="10:13" x14ac:dyDescent="0.2">
      <c r="J851" s="98"/>
      <c r="M851" s="98"/>
    </row>
    <row r="852" spans="10:13" x14ac:dyDescent="0.2">
      <c r="J852" s="98"/>
      <c r="M852" s="98"/>
    </row>
    <row r="853" spans="10:13" x14ac:dyDescent="0.2">
      <c r="J853" s="98"/>
      <c r="M853" s="98"/>
    </row>
    <row r="854" spans="10:13" x14ac:dyDescent="0.2">
      <c r="J854" s="98"/>
      <c r="M854" s="98"/>
    </row>
    <row r="855" spans="10:13" x14ac:dyDescent="0.2">
      <c r="J855" s="98"/>
      <c r="M855" s="98"/>
    </row>
    <row r="856" spans="10:13" x14ac:dyDescent="0.2">
      <c r="J856" s="98"/>
      <c r="M856" s="98"/>
    </row>
    <row r="857" spans="10:13" x14ac:dyDescent="0.2">
      <c r="J857" s="98"/>
      <c r="M857" s="98"/>
    </row>
    <row r="858" spans="10:13" x14ac:dyDescent="0.2">
      <c r="J858" s="98"/>
      <c r="M858" s="98"/>
    </row>
    <row r="859" spans="10:13" x14ac:dyDescent="0.2">
      <c r="J859" s="98"/>
      <c r="M859" s="98"/>
    </row>
    <row r="860" spans="10:13" x14ac:dyDescent="0.2">
      <c r="J860" s="98"/>
      <c r="M860" s="98"/>
    </row>
    <row r="861" spans="10:13" x14ac:dyDescent="0.2">
      <c r="J861" s="98"/>
      <c r="M861" s="98"/>
    </row>
    <row r="862" spans="10:13" x14ac:dyDescent="0.2">
      <c r="J862" s="98"/>
      <c r="M862" s="98"/>
    </row>
    <row r="863" spans="10:13" x14ac:dyDescent="0.2">
      <c r="J863" s="98"/>
      <c r="M863" s="98"/>
    </row>
    <row r="864" spans="10:13" x14ac:dyDescent="0.2">
      <c r="J864" s="98"/>
      <c r="M864" s="98"/>
    </row>
    <row r="865" spans="10:13" x14ac:dyDescent="0.2">
      <c r="J865" s="98"/>
      <c r="M865" s="98"/>
    </row>
    <row r="866" spans="10:13" x14ac:dyDescent="0.2">
      <c r="J866" s="98"/>
      <c r="M866" s="98"/>
    </row>
    <row r="867" spans="10:13" x14ac:dyDescent="0.2">
      <c r="J867" s="98"/>
      <c r="M867" s="98"/>
    </row>
    <row r="868" spans="10:13" x14ac:dyDescent="0.2">
      <c r="J868" s="98"/>
      <c r="M868" s="98"/>
    </row>
    <row r="869" spans="10:13" x14ac:dyDescent="0.2">
      <c r="J869" s="98"/>
      <c r="M869" s="98"/>
    </row>
    <row r="870" spans="10:13" x14ac:dyDescent="0.2">
      <c r="J870" s="98"/>
      <c r="M870" s="98"/>
    </row>
    <row r="871" spans="10:13" x14ac:dyDescent="0.2">
      <c r="J871" s="98"/>
      <c r="M871" s="98"/>
    </row>
    <row r="872" spans="10:13" x14ac:dyDescent="0.2">
      <c r="J872" s="98"/>
      <c r="M872" s="98"/>
    </row>
    <row r="873" spans="10:13" x14ac:dyDescent="0.2">
      <c r="J873" s="98"/>
      <c r="M873" s="98"/>
    </row>
    <row r="874" spans="10:13" x14ac:dyDescent="0.2">
      <c r="J874" s="98"/>
      <c r="M874" s="98"/>
    </row>
    <row r="875" spans="10:13" x14ac:dyDescent="0.2">
      <c r="J875" s="98"/>
      <c r="M875" s="98"/>
    </row>
    <row r="876" spans="10:13" x14ac:dyDescent="0.2">
      <c r="J876" s="98"/>
      <c r="M876" s="98"/>
    </row>
    <row r="877" spans="10:13" x14ac:dyDescent="0.2">
      <c r="J877" s="98"/>
      <c r="M877" s="98"/>
    </row>
    <row r="878" spans="10:13" x14ac:dyDescent="0.2">
      <c r="J878" s="98"/>
      <c r="M878" s="98"/>
    </row>
    <row r="879" spans="10:13" x14ac:dyDescent="0.2">
      <c r="J879" s="98"/>
      <c r="M879" s="98"/>
    </row>
    <row r="880" spans="10:13" x14ac:dyDescent="0.2">
      <c r="J880" s="98"/>
      <c r="M880" s="98"/>
    </row>
    <row r="881" spans="10:13" x14ac:dyDescent="0.2">
      <c r="J881" s="98"/>
      <c r="M881" s="98"/>
    </row>
    <row r="882" spans="10:13" x14ac:dyDescent="0.2">
      <c r="J882" s="98"/>
      <c r="M882" s="98"/>
    </row>
    <row r="883" spans="10:13" x14ac:dyDescent="0.2">
      <c r="J883" s="98"/>
      <c r="M883" s="98"/>
    </row>
    <row r="884" spans="10:13" x14ac:dyDescent="0.2">
      <c r="J884" s="98"/>
      <c r="M884" s="98"/>
    </row>
    <row r="885" spans="10:13" x14ac:dyDescent="0.2">
      <c r="J885" s="98"/>
      <c r="M885" s="98"/>
    </row>
    <row r="886" spans="10:13" x14ac:dyDescent="0.2">
      <c r="J886" s="98"/>
      <c r="M886" s="98"/>
    </row>
    <row r="887" spans="10:13" x14ac:dyDescent="0.2">
      <c r="J887" s="98"/>
      <c r="M887" s="98"/>
    </row>
    <row r="888" spans="10:13" x14ac:dyDescent="0.2">
      <c r="J888" s="98"/>
      <c r="M888" s="98"/>
    </row>
    <row r="889" spans="10:13" x14ac:dyDescent="0.2">
      <c r="J889" s="98"/>
      <c r="M889" s="98"/>
    </row>
    <row r="890" spans="10:13" x14ac:dyDescent="0.2">
      <c r="J890" s="98"/>
      <c r="M890" s="98"/>
    </row>
    <row r="891" spans="10:13" x14ac:dyDescent="0.2">
      <c r="J891" s="98"/>
      <c r="M891" s="98"/>
    </row>
    <row r="892" spans="10:13" x14ac:dyDescent="0.2">
      <c r="J892" s="98"/>
      <c r="M892" s="98"/>
    </row>
    <row r="893" spans="10:13" x14ac:dyDescent="0.2">
      <c r="J893" s="98"/>
      <c r="M893" s="98"/>
    </row>
    <row r="894" spans="10:13" x14ac:dyDescent="0.2">
      <c r="J894" s="98"/>
      <c r="M894" s="98"/>
    </row>
    <row r="895" spans="10:13" x14ac:dyDescent="0.2">
      <c r="J895" s="98"/>
      <c r="M895" s="98"/>
    </row>
    <row r="896" spans="10:13" x14ac:dyDescent="0.2">
      <c r="J896" s="98"/>
      <c r="M896" s="98"/>
    </row>
    <row r="897" spans="10:13" x14ac:dyDescent="0.2">
      <c r="J897" s="98"/>
      <c r="M897" s="98"/>
    </row>
    <row r="898" spans="10:13" x14ac:dyDescent="0.2">
      <c r="J898" s="98"/>
      <c r="M898" s="98"/>
    </row>
    <row r="899" spans="10:13" x14ac:dyDescent="0.2">
      <c r="J899" s="98"/>
      <c r="M899" s="98"/>
    </row>
    <row r="900" spans="10:13" x14ac:dyDescent="0.2">
      <c r="J900" s="98"/>
      <c r="M900" s="98"/>
    </row>
    <row r="901" spans="10:13" x14ac:dyDescent="0.2">
      <c r="J901" s="98"/>
      <c r="M901" s="98"/>
    </row>
    <row r="902" spans="10:13" x14ac:dyDescent="0.2">
      <c r="J902" s="98"/>
      <c r="M902" s="98"/>
    </row>
    <row r="903" spans="10:13" x14ac:dyDescent="0.2">
      <c r="J903" s="98"/>
      <c r="M903" s="98"/>
    </row>
    <row r="904" spans="10:13" x14ac:dyDescent="0.2">
      <c r="J904" s="98"/>
      <c r="M904" s="98"/>
    </row>
    <row r="905" spans="10:13" x14ac:dyDescent="0.2">
      <c r="J905" s="98"/>
      <c r="M905" s="98"/>
    </row>
    <row r="906" spans="10:13" x14ac:dyDescent="0.2">
      <c r="J906" s="98"/>
      <c r="M906" s="98"/>
    </row>
    <row r="907" spans="10:13" x14ac:dyDescent="0.2">
      <c r="J907" s="98"/>
      <c r="M907" s="98"/>
    </row>
    <row r="908" spans="10:13" x14ac:dyDescent="0.2">
      <c r="J908" s="98"/>
      <c r="M908" s="98"/>
    </row>
    <row r="909" spans="10:13" x14ac:dyDescent="0.2">
      <c r="J909" s="98"/>
      <c r="M909" s="98"/>
    </row>
    <row r="910" spans="10:13" x14ac:dyDescent="0.2">
      <c r="J910" s="98"/>
      <c r="M910" s="98"/>
    </row>
    <row r="911" spans="10:13" x14ac:dyDescent="0.2">
      <c r="J911" s="98"/>
      <c r="M911" s="98"/>
    </row>
    <row r="912" spans="10:13" x14ac:dyDescent="0.2">
      <c r="J912" s="98"/>
      <c r="M912" s="98"/>
    </row>
    <row r="913" spans="10:13" x14ac:dyDescent="0.2">
      <c r="J913" s="98"/>
      <c r="M913" s="98"/>
    </row>
    <row r="914" spans="10:13" x14ac:dyDescent="0.2">
      <c r="J914" s="98"/>
      <c r="M914" s="98"/>
    </row>
    <row r="915" spans="10:13" x14ac:dyDescent="0.2">
      <c r="J915" s="98"/>
      <c r="M915" s="98"/>
    </row>
    <row r="916" spans="10:13" x14ac:dyDescent="0.2">
      <c r="J916" s="98"/>
      <c r="M916" s="98"/>
    </row>
    <row r="917" spans="10:13" x14ac:dyDescent="0.2">
      <c r="J917" s="98"/>
      <c r="M917" s="98"/>
    </row>
    <row r="918" spans="10:13" x14ac:dyDescent="0.2">
      <c r="J918" s="98"/>
      <c r="M918" s="98"/>
    </row>
    <row r="919" spans="10:13" x14ac:dyDescent="0.2">
      <c r="J919" s="98"/>
      <c r="M919" s="98"/>
    </row>
    <row r="920" spans="10:13" x14ac:dyDescent="0.2">
      <c r="J920" s="98"/>
      <c r="M920" s="98"/>
    </row>
    <row r="921" spans="10:13" x14ac:dyDescent="0.2">
      <c r="J921" s="98"/>
      <c r="M921" s="98"/>
    </row>
    <row r="922" spans="10:13" x14ac:dyDescent="0.2">
      <c r="J922" s="98"/>
      <c r="M922" s="98"/>
    </row>
    <row r="923" spans="10:13" x14ac:dyDescent="0.2">
      <c r="J923" s="98"/>
      <c r="M923" s="98"/>
    </row>
    <row r="924" spans="10:13" x14ac:dyDescent="0.2">
      <c r="J924" s="98"/>
      <c r="M924" s="98"/>
    </row>
    <row r="925" spans="10:13" x14ac:dyDescent="0.2">
      <c r="J925" s="98"/>
      <c r="M925" s="98"/>
    </row>
    <row r="926" spans="10:13" x14ac:dyDescent="0.2">
      <c r="J926" s="98"/>
      <c r="M926" s="98"/>
    </row>
    <row r="927" spans="10:13" x14ac:dyDescent="0.2">
      <c r="J927" s="98"/>
      <c r="M927" s="98"/>
    </row>
    <row r="928" spans="10:13" x14ac:dyDescent="0.2">
      <c r="J928" s="98"/>
      <c r="M928" s="98"/>
    </row>
    <row r="929" spans="10:13" x14ac:dyDescent="0.2">
      <c r="J929" s="98"/>
      <c r="M929" s="98"/>
    </row>
    <row r="930" spans="10:13" x14ac:dyDescent="0.2">
      <c r="J930" s="98"/>
      <c r="M930" s="98"/>
    </row>
    <row r="931" spans="10:13" x14ac:dyDescent="0.2">
      <c r="J931" s="98"/>
      <c r="M931" s="98"/>
    </row>
    <row r="932" spans="10:13" x14ac:dyDescent="0.2">
      <c r="J932" s="98"/>
      <c r="M932" s="98"/>
    </row>
    <row r="933" spans="10:13" x14ac:dyDescent="0.2">
      <c r="J933" s="98"/>
      <c r="M933" s="98"/>
    </row>
    <row r="934" spans="10:13" x14ac:dyDescent="0.2">
      <c r="J934" s="98"/>
      <c r="M934" s="98"/>
    </row>
    <row r="935" spans="10:13" x14ac:dyDescent="0.2">
      <c r="J935" s="98"/>
      <c r="M935" s="98"/>
    </row>
    <row r="936" spans="10:13" x14ac:dyDescent="0.2">
      <c r="J936" s="98"/>
      <c r="M936" s="98"/>
    </row>
    <row r="937" spans="10:13" x14ac:dyDescent="0.2">
      <c r="J937" s="98"/>
      <c r="M937" s="98"/>
    </row>
    <row r="938" spans="10:13" x14ac:dyDescent="0.2">
      <c r="J938" s="98"/>
      <c r="M938" s="98"/>
    </row>
    <row r="939" spans="10:13" x14ac:dyDescent="0.2">
      <c r="J939" s="98"/>
      <c r="M939" s="98"/>
    </row>
    <row r="940" spans="10:13" x14ac:dyDescent="0.2">
      <c r="J940" s="98"/>
      <c r="M940" s="98"/>
    </row>
    <row r="941" spans="10:13" x14ac:dyDescent="0.2">
      <c r="J941" s="98"/>
      <c r="M941" s="98"/>
    </row>
    <row r="942" spans="10:13" x14ac:dyDescent="0.2">
      <c r="J942" s="98"/>
      <c r="M942" s="98"/>
    </row>
    <row r="943" spans="10:13" x14ac:dyDescent="0.2">
      <c r="J943" s="98"/>
      <c r="M943" s="98"/>
    </row>
    <row r="944" spans="10:13" x14ac:dyDescent="0.2">
      <c r="J944" s="98"/>
      <c r="M944" s="98"/>
    </row>
    <row r="945" spans="10:13" x14ac:dyDescent="0.2">
      <c r="J945" s="98"/>
      <c r="M945" s="98"/>
    </row>
    <row r="946" spans="10:13" x14ac:dyDescent="0.2">
      <c r="J946" s="98"/>
      <c r="M946" s="98"/>
    </row>
    <row r="947" spans="10:13" x14ac:dyDescent="0.2">
      <c r="J947" s="98"/>
      <c r="M947" s="98"/>
    </row>
    <row r="948" spans="10:13" x14ac:dyDescent="0.2">
      <c r="J948" s="98"/>
      <c r="M948" s="98"/>
    </row>
    <row r="949" spans="10:13" x14ac:dyDescent="0.2">
      <c r="J949" s="98"/>
      <c r="M949" s="98"/>
    </row>
    <row r="950" spans="10:13" x14ac:dyDescent="0.2">
      <c r="J950" s="98"/>
      <c r="M950" s="98"/>
    </row>
    <row r="951" spans="10:13" x14ac:dyDescent="0.2">
      <c r="J951" s="98"/>
      <c r="M951" s="98"/>
    </row>
    <row r="952" spans="10:13" x14ac:dyDescent="0.2">
      <c r="J952" s="98"/>
      <c r="M952" s="98"/>
    </row>
    <row r="953" spans="10:13" x14ac:dyDescent="0.2">
      <c r="J953" s="98"/>
      <c r="M953" s="98"/>
    </row>
    <row r="954" spans="10:13" x14ac:dyDescent="0.2">
      <c r="J954" s="98"/>
      <c r="M954" s="98"/>
    </row>
    <row r="955" spans="10:13" x14ac:dyDescent="0.2">
      <c r="J955" s="98"/>
      <c r="M955" s="98"/>
    </row>
    <row r="956" spans="10:13" x14ac:dyDescent="0.2">
      <c r="J956" s="98"/>
      <c r="M956" s="98"/>
    </row>
    <row r="957" spans="10:13" x14ac:dyDescent="0.2">
      <c r="J957" s="98"/>
      <c r="M957" s="98"/>
    </row>
    <row r="958" spans="10:13" x14ac:dyDescent="0.2">
      <c r="J958" s="98"/>
      <c r="M958" s="98"/>
    </row>
    <row r="959" spans="10:13" x14ac:dyDescent="0.2">
      <c r="J959" s="98"/>
      <c r="M959" s="98"/>
    </row>
    <row r="960" spans="10:13" x14ac:dyDescent="0.2">
      <c r="J960" s="98"/>
      <c r="M960" s="98"/>
    </row>
    <row r="961" spans="10:13" x14ac:dyDescent="0.2">
      <c r="J961" s="98"/>
      <c r="M961" s="98"/>
    </row>
    <row r="962" spans="10:13" x14ac:dyDescent="0.2">
      <c r="J962" s="98"/>
      <c r="M962" s="98"/>
    </row>
    <row r="963" spans="10:13" x14ac:dyDescent="0.2">
      <c r="J963" s="98"/>
      <c r="M963" s="98"/>
    </row>
    <row r="964" spans="10:13" x14ac:dyDescent="0.2">
      <c r="J964" s="98"/>
      <c r="M964" s="98"/>
    </row>
    <row r="965" spans="10:13" x14ac:dyDescent="0.2">
      <c r="J965" s="98"/>
      <c r="M965" s="98"/>
    </row>
    <row r="966" spans="10:13" x14ac:dyDescent="0.2">
      <c r="J966" s="98"/>
      <c r="M966" s="98"/>
    </row>
    <row r="967" spans="10:13" x14ac:dyDescent="0.2">
      <c r="J967" s="98"/>
      <c r="M967" s="98"/>
    </row>
    <row r="968" spans="10:13" x14ac:dyDescent="0.2">
      <c r="J968" s="98"/>
      <c r="M968" s="98"/>
    </row>
    <row r="969" spans="10:13" x14ac:dyDescent="0.2">
      <c r="J969" s="98"/>
      <c r="M969" s="98"/>
    </row>
    <row r="970" spans="10:13" x14ac:dyDescent="0.2">
      <c r="J970" s="98"/>
      <c r="M970" s="98"/>
    </row>
    <row r="971" spans="10:13" x14ac:dyDescent="0.2">
      <c r="J971" s="98"/>
      <c r="M971" s="98"/>
    </row>
    <row r="972" spans="10:13" x14ac:dyDescent="0.2">
      <c r="J972" s="98"/>
      <c r="M972" s="98"/>
    </row>
    <row r="973" spans="10:13" x14ac:dyDescent="0.2">
      <c r="J973" s="98"/>
      <c r="M973" s="98"/>
    </row>
    <row r="974" spans="10:13" x14ac:dyDescent="0.2">
      <c r="J974" s="98"/>
      <c r="M974" s="98"/>
    </row>
    <row r="975" spans="10:13" x14ac:dyDescent="0.2">
      <c r="J975" s="98"/>
      <c r="M975" s="98"/>
    </row>
    <row r="976" spans="10:13" x14ac:dyDescent="0.2">
      <c r="J976" s="98"/>
      <c r="M976" s="98"/>
    </row>
    <row r="977" spans="10:13" x14ac:dyDescent="0.2">
      <c r="J977" s="98"/>
      <c r="M977" s="98"/>
    </row>
    <row r="978" spans="10:13" x14ac:dyDescent="0.2">
      <c r="J978" s="98"/>
      <c r="M978" s="98"/>
    </row>
    <row r="979" spans="10:13" x14ac:dyDescent="0.2">
      <c r="J979" s="98"/>
      <c r="M979" s="98"/>
    </row>
    <row r="980" spans="10:13" x14ac:dyDescent="0.2">
      <c r="J980" s="98"/>
      <c r="M980" s="98"/>
    </row>
    <row r="981" spans="10:13" x14ac:dyDescent="0.2">
      <c r="J981" s="98"/>
      <c r="M981" s="98"/>
    </row>
    <row r="982" spans="10:13" x14ac:dyDescent="0.2">
      <c r="J982" s="98"/>
      <c r="M982" s="98"/>
    </row>
    <row r="983" spans="10:13" x14ac:dyDescent="0.2">
      <c r="J983" s="98"/>
      <c r="M983" s="98"/>
    </row>
    <row r="984" spans="10:13" x14ac:dyDescent="0.2">
      <c r="J984" s="98"/>
      <c r="M984" s="98"/>
    </row>
    <row r="985" spans="10:13" x14ac:dyDescent="0.2">
      <c r="J985" s="98"/>
      <c r="M985" s="98"/>
    </row>
    <row r="986" spans="10:13" x14ac:dyDescent="0.2">
      <c r="J986" s="98"/>
      <c r="M986" s="98"/>
    </row>
    <row r="987" spans="10:13" x14ac:dyDescent="0.2">
      <c r="J987" s="98"/>
      <c r="M987" s="98"/>
    </row>
    <row r="988" spans="10:13" x14ac:dyDescent="0.2">
      <c r="J988" s="98"/>
      <c r="M988" s="98"/>
    </row>
    <row r="989" spans="10:13" x14ac:dyDescent="0.2">
      <c r="J989" s="98"/>
      <c r="M989" s="98"/>
    </row>
    <row r="990" spans="10:13" x14ac:dyDescent="0.2">
      <c r="J990" s="98"/>
      <c r="M990" s="98"/>
    </row>
    <row r="991" spans="10:13" x14ac:dyDescent="0.2">
      <c r="J991" s="98"/>
      <c r="M991" s="98"/>
    </row>
    <row r="992" spans="10:13" x14ac:dyDescent="0.2">
      <c r="J992" s="98"/>
      <c r="M992" s="98"/>
    </row>
    <row r="993" spans="10:13" x14ac:dyDescent="0.2">
      <c r="J993" s="98"/>
      <c r="M993" s="98"/>
    </row>
    <row r="994" spans="10:13" x14ac:dyDescent="0.2">
      <c r="J994" s="98"/>
      <c r="M994" s="98"/>
    </row>
    <row r="995" spans="10:13" x14ac:dyDescent="0.2">
      <c r="J995" s="98"/>
      <c r="M995" s="98"/>
    </row>
    <row r="996" spans="10:13" x14ac:dyDescent="0.2">
      <c r="J996" s="98"/>
      <c r="M996" s="98"/>
    </row>
    <row r="997" spans="10:13" x14ac:dyDescent="0.2">
      <c r="J997" s="98"/>
      <c r="M997" s="98"/>
    </row>
    <row r="998" spans="10:13" x14ac:dyDescent="0.2">
      <c r="J998" s="98"/>
      <c r="M998" s="98"/>
    </row>
    <row r="999" spans="10:13" x14ac:dyDescent="0.2">
      <c r="J999" s="98"/>
      <c r="M999" s="98"/>
    </row>
    <row r="1000" spans="10:13" x14ac:dyDescent="0.2">
      <c r="J1000" s="98"/>
      <c r="M1000" s="98"/>
    </row>
    <row r="1001" spans="10:13" x14ac:dyDescent="0.2">
      <c r="J1001" s="98"/>
      <c r="M1001" s="98"/>
    </row>
    <row r="1002" spans="10:13" x14ac:dyDescent="0.2">
      <c r="J1002" s="98"/>
      <c r="M1002" s="98"/>
    </row>
  </sheetData>
  <autoFilter ref="A3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N39"/>
  <sheetViews>
    <sheetView showGridLines="0" workbookViewId="0"/>
  </sheetViews>
  <sheetFormatPr defaultColWidth="12.5703125" defaultRowHeight="15.75" customHeight="1" outlineLevelCol="1" x14ac:dyDescent="0.2"/>
  <cols>
    <col min="1" max="1" width="12.5703125" outlineLevel="1"/>
    <col min="5" max="5" width="19.85546875" customWidth="1"/>
    <col min="8" max="8" width="18.42578125" customWidth="1"/>
    <col min="9" max="9" width="17.42578125" customWidth="1"/>
    <col min="10" max="10" width="17" customWidth="1"/>
  </cols>
  <sheetData>
    <row r="1" spans="1:170" ht="15.75" customHeight="1" x14ac:dyDescent="0.35">
      <c r="E1" s="68"/>
      <c r="F1" s="68"/>
      <c r="G1" s="100"/>
      <c r="H1" s="100"/>
      <c r="I1" s="101">
        <v>4.5</v>
      </c>
      <c r="J1" s="102" t="s">
        <v>141</v>
      </c>
    </row>
    <row r="2" spans="1:170" ht="15.75" customHeight="1" x14ac:dyDescent="0.4">
      <c r="B2" s="131" t="s">
        <v>148</v>
      </c>
      <c r="E2" s="104">
        <v>70</v>
      </c>
      <c r="F2" s="104">
        <v>20</v>
      </c>
      <c r="G2" s="105" t="s">
        <v>142</v>
      </c>
      <c r="H2" s="105" t="s">
        <v>143</v>
      </c>
      <c r="I2" s="106" t="s">
        <v>144</v>
      </c>
      <c r="J2" s="105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03"/>
      <c r="AS2" s="103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  <c r="BR2" s="103"/>
      <c r="BS2" s="103"/>
      <c r="BT2" s="103"/>
      <c r="BU2" s="103"/>
      <c r="BV2" s="103"/>
      <c r="BW2" s="103"/>
      <c r="BX2" s="103"/>
      <c r="BY2" s="103"/>
      <c r="BZ2" s="103"/>
      <c r="CA2" s="103"/>
      <c r="CB2" s="103"/>
      <c r="CC2" s="103"/>
      <c r="CD2" s="103"/>
      <c r="CE2" s="103"/>
      <c r="CF2" s="103"/>
      <c r="CG2" s="103"/>
      <c r="CH2" s="103"/>
      <c r="CI2" s="103"/>
      <c r="CJ2" s="103"/>
      <c r="CK2" s="103"/>
      <c r="CL2" s="103"/>
      <c r="CM2" s="103"/>
      <c r="CN2" s="103"/>
      <c r="CO2" s="103"/>
      <c r="CP2" s="103"/>
      <c r="CQ2" s="103"/>
      <c r="CR2" s="103"/>
      <c r="CS2" s="103"/>
      <c r="CT2" s="103"/>
      <c r="CU2" s="103"/>
      <c r="CV2" s="103"/>
      <c r="CW2" s="103"/>
      <c r="CX2" s="103"/>
      <c r="CY2" s="103"/>
      <c r="CZ2" s="103"/>
      <c r="DA2" s="103"/>
      <c r="DB2" s="103"/>
      <c r="DC2" s="103"/>
      <c r="DD2" s="103"/>
      <c r="DE2" s="103"/>
      <c r="DF2" s="103"/>
      <c r="DG2" s="103"/>
      <c r="DH2" s="103"/>
      <c r="DI2" s="103"/>
      <c r="DJ2" s="103"/>
      <c r="DK2" s="103"/>
      <c r="DL2" s="103"/>
      <c r="DM2" s="103"/>
      <c r="DN2" s="103"/>
      <c r="DO2" s="103"/>
      <c r="DP2" s="103"/>
      <c r="DQ2" s="103"/>
      <c r="DR2" s="103"/>
      <c r="DS2" s="103"/>
      <c r="DT2" s="103"/>
      <c r="DU2" s="103"/>
      <c r="DV2" s="103"/>
      <c r="DW2" s="103"/>
      <c r="DX2" s="103"/>
      <c r="DY2" s="103"/>
      <c r="DZ2" s="103"/>
      <c r="EA2" s="103"/>
      <c r="EB2" s="103"/>
      <c r="EC2" s="103"/>
      <c r="ED2" s="103"/>
      <c r="EE2" s="103"/>
      <c r="EF2" s="103"/>
      <c r="EG2" s="103"/>
      <c r="EH2" s="103"/>
      <c r="EI2" s="103"/>
      <c r="EJ2" s="103"/>
      <c r="EK2" s="103"/>
      <c r="EL2" s="103"/>
      <c r="EM2" s="103"/>
      <c r="EN2" s="103"/>
      <c r="EO2" s="103"/>
      <c r="EP2" s="103"/>
      <c r="EQ2" s="103"/>
      <c r="ER2" s="103"/>
      <c r="ES2" s="103"/>
      <c r="ET2" s="103"/>
      <c r="EU2" s="103"/>
      <c r="EV2" s="103"/>
      <c r="EW2" s="103"/>
      <c r="EX2" s="103"/>
      <c r="EY2" s="103"/>
      <c r="EZ2" s="103"/>
      <c r="FA2" s="103"/>
      <c r="FB2" s="103"/>
      <c r="FC2" s="103"/>
      <c r="FD2" s="103"/>
      <c r="FE2" s="103"/>
      <c r="FF2" s="103"/>
      <c r="FG2" s="103"/>
      <c r="FH2" s="103"/>
      <c r="FI2" s="103"/>
      <c r="FJ2" s="103"/>
      <c r="FK2" s="103"/>
      <c r="FL2" s="103"/>
      <c r="FM2" s="103"/>
      <c r="FN2" s="103"/>
    </row>
    <row r="3" spans="1:170" ht="15.75" customHeight="1" x14ac:dyDescent="0.25">
      <c r="A3" s="131" t="s">
        <v>3</v>
      </c>
      <c r="B3" t="s">
        <v>130</v>
      </c>
      <c r="C3" t="s">
        <v>129</v>
      </c>
      <c r="D3" t="s">
        <v>132</v>
      </c>
      <c r="E3" s="107" t="e">
        <f t="shared" ref="E3:E8" si="0">C3/$E$2</f>
        <v>#VALUE!</v>
      </c>
      <c r="F3" s="107" t="e">
        <f t="shared" ref="F3:F7" si="1">B3/$F$2</f>
        <v>#VALUE!</v>
      </c>
      <c r="G3" s="108" t="e">
        <f t="shared" ref="G3:G7" si="2">F3+E3</f>
        <v>#VALUE!</v>
      </c>
      <c r="H3" s="108">
        <v>4</v>
      </c>
      <c r="I3" s="108">
        <f t="shared" ref="I3:I7" si="3">H3*$I$1</f>
        <v>18</v>
      </c>
      <c r="J3" s="108" t="e">
        <f t="shared" ref="J3:J7" si="4">I3-G3</f>
        <v>#VALUE!</v>
      </c>
    </row>
    <row r="4" spans="1:170" ht="15.75" customHeight="1" x14ac:dyDescent="0.25">
      <c r="A4" t="s">
        <v>119</v>
      </c>
      <c r="B4" s="140">
        <v>4</v>
      </c>
      <c r="C4" s="140">
        <v>13</v>
      </c>
      <c r="D4" s="140">
        <v>3</v>
      </c>
      <c r="E4" s="107">
        <f t="shared" si="0"/>
        <v>0.18571428571428572</v>
      </c>
      <c r="F4" s="107">
        <f t="shared" si="1"/>
        <v>0.2</v>
      </c>
      <c r="G4" s="108">
        <f t="shared" si="2"/>
        <v>0.38571428571428573</v>
      </c>
      <c r="H4" s="108">
        <v>4</v>
      </c>
      <c r="I4" s="108">
        <f t="shared" si="3"/>
        <v>18</v>
      </c>
      <c r="J4" s="108">
        <f t="shared" si="4"/>
        <v>17.614285714285714</v>
      </c>
    </row>
    <row r="5" spans="1:170" ht="15.75" customHeight="1" x14ac:dyDescent="0.25">
      <c r="A5" s="132">
        <v>45322</v>
      </c>
      <c r="B5" s="140">
        <v>2</v>
      </c>
      <c r="C5" s="140">
        <v>5</v>
      </c>
      <c r="D5" s="140"/>
      <c r="E5" s="107">
        <f t="shared" si="0"/>
        <v>7.1428571428571425E-2</v>
      </c>
      <c r="F5" s="26">
        <f t="shared" si="1"/>
        <v>0.1</v>
      </c>
      <c r="G5" s="109">
        <f t="shared" si="2"/>
        <v>0.17142857142857143</v>
      </c>
      <c r="H5" s="109">
        <v>4</v>
      </c>
      <c r="I5" s="109">
        <f t="shared" si="3"/>
        <v>18</v>
      </c>
      <c r="J5" s="109">
        <f t="shared" si="4"/>
        <v>17.828571428571429</v>
      </c>
    </row>
    <row r="6" spans="1:170" ht="15.75" customHeight="1" x14ac:dyDescent="0.25">
      <c r="A6" s="132">
        <v>45323</v>
      </c>
      <c r="B6" s="140">
        <v>0</v>
      </c>
      <c r="C6" s="140">
        <v>0</v>
      </c>
      <c r="D6" s="140"/>
      <c r="E6" s="107">
        <f t="shared" si="0"/>
        <v>0</v>
      </c>
      <c r="F6" s="26">
        <f t="shared" si="1"/>
        <v>0</v>
      </c>
      <c r="G6" s="109">
        <f t="shared" si="2"/>
        <v>0</v>
      </c>
      <c r="H6" s="109">
        <v>4</v>
      </c>
      <c r="I6" s="109">
        <f t="shared" si="3"/>
        <v>18</v>
      </c>
      <c r="J6" s="109">
        <f t="shared" si="4"/>
        <v>18</v>
      </c>
    </row>
    <row r="7" spans="1:170" ht="15.75" customHeight="1" x14ac:dyDescent="0.25">
      <c r="A7" s="132">
        <v>45324</v>
      </c>
      <c r="B7" s="140">
        <v>58</v>
      </c>
      <c r="C7" s="140">
        <v>261</v>
      </c>
      <c r="D7" s="140">
        <v>13</v>
      </c>
      <c r="E7" s="107">
        <f t="shared" si="0"/>
        <v>3.7285714285714286</v>
      </c>
      <c r="F7" s="26">
        <f t="shared" si="1"/>
        <v>2.9</v>
      </c>
      <c r="G7" s="109">
        <f t="shared" si="2"/>
        <v>6.6285714285714281</v>
      </c>
      <c r="H7" s="109">
        <v>4</v>
      </c>
      <c r="I7" s="109">
        <f t="shared" si="3"/>
        <v>18</v>
      </c>
      <c r="J7" s="109">
        <f t="shared" si="4"/>
        <v>11.371428571428572</v>
      </c>
    </row>
    <row r="8" spans="1:170" ht="15.75" customHeight="1" x14ac:dyDescent="0.25">
      <c r="A8" s="132">
        <v>45331</v>
      </c>
      <c r="B8" s="140">
        <v>53</v>
      </c>
      <c r="C8" s="140">
        <v>221</v>
      </c>
      <c r="D8" s="140">
        <v>23</v>
      </c>
      <c r="E8" s="107">
        <f t="shared" si="0"/>
        <v>3.157142857142857</v>
      </c>
      <c r="F8" s="26"/>
      <c r="G8" s="109"/>
      <c r="H8" s="110"/>
      <c r="I8" s="109"/>
      <c r="J8" s="109"/>
      <c r="K8" s="68"/>
      <c r="L8" s="68"/>
    </row>
    <row r="9" spans="1:170" ht="15.75" customHeight="1" x14ac:dyDescent="0.25">
      <c r="A9" s="132">
        <v>45338</v>
      </c>
      <c r="B9" s="140">
        <v>24</v>
      </c>
      <c r="C9" s="140">
        <v>186</v>
      </c>
      <c r="D9" s="140">
        <v>17</v>
      </c>
      <c r="E9" s="26"/>
      <c r="F9" s="26"/>
      <c r="G9" s="109"/>
      <c r="H9" s="110"/>
      <c r="I9" s="109"/>
      <c r="J9" s="109"/>
      <c r="K9" s="68"/>
      <c r="L9" s="68"/>
    </row>
    <row r="10" spans="1:170" ht="15.75" customHeight="1" x14ac:dyDescent="0.25">
      <c r="A10" s="132">
        <v>45341</v>
      </c>
      <c r="B10" s="140"/>
      <c r="C10" s="140"/>
      <c r="D10" s="140"/>
      <c r="E10" s="26"/>
      <c r="F10" s="26"/>
      <c r="G10" s="109"/>
      <c r="H10" s="110"/>
      <c r="I10" s="109"/>
      <c r="J10" s="109"/>
      <c r="K10" s="68"/>
      <c r="L10" s="68"/>
    </row>
    <row r="11" spans="1:170" ht="15.75" customHeight="1" x14ac:dyDescent="0.25">
      <c r="A11" s="132">
        <v>45345</v>
      </c>
      <c r="B11" s="140">
        <v>12</v>
      </c>
      <c r="C11" s="140">
        <v>333</v>
      </c>
      <c r="D11" s="140">
        <v>17</v>
      </c>
      <c r="E11" s="26"/>
      <c r="F11" s="26"/>
      <c r="G11" s="109"/>
      <c r="H11" s="110"/>
      <c r="I11" s="109"/>
      <c r="J11" s="109"/>
      <c r="K11" s="68"/>
      <c r="L11" s="68"/>
    </row>
    <row r="12" spans="1:170" ht="15.75" customHeight="1" x14ac:dyDescent="0.25">
      <c r="A12" s="132">
        <v>45352</v>
      </c>
      <c r="B12" s="140">
        <v>63</v>
      </c>
      <c r="C12" s="140">
        <v>109</v>
      </c>
      <c r="D12" s="140">
        <v>15</v>
      </c>
      <c r="E12" s="26"/>
      <c r="F12" s="26"/>
      <c r="G12" s="109"/>
      <c r="H12" s="110"/>
      <c r="I12" s="109"/>
      <c r="J12" s="109"/>
      <c r="K12" s="68"/>
      <c r="L12" s="68"/>
    </row>
    <row r="13" spans="1:170" ht="15.75" customHeight="1" x14ac:dyDescent="0.25">
      <c r="A13" s="132">
        <v>45359</v>
      </c>
      <c r="B13" s="140">
        <v>26</v>
      </c>
      <c r="C13" s="140">
        <v>90</v>
      </c>
      <c r="D13" s="140">
        <v>6</v>
      </c>
      <c r="E13" s="26"/>
      <c r="F13" s="26"/>
      <c r="G13" s="109"/>
      <c r="H13" s="110"/>
      <c r="I13" s="109"/>
      <c r="J13" s="109"/>
      <c r="K13" s="68"/>
      <c r="L13" s="68"/>
    </row>
    <row r="14" spans="1:170" ht="15.75" customHeight="1" x14ac:dyDescent="0.25">
      <c r="A14" s="132">
        <v>45366</v>
      </c>
      <c r="B14" s="140">
        <v>4</v>
      </c>
      <c r="C14" s="140">
        <v>12</v>
      </c>
      <c r="D14" s="140"/>
      <c r="E14" s="26"/>
      <c r="F14" s="26"/>
      <c r="G14" s="109"/>
      <c r="H14" s="110"/>
      <c r="I14" s="109"/>
      <c r="J14" s="109"/>
      <c r="K14" s="68"/>
      <c r="L14" s="68"/>
    </row>
    <row r="15" spans="1:170" ht="15.75" customHeight="1" x14ac:dyDescent="0.25">
      <c r="A15" s="132">
        <v>45373</v>
      </c>
      <c r="B15" s="140">
        <v>47</v>
      </c>
      <c r="C15" s="140">
        <v>0</v>
      </c>
      <c r="D15" s="140"/>
      <c r="E15" s="26"/>
      <c r="F15" s="26"/>
      <c r="G15" s="109"/>
      <c r="H15" s="110"/>
      <c r="I15" s="109"/>
      <c r="J15" s="109"/>
      <c r="K15" s="68"/>
      <c r="L15" s="68"/>
    </row>
    <row r="16" spans="1:170" ht="15.75" customHeight="1" x14ac:dyDescent="0.25">
      <c r="A16" t="s">
        <v>149</v>
      </c>
      <c r="B16" s="140">
        <v>0</v>
      </c>
      <c r="C16" s="140">
        <v>2</v>
      </c>
      <c r="D16" s="140"/>
      <c r="E16" s="26"/>
      <c r="F16" s="26"/>
      <c r="G16" s="109"/>
      <c r="H16" s="110"/>
      <c r="I16" s="109"/>
      <c r="J16" s="109"/>
      <c r="K16" s="68"/>
      <c r="L16" s="68"/>
    </row>
    <row r="18" spans="5:10" ht="12.75" x14ac:dyDescent="0.2">
      <c r="E18" s="123"/>
      <c r="F18" s="124"/>
      <c r="G18" s="125" t="s">
        <v>148</v>
      </c>
      <c r="H18" s="126"/>
    </row>
    <row r="19" spans="5:10" ht="12.75" x14ac:dyDescent="0.2">
      <c r="E19" s="125" t="s">
        <v>0</v>
      </c>
      <c r="F19" s="125" t="s">
        <v>3</v>
      </c>
      <c r="G19" s="123" t="s">
        <v>129</v>
      </c>
      <c r="H19" s="127" t="s">
        <v>130</v>
      </c>
    </row>
    <row r="20" spans="5:10" ht="12.75" x14ac:dyDescent="0.2">
      <c r="E20" s="123" t="s">
        <v>41</v>
      </c>
      <c r="F20" s="128">
        <v>45323</v>
      </c>
      <c r="G20" s="136">
        <v>0</v>
      </c>
      <c r="H20" s="137">
        <v>0</v>
      </c>
    </row>
    <row r="21" spans="5:10" ht="12.75" x14ac:dyDescent="0.2">
      <c r="E21" s="123" t="s">
        <v>145</v>
      </c>
      <c r="F21" s="124"/>
      <c r="G21" s="136">
        <v>0</v>
      </c>
      <c r="H21" s="137">
        <v>0</v>
      </c>
    </row>
    <row r="22" spans="5:10" ht="12.75" x14ac:dyDescent="0.2">
      <c r="E22" s="129" t="s">
        <v>146</v>
      </c>
      <c r="F22" s="130"/>
      <c r="G22" s="138">
        <v>0</v>
      </c>
      <c r="H22" s="139">
        <v>0</v>
      </c>
    </row>
    <row r="23" spans="5:10" ht="12.75" x14ac:dyDescent="0.2"/>
    <row r="24" spans="5:10" ht="12.75" x14ac:dyDescent="0.2"/>
    <row r="25" spans="5:10" ht="12.75" x14ac:dyDescent="0.2"/>
    <row r="26" spans="5:10" ht="12.75" x14ac:dyDescent="0.2">
      <c r="I26" s="68">
        <v>300</v>
      </c>
      <c r="J26" s="68">
        <v>36</v>
      </c>
    </row>
    <row r="27" spans="5:10" ht="12.75" x14ac:dyDescent="0.2">
      <c r="I27" s="68">
        <v>320</v>
      </c>
      <c r="J27" s="68">
        <v>62</v>
      </c>
    </row>
    <row r="28" spans="5:10" ht="12.75" x14ac:dyDescent="0.2">
      <c r="I28" s="68">
        <f t="shared" ref="I28:J28" si="5">I26-I27</f>
        <v>-20</v>
      </c>
      <c r="J28" s="68">
        <f t="shared" si="5"/>
        <v>-26</v>
      </c>
    </row>
    <row r="29" spans="5:10" ht="12.75" x14ac:dyDescent="0.2">
      <c r="I29" s="68"/>
      <c r="J29" s="68" t="s">
        <v>23</v>
      </c>
    </row>
    <row r="30" spans="5:10" ht="12.75" x14ac:dyDescent="0.2">
      <c r="I30" s="68">
        <v>238</v>
      </c>
      <c r="J30" s="68">
        <v>28</v>
      </c>
    </row>
    <row r="31" spans="5:10" ht="12.75" x14ac:dyDescent="0.2">
      <c r="I31" s="68">
        <f t="shared" ref="I31:J31" si="6">I30-I28</f>
        <v>258</v>
      </c>
      <c r="J31" s="68">
        <f t="shared" si="6"/>
        <v>54</v>
      </c>
    </row>
    <row r="32" spans="5:10" ht="12.75" x14ac:dyDescent="0.2"/>
    <row r="33" spans="10:10" ht="12.75" x14ac:dyDescent="0.2"/>
    <row r="34" spans="10:10" ht="12.75" x14ac:dyDescent="0.2"/>
    <row r="35" spans="10:10" ht="12.75" x14ac:dyDescent="0.2"/>
    <row r="36" spans="10:10" ht="12.75" x14ac:dyDescent="0.2"/>
    <row r="37" spans="10:10" ht="12.75" x14ac:dyDescent="0.2"/>
    <row r="38" spans="10:10" ht="12.75" x14ac:dyDescent="0.2">
      <c r="J38" s="68">
        <v>3944</v>
      </c>
    </row>
    <row r="39" spans="10:10" ht="12.75" x14ac:dyDescent="0.2">
      <c r="J39" s="68">
        <f>J38/12</f>
        <v>328.66666666666669</v>
      </c>
    </row>
  </sheetData>
  <autoFilter ref="A2:A99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cols>
    <col min="1" max="1" width="14.28515625" customWidth="1"/>
    <col min="2" max="2" width="14.140625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16.5703125" customWidth="1"/>
    <col min="2" max="2" width="21.85546875" customWidth="1"/>
    <col min="4" max="7" width="6.5703125" customWidth="1"/>
    <col min="8" max="8" width="10" customWidth="1"/>
    <col min="10" max="10" width="24.7109375" customWidth="1"/>
  </cols>
  <sheetData>
    <row r="1" spans="1:26" x14ac:dyDescent="0.2">
      <c r="A1" s="111" t="str">
        <f>'THE BOARD'!A1</f>
        <v>Option 1</v>
      </c>
      <c r="B1" s="111" t="str">
        <f>'THE BOARD'!B1</f>
        <v>SEQ.</v>
      </c>
      <c r="C1" s="111" t="str">
        <f>'THE BOARD'!D1</f>
        <v>DATE</v>
      </c>
      <c r="D1" s="111" t="str">
        <f>'THE BOARD'!E1</f>
        <v>HR</v>
      </c>
      <c r="E1" s="111" t="str">
        <f>'THE BOARD'!F1</f>
        <v>SR</v>
      </c>
      <c r="F1" s="111" t="str">
        <f>'THE BOARD'!G1</f>
        <v>ST</v>
      </c>
      <c r="G1" s="111" t="str">
        <f>'THE BOARD'!H1</f>
        <v>Caged</v>
      </c>
      <c r="H1" s="111" t="str">
        <f>'THE BOARD'!I1</f>
        <v>Non Caged</v>
      </c>
      <c r="I1" s="111"/>
      <c r="J1" s="111" t="str">
        <f>'THE BOARD'!Q1</f>
        <v>MISC.</v>
      </c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spans="1:26" x14ac:dyDescent="0.2">
      <c r="A2" s="113" t="e">
        <f>'THE BOARD'!#REF!</f>
        <v>#REF!</v>
      </c>
      <c r="B2" s="113" t="e">
        <f>'THE BOARD'!#REF!</f>
        <v>#REF!</v>
      </c>
      <c r="C2" s="114" t="e">
        <f>'THE BOARD'!#REF!</f>
        <v>#REF!</v>
      </c>
      <c r="D2" s="115" t="e">
        <f>'THE BOARD'!#REF!</f>
        <v>#REF!</v>
      </c>
      <c r="E2" s="115" t="e">
        <f>'THE BOARD'!#REF!</f>
        <v>#REF!</v>
      </c>
      <c r="F2" s="115" t="e">
        <f>'THE BOARD'!#REF!</f>
        <v>#REF!</v>
      </c>
      <c r="G2" s="115" t="e">
        <f>'THE BOARD'!#REF!</f>
        <v>#REF!</v>
      </c>
      <c r="H2" s="115" t="e">
        <f>'THE BOARD'!#REF!</f>
        <v>#REF!</v>
      </c>
      <c r="I2" s="115"/>
      <c r="J2" s="115" t="e">
        <f>'THE BOARD'!#REF!</f>
        <v>#REF!</v>
      </c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</row>
    <row r="3" spans="1:26" x14ac:dyDescent="0.2">
      <c r="A3" s="113" t="e">
        <f>'THE BOARD'!#REF!</f>
        <v>#REF!</v>
      </c>
      <c r="B3" s="113" t="e">
        <f>'THE BOARD'!#REF!</f>
        <v>#REF!</v>
      </c>
      <c r="C3" s="114" t="e">
        <f>'THE BOARD'!#REF!</f>
        <v>#REF!</v>
      </c>
      <c r="D3" s="115" t="e">
        <f>'THE BOARD'!#REF!</f>
        <v>#REF!</v>
      </c>
      <c r="E3" s="115" t="e">
        <f>'THE BOARD'!#REF!</f>
        <v>#REF!</v>
      </c>
      <c r="F3" s="115" t="e">
        <f>'THE BOARD'!#REF!</f>
        <v>#REF!</v>
      </c>
      <c r="G3" s="115" t="e">
        <f>'THE BOARD'!#REF!</f>
        <v>#REF!</v>
      </c>
      <c r="H3" s="115" t="e">
        <f>'THE BOARD'!#REF!</f>
        <v>#REF!</v>
      </c>
      <c r="I3" s="115"/>
      <c r="J3" s="115" t="e">
        <f>'THE BOARD'!#REF!</f>
        <v>#REF!</v>
      </c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</row>
    <row r="4" spans="1:26" x14ac:dyDescent="0.2">
      <c r="A4" s="113" t="e">
        <f>'THE BOARD'!#REF!</f>
        <v>#REF!</v>
      </c>
      <c r="B4" s="113" t="e">
        <f>'THE BOARD'!#REF!</f>
        <v>#REF!</v>
      </c>
      <c r="C4" s="114" t="e">
        <f>'THE BOARD'!#REF!</f>
        <v>#REF!</v>
      </c>
      <c r="D4" s="115" t="e">
        <f>'THE BOARD'!#REF!</f>
        <v>#REF!</v>
      </c>
      <c r="E4" s="115" t="e">
        <f>'THE BOARD'!#REF!</f>
        <v>#REF!</v>
      </c>
      <c r="F4" s="115" t="e">
        <f>'THE BOARD'!#REF!</f>
        <v>#REF!</v>
      </c>
      <c r="G4" s="115" t="e">
        <f>'THE BOARD'!#REF!</f>
        <v>#REF!</v>
      </c>
      <c r="H4" s="115" t="e">
        <f>'THE BOARD'!#REF!</f>
        <v>#REF!</v>
      </c>
      <c r="I4" s="115"/>
      <c r="J4" s="115" t="e">
        <f>'THE BOARD'!#REF!</f>
        <v>#REF!</v>
      </c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</row>
    <row r="5" spans="1:26" x14ac:dyDescent="0.2">
      <c r="A5" s="113" t="e">
        <f>'THE BOARD'!#REF!</f>
        <v>#REF!</v>
      </c>
      <c r="B5" s="113" t="e">
        <f>'THE BOARD'!#REF!</f>
        <v>#REF!</v>
      </c>
      <c r="C5" s="114" t="e">
        <f>'THE BOARD'!#REF!</f>
        <v>#REF!</v>
      </c>
      <c r="D5" s="115" t="e">
        <f>'THE BOARD'!#REF!</f>
        <v>#REF!</v>
      </c>
      <c r="E5" s="115" t="e">
        <f>'THE BOARD'!#REF!</f>
        <v>#REF!</v>
      </c>
      <c r="F5" s="115" t="e">
        <f>'THE BOARD'!#REF!</f>
        <v>#REF!</v>
      </c>
      <c r="G5" s="115" t="e">
        <f>'THE BOARD'!#REF!</f>
        <v>#REF!</v>
      </c>
      <c r="H5" s="115" t="e">
        <f>'THE BOARD'!#REF!</f>
        <v>#REF!</v>
      </c>
      <c r="I5" s="115"/>
      <c r="J5" s="115" t="e">
        <f>'THE BOARD'!#REF!</f>
        <v>#REF!</v>
      </c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</row>
    <row r="6" spans="1:26" x14ac:dyDescent="0.2">
      <c r="A6" s="113" t="e">
        <f>'THE BOARD'!#REF!</f>
        <v>#REF!</v>
      </c>
      <c r="B6" s="113" t="e">
        <f>'THE BOARD'!#REF!</f>
        <v>#REF!</v>
      </c>
      <c r="C6" s="114" t="e">
        <f>'THE BOARD'!#REF!</f>
        <v>#REF!</v>
      </c>
      <c r="D6" s="115" t="e">
        <f>'THE BOARD'!#REF!</f>
        <v>#REF!</v>
      </c>
      <c r="E6" s="115" t="e">
        <f>'THE BOARD'!#REF!</f>
        <v>#REF!</v>
      </c>
      <c r="F6" s="115" t="e">
        <f>'THE BOARD'!#REF!</f>
        <v>#REF!</v>
      </c>
      <c r="G6" s="115" t="e">
        <f>'THE BOARD'!#REF!</f>
        <v>#REF!</v>
      </c>
      <c r="H6" s="115" t="e">
        <f>'THE BOARD'!#REF!</f>
        <v>#REF!</v>
      </c>
      <c r="I6" s="115"/>
      <c r="J6" s="115" t="e">
        <f>'THE BOARD'!#REF!</f>
        <v>#REF!</v>
      </c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</row>
    <row r="7" spans="1:26" x14ac:dyDescent="0.2">
      <c r="A7" s="113" t="e">
        <f>'THE BOARD'!#REF!</f>
        <v>#REF!</v>
      </c>
      <c r="B7" s="113" t="e">
        <f>'THE BOARD'!#REF!</f>
        <v>#REF!</v>
      </c>
      <c r="C7" s="114" t="e">
        <f>'THE BOARD'!#REF!</f>
        <v>#REF!</v>
      </c>
      <c r="D7" s="115" t="e">
        <f>'THE BOARD'!#REF!</f>
        <v>#REF!</v>
      </c>
      <c r="E7" s="115" t="e">
        <f>'THE BOARD'!#REF!</f>
        <v>#REF!</v>
      </c>
      <c r="F7" s="115" t="e">
        <f>'THE BOARD'!#REF!</f>
        <v>#REF!</v>
      </c>
      <c r="G7" s="115" t="e">
        <f>'THE BOARD'!#REF!</f>
        <v>#REF!</v>
      </c>
      <c r="H7" s="115" t="e">
        <f>'THE BOARD'!#REF!</f>
        <v>#REF!</v>
      </c>
      <c r="I7" s="115"/>
      <c r="J7" s="115" t="e">
        <f>'THE BOARD'!#REF!</f>
        <v>#REF!</v>
      </c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</row>
    <row r="8" spans="1:26" x14ac:dyDescent="0.2">
      <c r="A8" s="113" t="e">
        <f>'THE BOARD'!#REF!</f>
        <v>#REF!</v>
      </c>
      <c r="B8" s="113" t="e">
        <f>'THE BOARD'!#REF!</f>
        <v>#REF!</v>
      </c>
      <c r="C8" s="114" t="e">
        <f>'THE BOARD'!#REF!</f>
        <v>#REF!</v>
      </c>
      <c r="D8" s="115" t="e">
        <f>'THE BOARD'!#REF!</f>
        <v>#REF!</v>
      </c>
      <c r="E8" s="115" t="e">
        <f>'THE BOARD'!#REF!</f>
        <v>#REF!</v>
      </c>
      <c r="F8" s="115" t="e">
        <f>'THE BOARD'!#REF!</f>
        <v>#REF!</v>
      </c>
      <c r="G8" s="115" t="e">
        <f>'THE BOARD'!#REF!</f>
        <v>#REF!</v>
      </c>
      <c r="H8" s="115" t="e">
        <f>'THE BOARD'!#REF!</f>
        <v>#REF!</v>
      </c>
      <c r="I8" s="115"/>
      <c r="J8" s="115" t="e">
        <f>'THE BOARD'!#REF!</f>
        <v>#REF!</v>
      </c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</row>
    <row r="9" spans="1:26" x14ac:dyDescent="0.2">
      <c r="A9" s="113" t="e">
        <f>'THE BOARD'!#REF!</f>
        <v>#REF!</v>
      </c>
      <c r="B9" s="113" t="e">
        <f>'THE BOARD'!#REF!</f>
        <v>#REF!</v>
      </c>
      <c r="C9" s="114" t="e">
        <f>'THE BOARD'!#REF!</f>
        <v>#REF!</v>
      </c>
      <c r="D9" s="115" t="e">
        <f>'THE BOARD'!#REF!</f>
        <v>#REF!</v>
      </c>
      <c r="E9" s="115" t="e">
        <f>'THE BOARD'!#REF!</f>
        <v>#REF!</v>
      </c>
      <c r="F9" s="115" t="e">
        <f>'THE BOARD'!#REF!</f>
        <v>#REF!</v>
      </c>
      <c r="G9" s="115" t="e">
        <f>'THE BOARD'!#REF!</f>
        <v>#REF!</v>
      </c>
      <c r="H9" s="115" t="e">
        <f>'THE BOARD'!#REF!</f>
        <v>#REF!</v>
      </c>
      <c r="I9" s="115"/>
      <c r="J9" s="115" t="e">
        <f>'THE BOARD'!#REF!</f>
        <v>#REF!</v>
      </c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</row>
    <row r="10" spans="1:26" x14ac:dyDescent="0.2">
      <c r="A10" s="113" t="e">
        <f>'THE BOARD'!#REF!</f>
        <v>#REF!</v>
      </c>
      <c r="B10" s="113" t="e">
        <f>'THE BOARD'!#REF!</f>
        <v>#REF!</v>
      </c>
      <c r="C10" s="114" t="e">
        <f>'THE BOARD'!#REF!</f>
        <v>#REF!</v>
      </c>
      <c r="D10" s="115" t="e">
        <f>'THE BOARD'!#REF!</f>
        <v>#REF!</v>
      </c>
      <c r="E10" s="115" t="e">
        <f>'THE BOARD'!#REF!</f>
        <v>#REF!</v>
      </c>
      <c r="F10" s="115" t="e">
        <f>'THE BOARD'!#REF!</f>
        <v>#REF!</v>
      </c>
      <c r="G10" s="115" t="e">
        <f>'THE BOARD'!#REF!</f>
        <v>#REF!</v>
      </c>
      <c r="H10" s="115" t="e">
        <f>'THE BOARD'!#REF!</f>
        <v>#REF!</v>
      </c>
      <c r="I10" s="115"/>
      <c r="J10" s="115" t="e">
        <f>'THE BOARD'!#REF!</f>
        <v>#REF!</v>
      </c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</row>
    <row r="11" spans="1:26" x14ac:dyDescent="0.2">
      <c r="A11" s="113" t="e">
        <f>'THE BOARD'!#REF!</f>
        <v>#REF!</v>
      </c>
      <c r="B11" s="113" t="e">
        <f>'THE BOARD'!#REF!</f>
        <v>#REF!</v>
      </c>
      <c r="C11" s="114" t="e">
        <f>'THE BOARD'!#REF!</f>
        <v>#REF!</v>
      </c>
      <c r="D11" s="115" t="e">
        <f>'THE BOARD'!#REF!</f>
        <v>#REF!</v>
      </c>
      <c r="E11" s="115" t="e">
        <f>'THE BOARD'!#REF!</f>
        <v>#REF!</v>
      </c>
      <c r="F11" s="115" t="e">
        <f>'THE BOARD'!#REF!</f>
        <v>#REF!</v>
      </c>
      <c r="G11" s="115" t="e">
        <f>'THE BOARD'!#REF!</f>
        <v>#REF!</v>
      </c>
      <c r="H11" s="115" t="e">
        <f>'THE BOARD'!#REF!</f>
        <v>#REF!</v>
      </c>
      <c r="I11" s="115"/>
      <c r="J11" s="115" t="e">
        <f>'THE BOARD'!#REF!</f>
        <v>#REF!</v>
      </c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</row>
    <row r="12" spans="1:26" x14ac:dyDescent="0.2">
      <c r="A12" s="113" t="e">
        <f>'THE BOARD'!#REF!</f>
        <v>#REF!</v>
      </c>
      <c r="B12" s="113" t="e">
        <f>'THE BOARD'!#REF!</f>
        <v>#REF!</v>
      </c>
      <c r="C12" s="114" t="e">
        <f>'THE BOARD'!#REF!</f>
        <v>#REF!</v>
      </c>
      <c r="D12" s="115" t="e">
        <f>'THE BOARD'!#REF!</f>
        <v>#REF!</v>
      </c>
      <c r="E12" s="115" t="e">
        <f>'THE BOARD'!#REF!</f>
        <v>#REF!</v>
      </c>
      <c r="F12" s="115" t="e">
        <f>'THE BOARD'!#REF!</f>
        <v>#REF!</v>
      </c>
      <c r="G12" s="115" t="e">
        <f>'THE BOARD'!#REF!</f>
        <v>#REF!</v>
      </c>
      <c r="H12" s="115" t="e">
        <f>'THE BOARD'!#REF!</f>
        <v>#REF!</v>
      </c>
      <c r="I12" s="115"/>
      <c r="J12" s="115" t="e">
        <f>'THE BOARD'!#REF!</f>
        <v>#REF!</v>
      </c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</row>
    <row r="13" spans="1:26" x14ac:dyDescent="0.2">
      <c r="A13" s="113" t="e">
        <f>'THE BOARD'!#REF!</f>
        <v>#REF!</v>
      </c>
      <c r="B13" s="113" t="e">
        <f>'THE BOARD'!#REF!</f>
        <v>#REF!</v>
      </c>
      <c r="C13" s="114" t="e">
        <f>'THE BOARD'!#REF!</f>
        <v>#REF!</v>
      </c>
      <c r="D13" s="115" t="e">
        <f>'THE BOARD'!#REF!</f>
        <v>#REF!</v>
      </c>
      <c r="E13" s="115" t="e">
        <f>'THE BOARD'!#REF!</f>
        <v>#REF!</v>
      </c>
      <c r="F13" s="115" t="e">
        <f>'THE BOARD'!#REF!</f>
        <v>#REF!</v>
      </c>
      <c r="G13" s="115" t="e">
        <f>'THE BOARD'!#REF!</f>
        <v>#REF!</v>
      </c>
      <c r="H13" s="115" t="e">
        <f>'THE BOARD'!#REF!</f>
        <v>#REF!</v>
      </c>
      <c r="I13" s="115"/>
      <c r="J13" s="115" t="e">
        <f>'THE BOARD'!#REF!</f>
        <v>#REF!</v>
      </c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</row>
    <row r="14" spans="1:26" x14ac:dyDescent="0.2">
      <c r="A14" s="113" t="e">
        <f>'THE BOARD'!#REF!</f>
        <v>#REF!</v>
      </c>
      <c r="B14" s="113" t="e">
        <f>'THE BOARD'!#REF!</f>
        <v>#REF!</v>
      </c>
      <c r="C14" s="114" t="e">
        <f>'THE BOARD'!#REF!</f>
        <v>#REF!</v>
      </c>
      <c r="D14" s="115" t="e">
        <f>'THE BOARD'!#REF!</f>
        <v>#REF!</v>
      </c>
      <c r="E14" s="115" t="e">
        <f>'THE BOARD'!#REF!</f>
        <v>#REF!</v>
      </c>
      <c r="F14" s="115" t="e">
        <f>'THE BOARD'!#REF!</f>
        <v>#REF!</v>
      </c>
      <c r="G14" s="115" t="e">
        <f>'THE BOARD'!#REF!</f>
        <v>#REF!</v>
      </c>
      <c r="H14" s="115" t="e">
        <f>'THE BOARD'!#REF!</f>
        <v>#REF!</v>
      </c>
      <c r="I14" s="115"/>
      <c r="J14" s="115" t="e">
        <f>'THE BOARD'!#REF!</f>
        <v>#REF!</v>
      </c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</row>
    <row r="15" spans="1:26" x14ac:dyDescent="0.2">
      <c r="A15" s="113" t="e">
        <f>'THE BOARD'!#REF!</f>
        <v>#REF!</v>
      </c>
      <c r="B15" s="113" t="e">
        <f>'THE BOARD'!#REF!</f>
        <v>#REF!</v>
      </c>
      <c r="C15" s="114" t="e">
        <f>'THE BOARD'!#REF!</f>
        <v>#REF!</v>
      </c>
      <c r="D15" s="115" t="e">
        <f>'THE BOARD'!#REF!</f>
        <v>#REF!</v>
      </c>
      <c r="E15" s="115" t="e">
        <f>'THE BOARD'!#REF!</f>
        <v>#REF!</v>
      </c>
      <c r="F15" s="115" t="e">
        <f>'THE BOARD'!#REF!</f>
        <v>#REF!</v>
      </c>
      <c r="G15" s="115" t="e">
        <f>'THE BOARD'!#REF!</f>
        <v>#REF!</v>
      </c>
      <c r="H15" s="115" t="e">
        <f>'THE BOARD'!#REF!</f>
        <v>#REF!</v>
      </c>
      <c r="I15" s="115"/>
      <c r="J15" s="115" t="e">
        <f>'THE BOARD'!#REF!</f>
        <v>#REF!</v>
      </c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</row>
    <row r="16" spans="1:26" x14ac:dyDescent="0.2">
      <c r="A16" s="113" t="e">
        <f>'THE BOARD'!#REF!</f>
        <v>#REF!</v>
      </c>
      <c r="B16" s="113" t="e">
        <f>'THE BOARD'!#REF!</f>
        <v>#REF!</v>
      </c>
      <c r="C16" s="114" t="e">
        <f>'THE BOARD'!#REF!</f>
        <v>#REF!</v>
      </c>
      <c r="D16" s="115" t="e">
        <f>'THE BOARD'!#REF!</f>
        <v>#REF!</v>
      </c>
      <c r="E16" s="115" t="e">
        <f>'THE BOARD'!#REF!</f>
        <v>#REF!</v>
      </c>
      <c r="F16" s="115" t="e">
        <f>'THE BOARD'!#REF!</f>
        <v>#REF!</v>
      </c>
      <c r="G16" s="115" t="e">
        <f>'THE BOARD'!#REF!</f>
        <v>#REF!</v>
      </c>
      <c r="H16" s="115" t="e">
        <f>'THE BOARD'!#REF!</f>
        <v>#REF!</v>
      </c>
      <c r="I16" s="115"/>
      <c r="J16" s="115" t="e">
        <f>'THE BOARD'!#REF!</f>
        <v>#REF!</v>
      </c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</row>
    <row r="17" spans="1:26" x14ac:dyDescent="0.2">
      <c r="A17" s="113" t="e">
        <f>'THE BOARD'!#REF!</f>
        <v>#REF!</v>
      </c>
      <c r="B17" s="113" t="e">
        <f>'THE BOARD'!#REF!</f>
        <v>#REF!</v>
      </c>
      <c r="C17" s="114" t="e">
        <f>'THE BOARD'!#REF!</f>
        <v>#REF!</v>
      </c>
      <c r="D17" s="115" t="e">
        <f>'THE BOARD'!#REF!</f>
        <v>#REF!</v>
      </c>
      <c r="E17" s="115" t="e">
        <f>'THE BOARD'!#REF!</f>
        <v>#REF!</v>
      </c>
      <c r="F17" s="115" t="e">
        <f>'THE BOARD'!#REF!</f>
        <v>#REF!</v>
      </c>
      <c r="G17" s="115" t="e">
        <f>'THE BOARD'!#REF!</f>
        <v>#REF!</v>
      </c>
      <c r="H17" s="115" t="e">
        <f>'THE BOARD'!#REF!</f>
        <v>#REF!</v>
      </c>
      <c r="I17" s="115"/>
      <c r="J17" s="115" t="e">
        <f>'THE BOARD'!#REF!</f>
        <v>#REF!</v>
      </c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</row>
    <row r="18" spans="1:26" x14ac:dyDescent="0.2">
      <c r="A18" s="113" t="e">
        <f>'THE BOARD'!#REF!</f>
        <v>#REF!</v>
      </c>
      <c r="B18" s="113" t="e">
        <f>'THE BOARD'!#REF!</f>
        <v>#REF!</v>
      </c>
      <c r="C18" s="114" t="e">
        <f>'THE BOARD'!#REF!</f>
        <v>#REF!</v>
      </c>
      <c r="D18" s="115" t="e">
        <f>'THE BOARD'!#REF!</f>
        <v>#REF!</v>
      </c>
      <c r="E18" s="115" t="e">
        <f>'THE BOARD'!#REF!</f>
        <v>#REF!</v>
      </c>
      <c r="F18" s="115" t="e">
        <f>'THE BOARD'!#REF!</f>
        <v>#REF!</v>
      </c>
      <c r="G18" s="115" t="e">
        <f>'THE BOARD'!#REF!</f>
        <v>#REF!</v>
      </c>
      <c r="H18" s="115" t="e">
        <f>'THE BOARD'!#REF!</f>
        <v>#REF!</v>
      </c>
      <c r="I18" s="115"/>
      <c r="J18" s="115" t="e">
        <f>'THE BOARD'!#REF!</f>
        <v>#REF!</v>
      </c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</row>
    <row r="19" spans="1:26" x14ac:dyDescent="0.2">
      <c r="A19" s="113" t="e">
        <f>'THE BOARD'!#REF!</f>
        <v>#REF!</v>
      </c>
      <c r="B19" s="113" t="e">
        <f>'THE BOARD'!#REF!</f>
        <v>#REF!</v>
      </c>
      <c r="C19" s="114" t="e">
        <f>'THE BOARD'!#REF!</f>
        <v>#REF!</v>
      </c>
      <c r="D19" s="115" t="e">
        <f>'THE BOARD'!#REF!</f>
        <v>#REF!</v>
      </c>
      <c r="E19" s="115" t="e">
        <f>'THE BOARD'!#REF!</f>
        <v>#REF!</v>
      </c>
      <c r="F19" s="115" t="e">
        <f>'THE BOARD'!#REF!</f>
        <v>#REF!</v>
      </c>
      <c r="G19" s="115" t="e">
        <f>'THE BOARD'!#REF!</f>
        <v>#REF!</v>
      </c>
      <c r="H19" s="115" t="e">
        <f>'THE BOARD'!#REF!</f>
        <v>#REF!</v>
      </c>
      <c r="I19" s="115"/>
      <c r="J19" s="115" t="e">
        <f>'THE BOARD'!#REF!</f>
        <v>#REF!</v>
      </c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</row>
    <row r="20" spans="1:26" x14ac:dyDescent="0.2">
      <c r="A20" s="113" t="e">
        <f>'THE BOARD'!#REF!</f>
        <v>#REF!</v>
      </c>
      <c r="B20" s="113" t="e">
        <f>'THE BOARD'!#REF!</f>
        <v>#REF!</v>
      </c>
      <c r="C20" s="114" t="e">
        <f>'THE BOARD'!#REF!</f>
        <v>#REF!</v>
      </c>
      <c r="D20" s="115" t="e">
        <f>'THE BOARD'!#REF!</f>
        <v>#REF!</v>
      </c>
      <c r="E20" s="115" t="e">
        <f>'THE BOARD'!#REF!</f>
        <v>#REF!</v>
      </c>
      <c r="F20" s="115" t="e">
        <f>'THE BOARD'!#REF!</f>
        <v>#REF!</v>
      </c>
      <c r="G20" s="115" t="e">
        <f>'THE BOARD'!#REF!</f>
        <v>#REF!</v>
      </c>
      <c r="H20" s="115" t="e">
        <f>'THE BOARD'!#REF!</f>
        <v>#REF!</v>
      </c>
      <c r="I20" s="115"/>
      <c r="J20" s="115" t="e">
        <f>'THE BOARD'!#REF!</f>
        <v>#REF!</v>
      </c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</row>
    <row r="21" spans="1:26" x14ac:dyDescent="0.2">
      <c r="A21" s="113" t="e">
        <f>'THE BOARD'!#REF!</f>
        <v>#REF!</v>
      </c>
      <c r="B21" s="113" t="e">
        <f>'THE BOARD'!#REF!</f>
        <v>#REF!</v>
      </c>
      <c r="C21" s="114" t="e">
        <f>'THE BOARD'!#REF!</f>
        <v>#REF!</v>
      </c>
      <c r="D21" s="115" t="e">
        <f>'THE BOARD'!#REF!</f>
        <v>#REF!</v>
      </c>
      <c r="E21" s="115" t="e">
        <f>'THE BOARD'!#REF!</f>
        <v>#REF!</v>
      </c>
      <c r="F21" s="115" t="e">
        <f>'THE BOARD'!#REF!</f>
        <v>#REF!</v>
      </c>
      <c r="G21" s="115" t="e">
        <f>'THE BOARD'!#REF!</f>
        <v>#REF!</v>
      </c>
      <c r="H21" s="115" t="e">
        <f>'THE BOARD'!#REF!</f>
        <v>#REF!</v>
      </c>
      <c r="I21" s="115"/>
      <c r="J21" s="115" t="e">
        <f>'THE BOARD'!#REF!</f>
        <v>#REF!</v>
      </c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</row>
    <row r="22" spans="1:26" x14ac:dyDescent="0.2">
      <c r="A22" s="113" t="e">
        <f>'THE BOARD'!#REF!</f>
        <v>#REF!</v>
      </c>
      <c r="B22" s="113" t="e">
        <f>'THE BOARD'!#REF!</f>
        <v>#REF!</v>
      </c>
      <c r="C22" s="114" t="e">
        <f>'THE BOARD'!#REF!</f>
        <v>#REF!</v>
      </c>
      <c r="D22" s="115" t="e">
        <f>'THE BOARD'!#REF!</f>
        <v>#REF!</v>
      </c>
      <c r="E22" s="115" t="e">
        <f>'THE BOARD'!#REF!</f>
        <v>#REF!</v>
      </c>
      <c r="F22" s="115" t="e">
        <f>'THE BOARD'!#REF!</f>
        <v>#REF!</v>
      </c>
      <c r="G22" s="115" t="e">
        <f>'THE BOARD'!#REF!</f>
        <v>#REF!</v>
      </c>
      <c r="H22" s="115" t="e">
        <f>'THE BOARD'!#REF!</f>
        <v>#REF!</v>
      </c>
      <c r="I22" s="115"/>
      <c r="J22" s="115" t="e">
        <f>'THE BOARD'!#REF!</f>
        <v>#REF!</v>
      </c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</row>
    <row r="23" spans="1:26" x14ac:dyDescent="0.2">
      <c r="A23" s="113" t="e">
        <f>'THE BOARD'!#REF!</f>
        <v>#REF!</v>
      </c>
      <c r="B23" s="113" t="e">
        <f>'THE BOARD'!#REF!</f>
        <v>#REF!</v>
      </c>
      <c r="C23" s="114" t="e">
        <f>'THE BOARD'!#REF!</f>
        <v>#REF!</v>
      </c>
      <c r="D23" s="115" t="e">
        <f>'THE BOARD'!#REF!</f>
        <v>#REF!</v>
      </c>
      <c r="E23" s="115" t="e">
        <f>'THE BOARD'!#REF!</f>
        <v>#REF!</v>
      </c>
      <c r="F23" s="115" t="e">
        <f>'THE BOARD'!#REF!</f>
        <v>#REF!</v>
      </c>
      <c r="G23" s="115" t="e">
        <f>'THE BOARD'!#REF!</f>
        <v>#REF!</v>
      </c>
      <c r="H23" s="115" t="e">
        <f>'THE BOARD'!#REF!</f>
        <v>#REF!</v>
      </c>
      <c r="I23" s="115"/>
      <c r="J23" s="115" t="e">
        <f>'THE BOARD'!#REF!</f>
        <v>#REF!</v>
      </c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</row>
    <row r="24" spans="1:26" x14ac:dyDescent="0.2">
      <c r="A24" s="113" t="e">
        <f>'THE BOARD'!#REF!</f>
        <v>#REF!</v>
      </c>
      <c r="B24" s="113" t="e">
        <f>'THE BOARD'!#REF!</f>
        <v>#REF!</v>
      </c>
      <c r="C24" s="114" t="e">
        <f>'THE BOARD'!#REF!</f>
        <v>#REF!</v>
      </c>
      <c r="D24" s="115" t="e">
        <f>'THE BOARD'!#REF!</f>
        <v>#REF!</v>
      </c>
      <c r="E24" s="115" t="e">
        <f>'THE BOARD'!#REF!</f>
        <v>#REF!</v>
      </c>
      <c r="F24" s="115" t="e">
        <f>'THE BOARD'!#REF!</f>
        <v>#REF!</v>
      </c>
      <c r="G24" s="115" t="e">
        <f>'THE BOARD'!#REF!</f>
        <v>#REF!</v>
      </c>
      <c r="H24" s="115" t="e">
        <f>'THE BOARD'!#REF!</f>
        <v>#REF!</v>
      </c>
      <c r="I24" s="115"/>
      <c r="J24" s="115" t="e">
        <f>'THE BOARD'!#REF!</f>
        <v>#REF!</v>
      </c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</row>
    <row r="25" spans="1:26" x14ac:dyDescent="0.2">
      <c r="A25" s="113" t="e">
        <f>'THE BOARD'!#REF!</f>
        <v>#REF!</v>
      </c>
      <c r="B25" s="113" t="e">
        <f>'THE BOARD'!#REF!</f>
        <v>#REF!</v>
      </c>
      <c r="C25" s="114" t="e">
        <f>'THE BOARD'!#REF!</f>
        <v>#REF!</v>
      </c>
      <c r="D25" s="115" t="e">
        <f>'THE BOARD'!#REF!</f>
        <v>#REF!</v>
      </c>
      <c r="E25" s="115" t="e">
        <f>'THE BOARD'!#REF!</f>
        <v>#REF!</v>
      </c>
      <c r="F25" s="115" t="e">
        <f>'THE BOARD'!#REF!</f>
        <v>#REF!</v>
      </c>
      <c r="G25" s="115" t="e">
        <f>'THE BOARD'!#REF!</f>
        <v>#REF!</v>
      </c>
      <c r="H25" s="115" t="e">
        <f>'THE BOARD'!#REF!</f>
        <v>#REF!</v>
      </c>
      <c r="I25" s="115"/>
      <c r="J25" s="115" t="e">
        <f>'THE BOARD'!#REF!</f>
        <v>#REF!</v>
      </c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</row>
    <row r="26" spans="1:26" x14ac:dyDescent="0.2">
      <c r="A26" s="113" t="e">
        <f>'THE BOARD'!#REF!</f>
        <v>#REF!</v>
      </c>
      <c r="B26" s="113" t="e">
        <f>'THE BOARD'!#REF!</f>
        <v>#REF!</v>
      </c>
      <c r="C26" s="114" t="e">
        <f>'THE BOARD'!#REF!</f>
        <v>#REF!</v>
      </c>
      <c r="D26" s="115" t="e">
        <f>'THE BOARD'!#REF!</f>
        <v>#REF!</v>
      </c>
      <c r="E26" s="115" t="e">
        <f>'THE BOARD'!#REF!</f>
        <v>#REF!</v>
      </c>
      <c r="F26" s="115" t="e">
        <f>'THE BOARD'!#REF!</f>
        <v>#REF!</v>
      </c>
      <c r="G26" s="115" t="e">
        <f>'THE BOARD'!#REF!</f>
        <v>#REF!</v>
      </c>
      <c r="H26" s="115" t="e">
        <f>'THE BOARD'!#REF!</f>
        <v>#REF!</v>
      </c>
      <c r="I26" s="115"/>
      <c r="J26" s="115" t="e">
        <f>'THE BOARD'!#REF!</f>
        <v>#REF!</v>
      </c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</row>
    <row r="27" spans="1:26" x14ac:dyDescent="0.2">
      <c r="A27" s="113" t="e">
        <f>'THE BOARD'!#REF!</f>
        <v>#REF!</v>
      </c>
      <c r="B27" s="113" t="e">
        <f>'THE BOARD'!#REF!</f>
        <v>#REF!</v>
      </c>
      <c r="C27" s="114" t="e">
        <f>'THE BOARD'!#REF!</f>
        <v>#REF!</v>
      </c>
      <c r="D27" s="115" t="e">
        <f>'THE BOARD'!#REF!</f>
        <v>#REF!</v>
      </c>
      <c r="E27" s="115" t="e">
        <f>'THE BOARD'!#REF!</f>
        <v>#REF!</v>
      </c>
      <c r="F27" s="115" t="e">
        <f>'THE BOARD'!#REF!</f>
        <v>#REF!</v>
      </c>
      <c r="G27" s="115" t="e">
        <f>'THE BOARD'!#REF!</f>
        <v>#REF!</v>
      </c>
      <c r="H27" s="115" t="e">
        <f>'THE BOARD'!#REF!</f>
        <v>#REF!</v>
      </c>
      <c r="I27" s="115"/>
      <c r="J27" s="115" t="e">
        <f>'THE BOARD'!#REF!</f>
        <v>#REF!</v>
      </c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</row>
    <row r="28" spans="1:26" x14ac:dyDescent="0.2">
      <c r="A28" s="113" t="e">
        <f>'THE BOARD'!#REF!</f>
        <v>#REF!</v>
      </c>
      <c r="B28" s="113" t="e">
        <f>'THE BOARD'!#REF!</f>
        <v>#REF!</v>
      </c>
      <c r="C28" s="114" t="e">
        <f>'THE BOARD'!#REF!</f>
        <v>#REF!</v>
      </c>
      <c r="D28" s="115" t="e">
        <f>'THE BOARD'!#REF!</f>
        <v>#REF!</v>
      </c>
      <c r="E28" s="115" t="e">
        <f>'THE BOARD'!#REF!</f>
        <v>#REF!</v>
      </c>
      <c r="F28" s="115" t="e">
        <f>'THE BOARD'!#REF!</f>
        <v>#REF!</v>
      </c>
      <c r="G28" s="115" t="e">
        <f>'THE BOARD'!#REF!</f>
        <v>#REF!</v>
      </c>
      <c r="H28" s="115" t="e">
        <f>'THE BOARD'!#REF!</f>
        <v>#REF!</v>
      </c>
      <c r="I28" s="115"/>
      <c r="J28" s="115" t="e">
        <f>'THE BOARD'!#REF!</f>
        <v>#REF!</v>
      </c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</row>
    <row r="29" spans="1:26" x14ac:dyDescent="0.2">
      <c r="A29" s="113" t="e">
        <f>'THE BOARD'!#REF!</f>
        <v>#REF!</v>
      </c>
      <c r="B29" s="113" t="e">
        <f>'THE BOARD'!#REF!</f>
        <v>#REF!</v>
      </c>
      <c r="C29" s="114" t="e">
        <f>'THE BOARD'!#REF!</f>
        <v>#REF!</v>
      </c>
      <c r="D29" s="115" t="e">
        <f>'THE BOARD'!#REF!</f>
        <v>#REF!</v>
      </c>
      <c r="E29" s="115" t="e">
        <f>'THE BOARD'!#REF!</f>
        <v>#REF!</v>
      </c>
      <c r="F29" s="115" t="e">
        <f>'THE BOARD'!#REF!</f>
        <v>#REF!</v>
      </c>
      <c r="G29" s="115" t="e">
        <f>'THE BOARD'!#REF!</f>
        <v>#REF!</v>
      </c>
      <c r="H29" s="115" t="e">
        <f>'THE BOARD'!#REF!</f>
        <v>#REF!</v>
      </c>
      <c r="I29" s="115"/>
      <c r="J29" s="115" t="e">
        <f>'THE BOARD'!#REF!</f>
        <v>#REF!</v>
      </c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</row>
    <row r="30" spans="1:26" x14ac:dyDescent="0.2">
      <c r="A30" s="113" t="e">
        <f>'THE BOARD'!#REF!</f>
        <v>#REF!</v>
      </c>
      <c r="B30" s="113" t="e">
        <f>'THE BOARD'!#REF!</f>
        <v>#REF!</v>
      </c>
      <c r="C30" s="114" t="e">
        <f>'THE BOARD'!#REF!</f>
        <v>#REF!</v>
      </c>
      <c r="D30" s="115" t="e">
        <f>'THE BOARD'!#REF!</f>
        <v>#REF!</v>
      </c>
      <c r="E30" s="115" t="e">
        <f>'THE BOARD'!#REF!</f>
        <v>#REF!</v>
      </c>
      <c r="F30" s="115" t="e">
        <f>'THE BOARD'!#REF!</f>
        <v>#REF!</v>
      </c>
      <c r="G30" s="115" t="e">
        <f>'THE BOARD'!#REF!</f>
        <v>#REF!</v>
      </c>
      <c r="H30" s="115" t="e">
        <f>'THE BOARD'!#REF!</f>
        <v>#REF!</v>
      </c>
      <c r="I30" s="115"/>
      <c r="J30" s="115" t="e">
        <f>'THE BOARD'!#REF!</f>
        <v>#REF!</v>
      </c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</row>
    <row r="31" spans="1:26" x14ac:dyDescent="0.2">
      <c r="A31" s="113" t="e">
        <f>'THE BOARD'!#REF!</f>
        <v>#REF!</v>
      </c>
      <c r="B31" s="113" t="e">
        <f>'THE BOARD'!#REF!</f>
        <v>#REF!</v>
      </c>
      <c r="C31" s="114" t="e">
        <f>'THE BOARD'!#REF!</f>
        <v>#REF!</v>
      </c>
      <c r="D31" s="115" t="e">
        <f>'THE BOARD'!#REF!</f>
        <v>#REF!</v>
      </c>
      <c r="E31" s="115" t="e">
        <f>'THE BOARD'!#REF!</f>
        <v>#REF!</v>
      </c>
      <c r="F31" s="115" t="e">
        <f>'THE BOARD'!#REF!</f>
        <v>#REF!</v>
      </c>
      <c r="G31" s="115" t="e">
        <f>'THE BOARD'!#REF!</f>
        <v>#REF!</v>
      </c>
      <c r="H31" s="115" t="e">
        <f>'THE BOARD'!#REF!</f>
        <v>#REF!</v>
      </c>
      <c r="I31" s="115"/>
      <c r="J31" s="115" t="e">
        <f>'THE BOARD'!#REF!</f>
        <v>#REF!</v>
      </c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</row>
    <row r="32" spans="1:26" x14ac:dyDescent="0.2">
      <c r="A32" s="113" t="e">
        <f>'THE BOARD'!#REF!</f>
        <v>#REF!</v>
      </c>
      <c r="B32" s="113" t="e">
        <f>'THE BOARD'!#REF!</f>
        <v>#REF!</v>
      </c>
      <c r="C32" s="114" t="e">
        <f>'THE BOARD'!#REF!</f>
        <v>#REF!</v>
      </c>
      <c r="D32" s="115" t="e">
        <f>'THE BOARD'!#REF!</f>
        <v>#REF!</v>
      </c>
      <c r="E32" s="115" t="e">
        <f>'THE BOARD'!#REF!</f>
        <v>#REF!</v>
      </c>
      <c r="F32" s="115" t="e">
        <f>'THE BOARD'!#REF!</f>
        <v>#REF!</v>
      </c>
      <c r="G32" s="115" t="e">
        <f>'THE BOARD'!#REF!</f>
        <v>#REF!</v>
      </c>
      <c r="H32" s="115" t="e">
        <f>'THE BOARD'!#REF!</f>
        <v>#REF!</v>
      </c>
      <c r="I32" s="115"/>
      <c r="J32" s="115" t="e">
        <f>'THE BOARD'!#REF!</f>
        <v>#REF!</v>
      </c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</row>
    <row r="33" spans="1:26" x14ac:dyDescent="0.2">
      <c r="A33" s="113" t="e">
        <f>'THE BOARD'!#REF!</f>
        <v>#REF!</v>
      </c>
      <c r="B33" s="113" t="e">
        <f>'THE BOARD'!#REF!</f>
        <v>#REF!</v>
      </c>
      <c r="C33" s="114" t="e">
        <f>'THE BOARD'!#REF!</f>
        <v>#REF!</v>
      </c>
      <c r="D33" s="115" t="e">
        <f>'THE BOARD'!#REF!</f>
        <v>#REF!</v>
      </c>
      <c r="E33" s="115" t="e">
        <f>'THE BOARD'!#REF!</f>
        <v>#REF!</v>
      </c>
      <c r="F33" s="115" t="e">
        <f>'THE BOARD'!#REF!</f>
        <v>#REF!</v>
      </c>
      <c r="G33" s="115" t="e">
        <f>'THE BOARD'!#REF!</f>
        <v>#REF!</v>
      </c>
      <c r="H33" s="115" t="e">
        <f>'THE BOARD'!#REF!</f>
        <v>#REF!</v>
      </c>
      <c r="I33" s="115"/>
      <c r="J33" s="115" t="e">
        <f>'THE BOARD'!#REF!</f>
        <v>#REF!</v>
      </c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</row>
    <row r="34" spans="1:26" x14ac:dyDescent="0.2">
      <c r="A34" s="113" t="e">
        <f>'THE BOARD'!#REF!</f>
        <v>#REF!</v>
      </c>
      <c r="B34" s="113" t="e">
        <f>'THE BOARD'!#REF!</f>
        <v>#REF!</v>
      </c>
      <c r="C34" s="114" t="e">
        <f>'THE BOARD'!#REF!</f>
        <v>#REF!</v>
      </c>
      <c r="D34" s="115" t="e">
        <f>'THE BOARD'!#REF!</f>
        <v>#REF!</v>
      </c>
      <c r="E34" s="115" t="e">
        <f>'THE BOARD'!#REF!</f>
        <v>#REF!</v>
      </c>
      <c r="F34" s="115" t="e">
        <f>'THE BOARD'!#REF!</f>
        <v>#REF!</v>
      </c>
      <c r="G34" s="115" t="e">
        <f>'THE BOARD'!#REF!</f>
        <v>#REF!</v>
      </c>
      <c r="H34" s="115" t="e">
        <f>'THE BOARD'!#REF!</f>
        <v>#REF!</v>
      </c>
      <c r="I34" s="115"/>
      <c r="J34" s="115" t="e">
        <f>'THE BOARD'!#REF!</f>
        <v>#REF!</v>
      </c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</row>
    <row r="35" spans="1:26" x14ac:dyDescent="0.2">
      <c r="A35" s="113" t="e">
        <f>'THE BOARD'!#REF!</f>
        <v>#REF!</v>
      </c>
      <c r="B35" s="113" t="e">
        <f>'THE BOARD'!#REF!</f>
        <v>#REF!</v>
      </c>
      <c r="C35" s="114" t="e">
        <f>'THE BOARD'!#REF!</f>
        <v>#REF!</v>
      </c>
      <c r="D35" s="115" t="e">
        <f>'THE BOARD'!#REF!</f>
        <v>#REF!</v>
      </c>
      <c r="E35" s="115" t="e">
        <f>'THE BOARD'!#REF!</f>
        <v>#REF!</v>
      </c>
      <c r="F35" s="115" t="e">
        <f>'THE BOARD'!#REF!</f>
        <v>#REF!</v>
      </c>
      <c r="G35" s="115" t="e">
        <f>'THE BOARD'!#REF!</f>
        <v>#REF!</v>
      </c>
      <c r="H35" s="115" t="e">
        <f>'THE BOARD'!#REF!</f>
        <v>#REF!</v>
      </c>
      <c r="I35" s="115"/>
      <c r="J35" s="115" t="e">
        <f>'THE BOARD'!#REF!</f>
        <v>#REF!</v>
      </c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</row>
    <row r="36" spans="1:26" x14ac:dyDescent="0.2">
      <c r="A36" s="113" t="e">
        <f>'THE BOARD'!#REF!</f>
        <v>#REF!</v>
      </c>
      <c r="B36" s="113" t="e">
        <f>'THE BOARD'!#REF!</f>
        <v>#REF!</v>
      </c>
      <c r="C36" s="114" t="e">
        <f>'THE BOARD'!#REF!</f>
        <v>#REF!</v>
      </c>
      <c r="D36" s="115" t="e">
        <f>'THE BOARD'!#REF!</f>
        <v>#REF!</v>
      </c>
      <c r="E36" s="115" t="e">
        <f>'THE BOARD'!#REF!</f>
        <v>#REF!</v>
      </c>
      <c r="F36" s="115" t="e">
        <f>'THE BOARD'!#REF!</f>
        <v>#REF!</v>
      </c>
      <c r="G36" s="115" t="e">
        <f>'THE BOARD'!#REF!</f>
        <v>#REF!</v>
      </c>
      <c r="H36" s="115" t="e">
        <f>'THE BOARD'!#REF!</f>
        <v>#REF!</v>
      </c>
      <c r="I36" s="115"/>
      <c r="J36" s="115" t="e">
        <f>'THE BOARD'!#REF!</f>
        <v>#REF!</v>
      </c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</row>
    <row r="37" spans="1:26" x14ac:dyDescent="0.2">
      <c r="A37" s="113" t="e">
        <f>'THE BOARD'!#REF!</f>
        <v>#REF!</v>
      </c>
      <c r="B37" s="113" t="e">
        <f>'THE BOARD'!#REF!</f>
        <v>#REF!</v>
      </c>
      <c r="C37" s="114" t="e">
        <f>'THE BOARD'!#REF!</f>
        <v>#REF!</v>
      </c>
      <c r="D37" s="115" t="e">
        <f>'THE BOARD'!#REF!</f>
        <v>#REF!</v>
      </c>
      <c r="E37" s="115" t="e">
        <f>'THE BOARD'!#REF!</f>
        <v>#REF!</v>
      </c>
      <c r="F37" s="115" t="e">
        <f>'THE BOARD'!#REF!</f>
        <v>#REF!</v>
      </c>
      <c r="G37" s="115" t="e">
        <f>'THE BOARD'!#REF!</f>
        <v>#REF!</v>
      </c>
      <c r="H37" s="115" t="e">
        <f>'THE BOARD'!#REF!</f>
        <v>#REF!</v>
      </c>
      <c r="I37" s="115"/>
      <c r="J37" s="115" t="e">
        <f>'THE BOARD'!#REF!</f>
        <v>#REF!</v>
      </c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</row>
    <row r="38" spans="1:26" x14ac:dyDescent="0.2">
      <c r="A38" s="113" t="e">
        <f>'THE BOARD'!#REF!</f>
        <v>#REF!</v>
      </c>
      <c r="B38" s="113" t="e">
        <f>'THE BOARD'!#REF!</f>
        <v>#REF!</v>
      </c>
      <c r="C38" s="114" t="e">
        <f>'THE BOARD'!#REF!</f>
        <v>#REF!</v>
      </c>
      <c r="D38" s="115" t="e">
        <f>'THE BOARD'!#REF!</f>
        <v>#REF!</v>
      </c>
      <c r="E38" s="115" t="e">
        <f>'THE BOARD'!#REF!</f>
        <v>#REF!</v>
      </c>
      <c r="F38" s="115" t="e">
        <f>'THE BOARD'!#REF!</f>
        <v>#REF!</v>
      </c>
      <c r="G38" s="115" t="e">
        <f>'THE BOARD'!#REF!</f>
        <v>#REF!</v>
      </c>
      <c r="H38" s="115" t="e">
        <f>'THE BOARD'!#REF!</f>
        <v>#REF!</v>
      </c>
      <c r="I38" s="115"/>
      <c r="J38" s="115" t="e">
        <f>'THE BOARD'!#REF!</f>
        <v>#REF!</v>
      </c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</row>
    <row r="39" spans="1:26" x14ac:dyDescent="0.2">
      <c r="A39" s="113" t="e">
        <f>'THE BOARD'!#REF!</f>
        <v>#REF!</v>
      </c>
      <c r="B39" s="113" t="e">
        <f>'THE BOARD'!#REF!</f>
        <v>#REF!</v>
      </c>
      <c r="C39" s="114" t="e">
        <f>'THE BOARD'!#REF!</f>
        <v>#REF!</v>
      </c>
      <c r="D39" s="115" t="e">
        <f>'THE BOARD'!#REF!</f>
        <v>#REF!</v>
      </c>
      <c r="E39" s="115" t="e">
        <f>'THE BOARD'!#REF!</f>
        <v>#REF!</v>
      </c>
      <c r="F39" s="115" t="e">
        <f>'THE BOARD'!#REF!</f>
        <v>#REF!</v>
      </c>
      <c r="G39" s="115" t="e">
        <f>'THE BOARD'!#REF!</f>
        <v>#REF!</v>
      </c>
      <c r="H39" s="115" t="e">
        <f>'THE BOARD'!#REF!</f>
        <v>#REF!</v>
      </c>
      <c r="I39" s="115"/>
      <c r="J39" s="115" t="e">
        <f>'THE BOARD'!#REF!</f>
        <v>#REF!</v>
      </c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</row>
    <row r="40" spans="1:26" x14ac:dyDescent="0.2">
      <c r="A40" s="113" t="e">
        <f>'THE BOARD'!#REF!</f>
        <v>#REF!</v>
      </c>
      <c r="B40" s="113" t="e">
        <f>'THE BOARD'!#REF!</f>
        <v>#REF!</v>
      </c>
      <c r="C40" s="114" t="e">
        <f>'THE BOARD'!#REF!</f>
        <v>#REF!</v>
      </c>
      <c r="D40" s="115" t="e">
        <f>'THE BOARD'!#REF!</f>
        <v>#REF!</v>
      </c>
      <c r="E40" s="115" t="e">
        <f>'THE BOARD'!#REF!</f>
        <v>#REF!</v>
      </c>
      <c r="F40" s="115" t="e">
        <f>'THE BOARD'!#REF!</f>
        <v>#REF!</v>
      </c>
      <c r="G40" s="115" t="e">
        <f>'THE BOARD'!#REF!</f>
        <v>#REF!</v>
      </c>
      <c r="H40" s="115" t="e">
        <f>'THE BOARD'!#REF!</f>
        <v>#REF!</v>
      </c>
      <c r="I40" s="115"/>
      <c r="J40" s="115" t="e">
        <f>'THE BOARD'!#REF!</f>
        <v>#REF!</v>
      </c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</row>
    <row r="41" spans="1:26" x14ac:dyDescent="0.2">
      <c r="A41" s="113" t="e">
        <f>'THE BOARD'!#REF!</f>
        <v>#REF!</v>
      </c>
      <c r="B41" s="113" t="e">
        <f>'THE BOARD'!#REF!</f>
        <v>#REF!</v>
      </c>
      <c r="C41" s="114" t="e">
        <f>'THE BOARD'!#REF!</f>
        <v>#REF!</v>
      </c>
      <c r="D41" s="115" t="e">
        <f>'THE BOARD'!#REF!</f>
        <v>#REF!</v>
      </c>
      <c r="E41" s="115" t="e">
        <f>'THE BOARD'!#REF!</f>
        <v>#REF!</v>
      </c>
      <c r="F41" s="115" t="e">
        <f>'THE BOARD'!#REF!</f>
        <v>#REF!</v>
      </c>
      <c r="G41" s="115" t="e">
        <f>'THE BOARD'!#REF!</f>
        <v>#REF!</v>
      </c>
      <c r="H41" s="115" t="e">
        <f>'THE BOARD'!#REF!</f>
        <v>#REF!</v>
      </c>
      <c r="I41" s="115"/>
      <c r="J41" s="115" t="e">
        <f>'THE BOARD'!#REF!</f>
        <v>#REF!</v>
      </c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</row>
    <row r="42" spans="1:26" x14ac:dyDescent="0.2">
      <c r="A42" s="113" t="e">
        <f>'THE BOARD'!#REF!</f>
        <v>#REF!</v>
      </c>
      <c r="B42" s="113" t="e">
        <f>'THE BOARD'!#REF!</f>
        <v>#REF!</v>
      </c>
      <c r="C42" s="114" t="e">
        <f>'THE BOARD'!#REF!</f>
        <v>#REF!</v>
      </c>
      <c r="D42" s="115" t="e">
        <f>'THE BOARD'!#REF!</f>
        <v>#REF!</v>
      </c>
      <c r="E42" s="115" t="e">
        <f>'THE BOARD'!#REF!</f>
        <v>#REF!</v>
      </c>
      <c r="F42" s="115" t="e">
        <f>'THE BOARD'!#REF!</f>
        <v>#REF!</v>
      </c>
      <c r="G42" s="115" t="e">
        <f>'THE BOARD'!#REF!</f>
        <v>#REF!</v>
      </c>
      <c r="H42" s="115" t="e">
        <f>'THE BOARD'!#REF!</f>
        <v>#REF!</v>
      </c>
      <c r="I42" s="115"/>
      <c r="J42" s="115" t="e">
        <f>'THE BOARD'!#REF!</f>
        <v>#REF!</v>
      </c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</row>
    <row r="43" spans="1:26" x14ac:dyDescent="0.2">
      <c r="A43" s="113" t="e">
        <f>'THE BOARD'!#REF!</f>
        <v>#REF!</v>
      </c>
      <c r="B43" s="113" t="e">
        <f>'THE BOARD'!#REF!</f>
        <v>#REF!</v>
      </c>
      <c r="C43" s="114" t="e">
        <f>'THE BOARD'!#REF!</f>
        <v>#REF!</v>
      </c>
      <c r="D43" s="115" t="e">
        <f>'THE BOARD'!#REF!</f>
        <v>#REF!</v>
      </c>
      <c r="E43" s="115" t="e">
        <f>'THE BOARD'!#REF!</f>
        <v>#REF!</v>
      </c>
      <c r="F43" s="115" t="e">
        <f>'THE BOARD'!#REF!</f>
        <v>#REF!</v>
      </c>
      <c r="G43" s="115" t="e">
        <f>'THE BOARD'!#REF!</f>
        <v>#REF!</v>
      </c>
      <c r="H43" s="115" t="e">
        <f>'THE BOARD'!#REF!</f>
        <v>#REF!</v>
      </c>
      <c r="I43" s="115"/>
      <c r="J43" s="115" t="e">
        <f>'THE BOARD'!#REF!</f>
        <v>#REF!</v>
      </c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</row>
    <row r="44" spans="1:26" x14ac:dyDescent="0.2">
      <c r="A44" s="113" t="e">
        <f>'THE BOARD'!#REF!</f>
        <v>#REF!</v>
      </c>
      <c r="B44" s="113" t="e">
        <f>'THE BOARD'!#REF!</f>
        <v>#REF!</v>
      </c>
      <c r="C44" s="114" t="e">
        <f>'THE BOARD'!#REF!</f>
        <v>#REF!</v>
      </c>
      <c r="D44" s="115" t="e">
        <f>'THE BOARD'!#REF!</f>
        <v>#REF!</v>
      </c>
      <c r="E44" s="115" t="e">
        <f>'THE BOARD'!#REF!</f>
        <v>#REF!</v>
      </c>
      <c r="F44" s="115" t="e">
        <f>'THE BOARD'!#REF!</f>
        <v>#REF!</v>
      </c>
      <c r="G44" s="115" t="e">
        <f>'THE BOARD'!#REF!</f>
        <v>#REF!</v>
      </c>
      <c r="H44" s="115" t="e">
        <f>'THE BOARD'!#REF!</f>
        <v>#REF!</v>
      </c>
      <c r="I44" s="115"/>
      <c r="J44" s="115" t="e">
        <f>'THE BOARD'!#REF!</f>
        <v>#REF!</v>
      </c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</row>
    <row r="45" spans="1:26" x14ac:dyDescent="0.2">
      <c r="A45" s="113" t="e">
        <f>'THE BOARD'!#REF!</f>
        <v>#REF!</v>
      </c>
      <c r="B45" s="113" t="e">
        <f>'THE BOARD'!#REF!</f>
        <v>#REF!</v>
      </c>
      <c r="C45" s="114" t="e">
        <f>'THE BOARD'!#REF!</f>
        <v>#REF!</v>
      </c>
      <c r="D45" s="115" t="e">
        <f>'THE BOARD'!#REF!</f>
        <v>#REF!</v>
      </c>
      <c r="E45" s="115" t="e">
        <f>'THE BOARD'!#REF!</f>
        <v>#REF!</v>
      </c>
      <c r="F45" s="115" t="e">
        <f>'THE BOARD'!#REF!</f>
        <v>#REF!</v>
      </c>
      <c r="G45" s="115" t="e">
        <f>'THE BOARD'!#REF!</f>
        <v>#REF!</v>
      </c>
      <c r="H45" s="115" t="e">
        <f>'THE BOARD'!#REF!</f>
        <v>#REF!</v>
      </c>
      <c r="I45" s="115"/>
      <c r="J45" s="115" t="e">
        <f>'THE BOARD'!#REF!</f>
        <v>#REF!</v>
      </c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</row>
    <row r="46" spans="1:26" x14ac:dyDescent="0.2">
      <c r="A46" s="113" t="e">
        <f>'THE BOARD'!#REF!</f>
        <v>#REF!</v>
      </c>
      <c r="B46" s="113" t="e">
        <f>'THE BOARD'!#REF!</f>
        <v>#REF!</v>
      </c>
      <c r="C46" s="114" t="e">
        <f>'THE BOARD'!#REF!</f>
        <v>#REF!</v>
      </c>
      <c r="D46" s="115" t="e">
        <f>'THE BOARD'!#REF!</f>
        <v>#REF!</v>
      </c>
      <c r="E46" s="115" t="e">
        <f>'THE BOARD'!#REF!</f>
        <v>#REF!</v>
      </c>
      <c r="F46" s="115" t="e">
        <f>'THE BOARD'!#REF!</f>
        <v>#REF!</v>
      </c>
      <c r="G46" s="115" t="e">
        <f>'THE BOARD'!#REF!</f>
        <v>#REF!</v>
      </c>
      <c r="H46" s="115" t="e">
        <f>'THE BOARD'!#REF!</f>
        <v>#REF!</v>
      </c>
      <c r="I46" s="115"/>
      <c r="J46" s="115" t="e">
        <f>'THE BOARD'!#REF!</f>
        <v>#REF!</v>
      </c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</row>
    <row r="47" spans="1:26" x14ac:dyDescent="0.2">
      <c r="A47" s="113" t="e">
        <f>'THE BOARD'!#REF!</f>
        <v>#REF!</v>
      </c>
      <c r="B47" s="113" t="e">
        <f>'THE BOARD'!#REF!</f>
        <v>#REF!</v>
      </c>
      <c r="C47" s="114" t="e">
        <f>'THE BOARD'!#REF!</f>
        <v>#REF!</v>
      </c>
      <c r="D47" s="115" t="e">
        <f>'THE BOARD'!#REF!</f>
        <v>#REF!</v>
      </c>
      <c r="E47" s="115" t="e">
        <f>'THE BOARD'!#REF!</f>
        <v>#REF!</v>
      </c>
      <c r="F47" s="115" t="e">
        <f>'THE BOARD'!#REF!</f>
        <v>#REF!</v>
      </c>
      <c r="G47" s="115" t="e">
        <f>'THE BOARD'!#REF!</f>
        <v>#REF!</v>
      </c>
      <c r="H47" s="115" t="e">
        <f>'THE BOARD'!#REF!</f>
        <v>#REF!</v>
      </c>
      <c r="I47" s="115"/>
      <c r="J47" s="115" t="e">
        <f>'THE BOARD'!#REF!</f>
        <v>#REF!</v>
      </c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</row>
    <row r="48" spans="1:26" x14ac:dyDescent="0.2">
      <c r="A48" s="113" t="e">
        <f>'THE BOARD'!#REF!</f>
        <v>#REF!</v>
      </c>
      <c r="B48" s="113" t="e">
        <f>'THE BOARD'!#REF!</f>
        <v>#REF!</v>
      </c>
      <c r="C48" s="114" t="e">
        <f>'THE BOARD'!#REF!</f>
        <v>#REF!</v>
      </c>
      <c r="D48" s="115" t="e">
        <f>'THE BOARD'!#REF!</f>
        <v>#REF!</v>
      </c>
      <c r="E48" s="115" t="e">
        <f>'THE BOARD'!#REF!</f>
        <v>#REF!</v>
      </c>
      <c r="F48" s="115" t="e">
        <f>'THE BOARD'!#REF!</f>
        <v>#REF!</v>
      </c>
      <c r="G48" s="115" t="e">
        <f>'THE BOARD'!#REF!</f>
        <v>#REF!</v>
      </c>
      <c r="H48" s="115" t="e">
        <f>'THE BOARD'!#REF!</f>
        <v>#REF!</v>
      </c>
      <c r="I48" s="115"/>
      <c r="J48" s="115" t="e">
        <f>'THE BOARD'!#REF!</f>
        <v>#REF!</v>
      </c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</row>
    <row r="49" spans="1:26" x14ac:dyDescent="0.2">
      <c r="A49" s="113" t="e">
        <f>'THE BOARD'!#REF!</f>
        <v>#REF!</v>
      </c>
      <c r="B49" s="113" t="e">
        <f>'THE BOARD'!#REF!</f>
        <v>#REF!</v>
      </c>
      <c r="C49" s="114" t="e">
        <f>'THE BOARD'!#REF!</f>
        <v>#REF!</v>
      </c>
      <c r="D49" s="115" t="e">
        <f>'THE BOARD'!#REF!</f>
        <v>#REF!</v>
      </c>
      <c r="E49" s="115" t="e">
        <f>'THE BOARD'!#REF!</f>
        <v>#REF!</v>
      </c>
      <c r="F49" s="115" t="e">
        <f>'THE BOARD'!#REF!</f>
        <v>#REF!</v>
      </c>
      <c r="G49" s="115" t="e">
        <f>'THE BOARD'!#REF!</f>
        <v>#REF!</v>
      </c>
      <c r="H49" s="115" t="e">
        <f>'THE BOARD'!#REF!</f>
        <v>#REF!</v>
      </c>
      <c r="I49" s="115"/>
      <c r="J49" s="115" t="e">
        <f>'THE BOARD'!#REF!</f>
        <v>#REF!</v>
      </c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</row>
    <row r="50" spans="1:26" x14ac:dyDescent="0.2">
      <c r="A50" s="113" t="e">
        <f>'THE BOARD'!#REF!</f>
        <v>#REF!</v>
      </c>
      <c r="B50" s="113" t="e">
        <f>'THE BOARD'!#REF!</f>
        <v>#REF!</v>
      </c>
      <c r="C50" s="114" t="e">
        <f>'THE BOARD'!#REF!</f>
        <v>#REF!</v>
      </c>
      <c r="D50" s="115" t="e">
        <f>'THE BOARD'!#REF!</f>
        <v>#REF!</v>
      </c>
      <c r="E50" s="115" t="e">
        <f>'THE BOARD'!#REF!</f>
        <v>#REF!</v>
      </c>
      <c r="F50" s="115" t="e">
        <f>'THE BOARD'!#REF!</f>
        <v>#REF!</v>
      </c>
      <c r="G50" s="115" t="e">
        <f>'THE BOARD'!#REF!</f>
        <v>#REF!</v>
      </c>
      <c r="H50" s="115" t="e">
        <f>'THE BOARD'!#REF!</f>
        <v>#REF!</v>
      </c>
      <c r="I50" s="115"/>
      <c r="J50" s="115" t="e">
        <f>'THE BOARD'!#REF!</f>
        <v>#REF!</v>
      </c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</row>
    <row r="51" spans="1:26" x14ac:dyDescent="0.2">
      <c r="A51" s="113" t="e">
        <f>'THE BOARD'!#REF!</f>
        <v>#REF!</v>
      </c>
      <c r="B51" s="113" t="e">
        <f>'THE BOARD'!#REF!</f>
        <v>#REF!</v>
      </c>
      <c r="C51" s="114" t="e">
        <f>'THE BOARD'!#REF!</f>
        <v>#REF!</v>
      </c>
      <c r="D51" s="115" t="e">
        <f>'THE BOARD'!#REF!</f>
        <v>#REF!</v>
      </c>
      <c r="E51" s="115" t="e">
        <f>'THE BOARD'!#REF!</f>
        <v>#REF!</v>
      </c>
      <c r="F51" s="115" t="e">
        <f>'THE BOARD'!#REF!</f>
        <v>#REF!</v>
      </c>
      <c r="G51" s="115" t="e">
        <f>'THE BOARD'!#REF!</f>
        <v>#REF!</v>
      </c>
      <c r="H51" s="115" t="e">
        <f>'THE BOARD'!#REF!</f>
        <v>#REF!</v>
      </c>
      <c r="I51" s="115"/>
      <c r="J51" s="115" t="e">
        <f>'THE BOARD'!#REF!</f>
        <v>#REF!</v>
      </c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</row>
    <row r="52" spans="1:26" x14ac:dyDescent="0.2">
      <c r="A52" s="113" t="e">
        <f>'THE BOARD'!#REF!</f>
        <v>#REF!</v>
      </c>
      <c r="B52" s="113" t="e">
        <f>'THE BOARD'!#REF!</f>
        <v>#REF!</v>
      </c>
      <c r="C52" s="114" t="e">
        <f>'THE BOARD'!#REF!</f>
        <v>#REF!</v>
      </c>
      <c r="D52" s="115" t="e">
        <f>'THE BOARD'!#REF!</f>
        <v>#REF!</v>
      </c>
      <c r="E52" s="115" t="e">
        <f>'THE BOARD'!#REF!</f>
        <v>#REF!</v>
      </c>
      <c r="F52" s="115" t="e">
        <f>'THE BOARD'!#REF!</f>
        <v>#REF!</v>
      </c>
      <c r="G52" s="115" t="e">
        <f>'THE BOARD'!#REF!</f>
        <v>#REF!</v>
      </c>
      <c r="H52" s="115" t="e">
        <f>'THE BOARD'!#REF!</f>
        <v>#REF!</v>
      </c>
      <c r="I52" s="115"/>
      <c r="J52" s="115" t="e">
        <f>'THE BOARD'!#REF!</f>
        <v>#REF!</v>
      </c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</row>
    <row r="53" spans="1:26" x14ac:dyDescent="0.2">
      <c r="A53" s="113" t="e">
        <f>'THE BOARD'!#REF!</f>
        <v>#REF!</v>
      </c>
      <c r="B53" s="113" t="e">
        <f>'THE BOARD'!#REF!</f>
        <v>#REF!</v>
      </c>
      <c r="C53" s="114" t="e">
        <f>'THE BOARD'!#REF!</f>
        <v>#REF!</v>
      </c>
      <c r="D53" s="115" t="e">
        <f>'THE BOARD'!#REF!</f>
        <v>#REF!</v>
      </c>
      <c r="E53" s="115" t="e">
        <f>'THE BOARD'!#REF!</f>
        <v>#REF!</v>
      </c>
      <c r="F53" s="115" t="e">
        <f>'THE BOARD'!#REF!</f>
        <v>#REF!</v>
      </c>
      <c r="G53" s="115" t="e">
        <f>'THE BOARD'!#REF!</f>
        <v>#REF!</v>
      </c>
      <c r="H53" s="115" t="e">
        <f>'THE BOARD'!#REF!</f>
        <v>#REF!</v>
      </c>
      <c r="I53" s="115"/>
      <c r="J53" s="115" t="e">
        <f>'THE BOARD'!#REF!</f>
        <v>#REF!</v>
      </c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</row>
    <row r="54" spans="1:26" x14ac:dyDescent="0.2">
      <c r="A54" s="113" t="e">
        <f>'THE BOARD'!#REF!</f>
        <v>#REF!</v>
      </c>
      <c r="B54" s="113" t="e">
        <f>'THE BOARD'!#REF!</f>
        <v>#REF!</v>
      </c>
      <c r="C54" s="114" t="e">
        <f>'THE BOARD'!#REF!</f>
        <v>#REF!</v>
      </c>
      <c r="D54" s="115" t="e">
        <f>'THE BOARD'!#REF!</f>
        <v>#REF!</v>
      </c>
      <c r="E54" s="115" t="e">
        <f>'THE BOARD'!#REF!</f>
        <v>#REF!</v>
      </c>
      <c r="F54" s="115" t="e">
        <f>'THE BOARD'!#REF!</f>
        <v>#REF!</v>
      </c>
      <c r="G54" s="115" t="e">
        <f>'THE BOARD'!#REF!</f>
        <v>#REF!</v>
      </c>
      <c r="H54" s="115" t="e">
        <f>'THE BOARD'!#REF!</f>
        <v>#REF!</v>
      </c>
      <c r="I54" s="115"/>
      <c r="J54" s="115" t="e">
        <f>'THE BOARD'!#REF!</f>
        <v>#REF!</v>
      </c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</row>
    <row r="55" spans="1:26" x14ac:dyDescent="0.2">
      <c r="A55" s="113" t="e">
        <f>'THE BOARD'!#REF!</f>
        <v>#REF!</v>
      </c>
      <c r="B55" s="113" t="e">
        <f>'THE BOARD'!#REF!</f>
        <v>#REF!</v>
      </c>
      <c r="C55" s="114" t="e">
        <f>'THE BOARD'!#REF!</f>
        <v>#REF!</v>
      </c>
      <c r="D55" s="115" t="e">
        <f>'THE BOARD'!#REF!</f>
        <v>#REF!</v>
      </c>
      <c r="E55" s="115" t="e">
        <f>'THE BOARD'!#REF!</f>
        <v>#REF!</v>
      </c>
      <c r="F55" s="115" t="e">
        <f>'THE BOARD'!#REF!</f>
        <v>#REF!</v>
      </c>
      <c r="G55" s="115" t="e">
        <f>'THE BOARD'!#REF!</f>
        <v>#REF!</v>
      </c>
      <c r="H55" s="115" t="e">
        <f>'THE BOARD'!#REF!</f>
        <v>#REF!</v>
      </c>
      <c r="I55" s="115"/>
      <c r="J55" s="115" t="e">
        <f>'THE BOARD'!#REF!</f>
        <v>#REF!</v>
      </c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</row>
    <row r="56" spans="1:26" x14ac:dyDescent="0.2">
      <c r="A56" s="113" t="e">
        <f>'THE BOARD'!#REF!</f>
        <v>#REF!</v>
      </c>
      <c r="B56" s="113" t="e">
        <f>'THE BOARD'!#REF!</f>
        <v>#REF!</v>
      </c>
      <c r="C56" s="114" t="e">
        <f>'THE BOARD'!#REF!</f>
        <v>#REF!</v>
      </c>
      <c r="D56" s="115" t="e">
        <f>'THE BOARD'!#REF!</f>
        <v>#REF!</v>
      </c>
      <c r="E56" s="115" t="e">
        <f>'THE BOARD'!#REF!</f>
        <v>#REF!</v>
      </c>
      <c r="F56" s="115" t="e">
        <f>'THE BOARD'!#REF!</f>
        <v>#REF!</v>
      </c>
      <c r="G56" s="115" t="e">
        <f>'THE BOARD'!#REF!</f>
        <v>#REF!</v>
      </c>
      <c r="H56" s="115" t="e">
        <f>'THE BOARD'!#REF!</f>
        <v>#REF!</v>
      </c>
      <c r="I56" s="115"/>
      <c r="J56" s="115" t="e">
        <f>'THE BOARD'!#REF!</f>
        <v>#REF!</v>
      </c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</row>
    <row r="57" spans="1:26" x14ac:dyDescent="0.2">
      <c r="A57" s="113" t="e">
        <f>'THE BOARD'!#REF!</f>
        <v>#REF!</v>
      </c>
      <c r="B57" s="113" t="e">
        <f>'THE BOARD'!#REF!</f>
        <v>#REF!</v>
      </c>
      <c r="C57" s="114" t="e">
        <f>'THE BOARD'!#REF!</f>
        <v>#REF!</v>
      </c>
      <c r="D57" s="115" t="e">
        <f>'THE BOARD'!#REF!</f>
        <v>#REF!</v>
      </c>
      <c r="E57" s="115" t="e">
        <f>'THE BOARD'!#REF!</f>
        <v>#REF!</v>
      </c>
      <c r="F57" s="115" t="e">
        <f>'THE BOARD'!#REF!</f>
        <v>#REF!</v>
      </c>
      <c r="G57" s="115" t="e">
        <f>'THE BOARD'!#REF!</f>
        <v>#REF!</v>
      </c>
      <c r="H57" s="115" t="e">
        <f>'THE BOARD'!#REF!</f>
        <v>#REF!</v>
      </c>
      <c r="I57" s="115"/>
      <c r="J57" s="115" t="e">
        <f>'THE BOARD'!#REF!</f>
        <v>#REF!</v>
      </c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</row>
    <row r="58" spans="1:26" x14ac:dyDescent="0.2">
      <c r="A58" s="113" t="e">
        <f>'THE BOARD'!#REF!</f>
        <v>#REF!</v>
      </c>
      <c r="B58" s="113" t="e">
        <f>'THE BOARD'!#REF!</f>
        <v>#REF!</v>
      </c>
      <c r="C58" s="114" t="e">
        <f>'THE BOARD'!#REF!</f>
        <v>#REF!</v>
      </c>
      <c r="D58" s="115" t="e">
        <f>'THE BOARD'!#REF!</f>
        <v>#REF!</v>
      </c>
      <c r="E58" s="115" t="e">
        <f>'THE BOARD'!#REF!</f>
        <v>#REF!</v>
      </c>
      <c r="F58" s="115" t="e">
        <f>'THE BOARD'!#REF!</f>
        <v>#REF!</v>
      </c>
      <c r="G58" s="115" t="e">
        <f>'THE BOARD'!#REF!</f>
        <v>#REF!</v>
      </c>
      <c r="H58" s="115" t="e">
        <f>'THE BOARD'!#REF!</f>
        <v>#REF!</v>
      </c>
      <c r="I58" s="115"/>
      <c r="J58" s="115" t="e">
        <f>'THE BOARD'!#REF!</f>
        <v>#REF!</v>
      </c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</row>
    <row r="59" spans="1:26" x14ac:dyDescent="0.2">
      <c r="A59" s="113" t="e">
        <f>'THE BOARD'!#REF!</f>
        <v>#REF!</v>
      </c>
      <c r="B59" s="113" t="e">
        <f>'THE BOARD'!#REF!</f>
        <v>#REF!</v>
      </c>
      <c r="C59" s="114" t="e">
        <f>'THE BOARD'!#REF!</f>
        <v>#REF!</v>
      </c>
      <c r="D59" s="115" t="e">
        <f>'THE BOARD'!#REF!</f>
        <v>#REF!</v>
      </c>
      <c r="E59" s="115" t="e">
        <f>'THE BOARD'!#REF!</f>
        <v>#REF!</v>
      </c>
      <c r="F59" s="115" t="e">
        <f>'THE BOARD'!#REF!</f>
        <v>#REF!</v>
      </c>
      <c r="G59" s="115" t="e">
        <f>'THE BOARD'!#REF!</f>
        <v>#REF!</v>
      </c>
      <c r="H59" s="115" t="e">
        <f>'THE BOARD'!#REF!</f>
        <v>#REF!</v>
      </c>
      <c r="I59" s="115"/>
      <c r="J59" s="115" t="e">
        <f>'THE BOARD'!#REF!</f>
        <v>#REF!</v>
      </c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</row>
    <row r="60" spans="1:26" x14ac:dyDescent="0.2">
      <c r="A60" s="113" t="e">
        <f>'THE BOARD'!#REF!</f>
        <v>#REF!</v>
      </c>
      <c r="B60" s="113" t="e">
        <f>'THE BOARD'!#REF!</f>
        <v>#REF!</v>
      </c>
      <c r="C60" s="114" t="e">
        <f>'THE BOARD'!#REF!</f>
        <v>#REF!</v>
      </c>
      <c r="D60" s="115" t="e">
        <f>'THE BOARD'!#REF!</f>
        <v>#REF!</v>
      </c>
      <c r="E60" s="115" t="e">
        <f>'THE BOARD'!#REF!</f>
        <v>#REF!</v>
      </c>
      <c r="F60" s="115" t="e">
        <f>'THE BOARD'!#REF!</f>
        <v>#REF!</v>
      </c>
      <c r="G60" s="115" t="e">
        <f>'THE BOARD'!#REF!</f>
        <v>#REF!</v>
      </c>
      <c r="H60" s="115" t="e">
        <f>'THE BOARD'!#REF!</f>
        <v>#REF!</v>
      </c>
      <c r="I60" s="115"/>
      <c r="J60" s="115" t="e">
        <f>'THE BOARD'!#REF!</f>
        <v>#REF!</v>
      </c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</row>
    <row r="61" spans="1:26" x14ac:dyDescent="0.2">
      <c r="A61" s="113" t="e">
        <f>'THE BOARD'!#REF!</f>
        <v>#REF!</v>
      </c>
      <c r="B61" s="113" t="e">
        <f>'THE BOARD'!#REF!</f>
        <v>#REF!</v>
      </c>
      <c r="C61" s="114" t="e">
        <f>'THE BOARD'!#REF!</f>
        <v>#REF!</v>
      </c>
      <c r="D61" s="115" t="e">
        <f>'THE BOARD'!#REF!</f>
        <v>#REF!</v>
      </c>
      <c r="E61" s="115" t="e">
        <f>'THE BOARD'!#REF!</f>
        <v>#REF!</v>
      </c>
      <c r="F61" s="115" t="e">
        <f>'THE BOARD'!#REF!</f>
        <v>#REF!</v>
      </c>
      <c r="G61" s="115" t="e">
        <f>'THE BOARD'!#REF!</f>
        <v>#REF!</v>
      </c>
      <c r="H61" s="115" t="e">
        <f>'THE BOARD'!#REF!</f>
        <v>#REF!</v>
      </c>
      <c r="I61" s="115"/>
      <c r="J61" s="115" t="e">
        <f>'THE BOARD'!#REF!</f>
        <v>#REF!</v>
      </c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</row>
    <row r="62" spans="1:26" x14ac:dyDescent="0.2">
      <c r="A62" s="113" t="e">
        <f>'THE BOARD'!#REF!</f>
        <v>#REF!</v>
      </c>
      <c r="B62" s="113" t="e">
        <f>'THE BOARD'!#REF!</f>
        <v>#REF!</v>
      </c>
      <c r="C62" s="114" t="e">
        <f>'THE BOARD'!#REF!</f>
        <v>#REF!</v>
      </c>
      <c r="D62" s="115" t="e">
        <f>'THE BOARD'!#REF!</f>
        <v>#REF!</v>
      </c>
      <c r="E62" s="115" t="e">
        <f>'THE BOARD'!#REF!</f>
        <v>#REF!</v>
      </c>
      <c r="F62" s="115" t="e">
        <f>'THE BOARD'!#REF!</f>
        <v>#REF!</v>
      </c>
      <c r="G62" s="115" t="e">
        <f>'THE BOARD'!#REF!</f>
        <v>#REF!</v>
      </c>
      <c r="H62" s="115" t="e">
        <f>'THE BOARD'!#REF!</f>
        <v>#REF!</v>
      </c>
      <c r="I62" s="115"/>
      <c r="J62" s="115" t="e">
        <f>'THE BOARD'!#REF!</f>
        <v>#REF!</v>
      </c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</row>
    <row r="63" spans="1:26" x14ac:dyDescent="0.2">
      <c r="A63" s="113" t="e">
        <f>'THE BOARD'!#REF!</f>
        <v>#REF!</v>
      </c>
      <c r="B63" s="113" t="e">
        <f>'THE BOARD'!#REF!</f>
        <v>#REF!</v>
      </c>
      <c r="C63" s="114" t="e">
        <f>'THE BOARD'!#REF!</f>
        <v>#REF!</v>
      </c>
      <c r="D63" s="115" t="e">
        <f>'THE BOARD'!#REF!</f>
        <v>#REF!</v>
      </c>
      <c r="E63" s="115" t="e">
        <f>'THE BOARD'!#REF!</f>
        <v>#REF!</v>
      </c>
      <c r="F63" s="115" t="e">
        <f>'THE BOARD'!#REF!</f>
        <v>#REF!</v>
      </c>
      <c r="G63" s="115" t="e">
        <f>'THE BOARD'!#REF!</f>
        <v>#REF!</v>
      </c>
      <c r="H63" s="115" t="e">
        <f>'THE BOARD'!#REF!</f>
        <v>#REF!</v>
      </c>
      <c r="I63" s="115"/>
      <c r="J63" s="115" t="e">
        <f>'THE BOARD'!#REF!</f>
        <v>#REF!</v>
      </c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</row>
    <row r="64" spans="1:26" x14ac:dyDescent="0.2">
      <c r="A64" s="113" t="e">
        <f>'THE BOARD'!#REF!</f>
        <v>#REF!</v>
      </c>
      <c r="B64" s="113" t="e">
        <f>'THE BOARD'!#REF!</f>
        <v>#REF!</v>
      </c>
      <c r="C64" s="114" t="e">
        <f>'THE BOARD'!#REF!</f>
        <v>#REF!</v>
      </c>
      <c r="D64" s="115" t="e">
        <f>'THE BOARD'!#REF!</f>
        <v>#REF!</v>
      </c>
      <c r="E64" s="115" t="e">
        <f>'THE BOARD'!#REF!</f>
        <v>#REF!</v>
      </c>
      <c r="F64" s="115" t="e">
        <f>'THE BOARD'!#REF!</f>
        <v>#REF!</v>
      </c>
      <c r="G64" s="115" t="e">
        <f>'THE BOARD'!#REF!</f>
        <v>#REF!</v>
      </c>
      <c r="H64" s="115" t="e">
        <f>'THE BOARD'!#REF!</f>
        <v>#REF!</v>
      </c>
      <c r="I64" s="115"/>
      <c r="J64" s="115" t="e">
        <f>'THE BOARD'!#REF!</f>
        <v>#REF!</v>
      </c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</row>
    <row r="65" spans="1:26" x14ac:dyDescent="0.2">
      <c r="A65" s="113" t="e">
        <f>'THE BOARD'!#REF!</f>
        <v>#REF!</v>
      </c>
      <c r="B65" s="113" t="e">
        <f>'THE BOARD'!#REF!</f>
        <v>#REF!</v>
      </c>
      <c r="C65" s="114" t="e">
        <f>'THE BOARD'!#REF!</f>
        <v>#REF!</v>
      </c>
      <c r="D65" s="115" t="e">
        <f>'THE BOARD'!#REF!</f>
        <v>#REF!</v>
      </c>
      <c r="E65" s="115" t="e">
        <f>'THE BOARD'!#REF!</f>
        <v>#REF!</v>
      </c>
      <c r="F65" s="115" t="e">
        <f>'THE BOARD'!#REF!</f>
        <v>#REF!</v>
      </c>
      <c r="G65" s="115" t="e">
        <f>'THE BOARD'!#REF!</f>
        <v>#REF!</v>
      </c>
      <c r="H65" s="115" t="e">
        <f>'THE BOARD'!#REF!</f>
        <v>#REF!</v>
      </c>
      <c r="I65" s="115"/>
      <c r="J65" s="115" t="e">
        <f>'THE BOARD'!#REF!</f>
        <v>#REF!</v>
      </c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  <c r="Z65" s="112"/>
    </row>
    <row r="66" spans="1:26" x14ac:dyDescent="0.2">
      <c r="A66" s="113" t="e">
        <f>'THE BOARD'!#REF!</f>
        <v>#REF!</v>
      </c>
      <c r="B66" s="113" t="e">
        <f>'THE BOARD'!#REF!</f>
        <v>#REF!</v>
      </c>
      <c r="C66" s="114" t="e">
        <f>'THE BOARD'!#REF!</f>
        <v>#REF!</v>
      </c>
      <c r="D66" s="115" t="e">
        <f>'THE BOARD'!#REF!</f>
        <v>#REF!</v>
      </c>
      <c r="E66" s="115" t="e">
        <f>'THE BOARD'!#REF!</f>
        <v>#REF!</v>
      </c>
      <c r="F66" s="115" t="e">
        <f>'THE BOARD'!#REF!</f>
        <v>#REF!</v>
      </c>
      <c r="G66" s="115" t="e">
        <f>'THE BOARD'!#REF!</f>
        <v>#REF!</v>
      </c>
      <c r="H66" s="115" t="e">
        <f>'THE BOARD'!#REF!</f>
        <v>#REF!</v>
      </c>
      <c r="I66" s="115"/>
      <c r="J66" s="115" t="e">
        <f>'THE BOARD'!#REF!</f>
        <v>#REF!</v>
      </c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</row>
    <row r="67" spans="1:26" x14ac:dyDescent="0.2">
      <c r="A67" s="113" t="e">
        <f>'THE BOARD'!#REF!</f>
        <v>#REF!</v>
      </c>
      <c r="B67" s="113" t="e">
        <f>'THE BOARD'!#REF!</f>
        <v>#REF!</v>
      </c>
      <c r="C67" s="114" t="e">
        <f>'THE BOARD'!#REF!</f>
        <v>#REF!</v>
      </c>
      <c r="D67" s="115" t="e">
        <f>'THE BOARD'!#REF!</f>
        <v>#REF!</v>
      </c>
      <c r="E67" s="115" t="e">
        <f>'THE BOARD'!#REF!</f>
        <v>#REF!</v>
      </c>
      <c r="F67" s="115" t="e">
        <f>'THE BOARD'!#REF!</f>
        <v>#REF!</v>
      </c>
      <c r="G67" s="115" t="e">
        <f>'THE BOARD'!#REF!</f>
        <v>#REF!</v>
      </c>
      <c r="H67" s="115" t="e">
        <f>'THE BOARD'!#REF!</f>
        <v>#REF!</v>
      </c>
      <c r="I67" s="115"/>
      <c r="J67" s="115" t="e">
        <f>'THE BOARD'!#REF!</f>
        <v>#REF!</v>
      </c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</row>
    <row r="68" spans="1:26" x14ac:dyDescent="0.2">
      <c r="A68" s="113" t="e">
        <f>'THE BOARD'!#REF!</f>
        <v>#REF!</v>
      </c>
      <c r="B68" s="113" t="e">
        <f>'THE BOARD'!#REF!</f>
        <v>#REF!</v>
      </c>
      <c r="C68" s="114" t="e">
        <f>'THE BOARD'!#REF!</f>
        <v>#REF!</v>
      </c>
      <c r="D68" s="115" t="e">
        <f>'THE BOARD'!#REF!</f>
        <v>#REF!</v>
      </c>
      <c r="E68" s="115" t="e">
        <f>'THE BOARD'!#REF!</f>
        <v>#REF!</v>
      </c>
      <c r="F68" s="115" t="e">
        <f>'THE BOARD'!#REF!</f>
        <v>#REF!</v>
      </c>
      <c r="G68" s="115" t="e">
        <f>'THE BOARD'!#REF!</f>
        <v>#REF!</v>
      </c>
      <c r="H68" s="115" t="e">
        <f>'THE BOARD'!#REF!</f>
        <v>#REF!</v>
      </c>
      <c r="I68" s="115"/>
      <c r="J68" s="115" t="e">
        <f>'THE BOARD'!#REF!</f>
        <v>#REF!</v>
      </c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</row>
    <row r="69" spans="1:26" x14ac:dyDescent="0.2">
      <c r="A69" s="113" t="e">
        <f>'THE BOARD'!#REF!</f>
        <v>#REF!</v>
      </c>
      <c r="B69" s="113" t="e">
        <f>'THE BOARD'!#REF!</f>
        <v>#REF!</v>
      </c>
      <c r="C69" s="114" t="e">
        <f>'THE BOARD'!#REF!</f>
        <v>#REF!</v>
      </c>
      <c r="D69" s="115" t="e">
        <f>'THE BOARD'!#REF!</f>
        <v>#REF!</v>
      </c>
      <c r="E69" s="115" t="e">
        <f>'THE BOARD'!#REF!</f>
        <v>#REF!</v>
      </c>
      <c r="F69" s="115" t="e">
        <f>'THE BOARD'!#REF!</f>
        <v>#REF!</v>
      </c>
      <c r="G69" s="115" t="e">
        <f>'THE BOARD'!#REF!</f>
        <v>#REF!</v>
      </c>
      <c r="H69" s="115" t="e">
        <f>'THE BOARD'!#REF!</f>
        <v>#REF!</v>
      </c>
      <c r="I69" s="115"/>
      <c r="J69" s="115" t="e">
        <f>'THE BOARD'!#REF!</f>
        <v>#REF!</v>
      </c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</row>
    <row r="70" spans="1:26" x14ac:dyDescent="0.2">
      <c r="A70" s="113" t="e">
        <f>'THE BOARD'!#REF!</f>
        <v>#REF!</v>
      </c>
      <c r="B70" s="113" t="e">
        <f>'THE BOARD'!#REF!</f>
        <v>#REF!</v>
      </c>
      <c r="C70" s="114" t="e">
        <f>'THE BOARD'!#REF!</f>
        <v>#REF!</v>
      </c>
      <c r="D70" s="115" t="e">
        <f>'THE BOARD'!#REF!</f>
        <v>#REF!</v>
      </c>
      <c r="E70" s="115" t="e">
        <f>'THE BOARD'!#REF!</f>
        <v>#REF!</v>
      </c>
      <c r="F70" s="115" t="e">
        <f>'THE BOARD'!#REF!</f>
        <v>#REF!</v>
      </c>
      <c r="G70" s="115" t="e">
        <f>'THE BOARD'!#REF!</f>
        <v>#REF!</v>
      </c>
      <c r="H70" s="115" t="e">
        <f>'THE BOARD'!#REF!</f>
        <v>#REF!</v>
      </c>
      <c r="I70" s="115"/>
      <c r="J70" s="115" t="e">
        <f>'THE BOARD'!#REF!</f>
        <v>#REF!</v>
      </c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</row>
    <row r="71" spans="1:26" x14ac:dyDescent="0.2">
      <c r="A71" s="113" t="e">
        <f>'THE BOARD'!#REF!</f>
        <v>#REF!</v>
      </c>
      <c r="B71" s="113" t="e">
        <f>'THE BOARD'!#REF!</f>
        <v>#REF!</v>
      </c>
      <c r="C71" s="114" t="e">
        <f>'THE BOARD'!#REF!</f>
        <v>#REF!</v>
      </c>
      <c r="D71" s="115" t="e">
        <f>'THE BOARD'!#REF!</f>
        <v>#REF!</v>
      </c>
      <c r="E71" s="115" t="e">
        <f>'THE BOARD'!#REF!</f>
        <v>#REF!</v>
      </c>
      <c r="F71" s="115" t="e">
        <f>'THE BOARD'!#REF!</f>
        <v>#REF!</v>
      </c>
      <c r="G71" s="115" t="e">
        <f>'THE BOARD'!#REF!</f>
        <v>#REF!</v>
      </c>
      <c r="H71" s="115" t="e">
        <f>'THE BOARD'!#REF!</f>
        <v>#REF!</v>
      </c>
      <c r="I71" s="115"/>
      <c r="J71" s="115" t="e">
        <f>'THE BOARD'!#REF!</f>
        <v>#REF!</v>
      </c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  <c r="Z71" s="112"/>
    </row>
    <row r="72" spans="1:26" x14ac:dyDescent="0.2">
      <c r="A72" s="113" t="e">
        <f>'THE BOARD'!#REF!</f>
        <v>#REF!</v>
      </c>
      <c r="B72" s="113" t="e">
        <f>'THE BOARD'!#REF!</f>
        <v>#REF!</v>
      </c>
      <c r="C72" s="114" t="e">
        <f>'THE BOARD'!#REF!</f>
        <v>#REF!</v>
      </c>
      <c r="D72" s="115" t="e">
        <f>'THE BOARD'!#REF!</f>
        <v>#REF!</v>
      </c>
      <c r="E72" s="115" t="e">
        <f>'THE BOARD'!#REF!</f>
        <v>#REF!</v>
      </c>
      <c r="F72" s="115" t="e">
        <f>'THE BOARD'!#REF!</f>
        <v>#REF!</v>
      </c>
      <c r="G72" s="115" t="e">
        <f>'THE BOARD'!#REF!</f>
        <v>#REF!</v>
      </c>
      <c r="H72" s="115" t="e">
        <f>'THE BOARD'!#REF!</f>
        <v>#REF!</v>
      </c>
      <c r="I72" s="115"/>
      <c r="J72" s="115" t="e">
        <f>'THE BOARD'!#REF!</f>
        <v>#REF!</v>
      </c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</row>
    <row r="73" spans="1:26" x14ac:dyDescent="0.2">
      <c r="A73" s="113" t="e">
        <f>'THE BOARD'!#REF!</f>
        <v>#REF!</v>
      </c>
      <c r="B73" s="113" t="e">
        <f>'THE BOARD'!#REF!</f>
        <v>#REF!</v>
      </c>
      <c r="C73" s="114" t="e">
        <f>'THE BOARD'!#REF!</f>
        <v>#REF!</v>
      </c>
      <c r="D73" s="115" t="e">
        <f>'THE BOARD'!#REF!</f>
        <v>#REF!</v>
      </c>
      <c r="E73" s="115" t="e">
        <f>'THE BOARD'!#REF!</f>
        <v>#REF!</v>
      </c>
      <c r="F73" s="115" t="e">
        <f>'THE BOARD'!#REF!</f>
        <v>#REF!</v>
      </c>
      <c r="G73" s="115" t="e">
        <f>'THE BOARD'!#REF!</f>
        <v>#REF!</v>
      </c>
      <c r="H73" s="115" t="e">
        <f>'THE BOARD'!#REF!</f>
        <v>#REF!</v>
      </c>
      <c r="I73" s="115"/>
      <c r="J73" s="115" t="e">
        <f>'THE BOARD'!#REF!</f>
        <v>#REF!</v>
      </c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  <c r="Z73" s="112"/>
    </row>
    <row r="74" spans="1:26" x14ac:dyDescent="0.2">
      <c r="A74" s="113" t="e">
        <f>'THE BOARD'!#REF!</f>
        <v>#REF!</v>
      </c>
      <c r="B74" s="113" t="e">
        <f>'THE BOARD'!#REF!</f>
        <v>#REF!</v>
      </c>
      <c r="C74" s="114" t="e">
        <f>'THE BOARD'!#REF!</f>
        <v>#REF!</v>
      </c>
      <c r="D74" s="115" t="e">
        <f>'THE BOARD'!#REF!</f>
        <v>#REF!</v>
      </c>
      <c r="E74" s="115" t="e">
        <f>'THE BOARD'!#REF!</f>
        <v>#REF!</v>
      </c>
      <c r="F74" s="115" t="e">
        <f>'THE BOARD'!#REF!</f>
        <v>#REF!</v>
      </c>
      <c r="G74" s="115" t="e">
        <f>'THE BOARD'!#REF!</f>
        <v>#REF!</v>
      </c>
      <c r="H74" s="115" t="e">
        <f>'THE BOARD'!#REF!</f>
        <v>#REF!</v>
      </c>
      <c r="I74" s="115"/>
      <c r="J74" s="115" t="e">
        <f>'THE BOARD'!#REF!</f>
        <v>#REF!</v>
      </c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  <c r="Z74" s="112"/>
    </row>
    <row r="75" spans="1:26" x14ac:dyDescent="0.2">
      <c r="A75" s="113" t="e">
        <f>'THE BOARD'!#REF!</f>
        <v>#REF!</v>
      </c>
      <c r="B75" s="113" t="e">
        <f>'THE BOARD'!#REF!</f>
        <v>#REF!</v>
      </c>
      <c r="C75" s="114" t="e">
        <f>'THE BOARD'!#REF!</f>
        <v>#REF!</v>
      </c>
      <c r="D75" s="115" t="e">
        <f>'THE BOARD'!#REF!</f>
        <v>#REF!</v>
      </c>
      <c r="E75" s="115" t="e">
        <f>'THE BOARD'!#REF!</f>
        <v>#REF!</v>
      </c>
      <c r="F75" s="115" t="e">
        <f>'THE BOARD'!#REF!</f>
        <v>#REF!</v>
      </c>
      <c r="G75" s="115" t="e">
        <f>'THE BOARD'!#REF!</f>
        <v>#REF!</v>
      </c>
      <c r="H75" s="115" t="e">
        <f>'THE BOARD'!#REF!</f>
        <v>#REF!</v>
      </c>
      <c r="I75" s="115"/>
      <c r="J75" s="115" t="e">
        <f>'THE BOARD'!#REF!</f>
        <v>#REF!</v>
      </c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  <c r="Z75" s="112"/>
    </row>
    <row r="76" spans="1:26" x14ac:dyDescent="0.2">
      <c r="A76" s="113" t="e">
        <f>'THE BOARD'!#REF!</f>
        <v>#REF!</v>
      </c>
      <c r="B76" s="113" t="e">
        <f>'THE BOARD'!#REF!</f>
        <v>#REF!</v>
      </c>
      <c r="C76" s="114" t="e">
        <f>'THE BOARD'!#REF!</f>
        <v>#REF!</v>
      </c>
      <c r="D76" s="115" t="e">
        <f>'THE BOARD'!#REF!</f>
        <v>#REF!</v>
      </c>
      <c r="E76" s="115" t="e">
        <f>'THE BOARD'!#REF!</f>
        <v>#REF!</v>
      </c>
      <c r="F76" s="115" t="e">
        <f>'THE BOARD'!#REF!</f>
        <v>#REF!</v>
      </c>
      <c r="G76" s="115" t="e">
        <f>'THE BOARD'!#REF!</f>
        <v>#REF!</v>
      </c>
      <c r="H76" s="115" t="e">
        <f>'THE BOARD'!#REF!</f>
        <v>#REF!</v>
      </c>
      <c r="I76" s="115"/>
      <c r="J76" s="115" t="e">
        <f>'THE BOARD'!#REF!</f>
        <v>#REF!</v>
      </c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</row>
    <row r="77" spans="1:26" x14ac:dyDescent="0.2">
      <c r="A77" s="113" t="e">
        <f>'THE BOARD'!#REF!</f>
        <v>#REF!</v>
      </c>
      <c r="B77" s="113" t="e">
        <f>'THE BOARD'!#REF!</f>
        <v>#REF!</v>
      </c>
      <c r="C77" s="114" t="e">
        <f>'THE BOARD'!#REF!</f>
        <v>#REF!</v>
      </c>
      <c r="D77" s="115" t="e">
        <f>'THE BOARD'!#REF!</f>
        <v>#REF!</v>
      </c>
      <c r="E77" s="115" t="e">
        <f>'THE BOARD'!#REF!</f>
        <v>#REF!</v>
      </c>
      <c r="F77" s="115" t="e">
        <f>'THE BOARD'!#REF!</f>
        <v>#REF!</v>
      </c>
      <c r="G77" s="115" t="e">
        <f>'THE BOARD'!#REF!</f>
        <v>#REF!</v>
      </c>
      <c r="H77" s="115" t="e">
        <f>'THE BOARD'!#REF!</f>
        <v>#REF!</v>
      </c>
      <c r="I77" s="115"/>
      <c r="J77" s="115" t="e">
        <f>'THE BOARD'!#REF!</f>
        <v>#REF!</v>
      </c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</row>
    <row r="78" spans="1:26" x14ac:dyDescent="0.2">
      <c r="A78" s="113" t="e">
        <f>'THE BOARD'!#REF!</f>
        <v>#REF!</v>
      </c>
      <c r="B78" s="113" t="e">
        <f>'THE BOARD'!#REF!</f>
        <v>#REF!</v>
      </c>
      <c r="C78" s="114" t="e">
        <f>'THE BOARD'!#REF!</f>
        <v>#REF!</v>
      </c>
      <c r="D78" s="115" t="e">
        <f>'THE BOARD'!#REF!</f>
        <v>#REF!</v>
      </c>
      <c r="E78" s="115" t="e">
        <f>'THE BOARD'!#REF!</f>
        <v>#REF!</v>
      </c>
      <c r="F78" s="115" t="e">
        <f>'THE BOARD'!#REF!</f>
        <v>#REF!</v>
      </c>
      <c r="G78" s="115" t="e">
        <f>'THE BOARD'!#REF!</f>
        <v>#REF!</v>
      </c>
      <c r="H78" s="115" t="e">
        <f>'THE BOARD'!#REF!</f>
        <v>#REF!</v>
      </c>
      <c r="I78" s="115"/>
      <c r="J78" s="115" t="e">
        <f>'THE BOARD'!#REF!</f>
        <v>#REF!</v>
      </c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  <c r="Z78" s="112"/>
    </row>
    <row r="79" spans="1:26" x14ac:dyDescent="0.2">
      <c r="A79" s="113" t="e">
        <f>'THE BOARD'!#REF!</f>
        <v>#REF!</v>
      </c>
      <c r="B79" s="113" t="e">
        <f>'THE BOARD'!#REF!</f>
        <v>#REF!</v>
      </c>
      <c r="C79" s="114" t="e">
        <f>'THE BOARD'!#REF!</f>
        <v>#REF!</v>
      </c>
      <c r="D79" s="115" t="e">
        <f>'THE BOARD'!#REF!</f>
        <v>#REF!</v>
      </c>
      <c r="E79" s="115" t="e">
        <f>'THE BOARD'!#REF!</f>
        <v>#REF!</v>
      </c>
      <c r="F79" s="115" t="e">
        <f>'THE BOARD'!#REF!</f>
        <v>#REF!</v>
      </c>
      <c r="G79" s="115" t="e">
        <f>'THE BOARD'!#REF!</f>
        <v>#REF!</v>
      </c>
      <c r="H79" s="115" t="e">
        <f>'THE BOARD'!#REF!</f>
        <v>#REF!</v>
      </c>
      <c r="I79" s="115"/>
      <c r="J79" s="115" t="e">
        <f>'THE BOARD'!#REF!</f>
        <v>#REF!</v>
      </c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  <c r="Z79" s="112"/>
    </row>
    <row r="80" spans="1:26" x14ac:dyDescent="0.2">
      <c r="A80" s="113" t="e">
        <f>'THE BOARD'!#REF!</f>
        <v>#REF!</v>
      </c>
      <c r="B80" s="113" t="e">
        <f>'THE BOARD'!#REF!</f>
        <v>#REF!</v>
      </c>
      <c r="C80" s="114" t="e">
        <f>'THE BOARD'!#REF!</f>
        <v>#REF!</v>
      </c>
      <c r="D80" s="115" t="e">
        <f>'THE BOARD'!#REF!</f>
        <v>#REF!</v>
      </c>
      <c r="E80" s="115" t="e">
        <f>'THE BOARD'!#REF!</f>
        <v>#REF!</v>
      </c>
      <c r="F80" s="115" t="e">
        <f>'THE BOARD'!#REF!</f>
        <v>#REF!</v>
      </c>
      <c r="G80" s="115" t="e">
        <f>'THE BOARD'!#REF!</f>
        <v>#REF!</v>
      </c>
      <c r="H80" s="115" t="e">
        <f>'THE BOARD'!#REF!</f>
        <v>#REF!</v>
      </c>
      <c r="I80" s="115"/>
      <c r="J80" s="115" t="e">
        <f>'THE BOARD'!#REF!</f>
        <v>#REF!</v>
      </c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  <c r="Z80" s="112"/>
    </row>
    <row r="81" spans="1:26" x14ac:dyDescent="0.2">
      <c r="A81" s="113" t="e">
        <f>'THE BOARD'!#REF!</f>
        <v>#REF!</v>
      </c>
      <c r="B81" s="113" t="e">
        <f>'THE BOARD'!#REF!</f>
        <v>#REF!</v>
      </c>
      <c r="C81" s="114" t="e">
        <f>'THE BOARD'!#REF!</f>
        <v>#REF!</v>
      </c>
      <c r="D81" s="115" t="e">
        <f>'THE BOARD'!#REF!</f>
        <v>#REF!</v>
      </c>
      <c r="E81" s="115" t="e">
        <f>'THE BOARD'!#REF!</f>
        <v>#REF!</v>
      </c>
      <c r="F81" s="115" t="e">
        <f>'THE BOARD'!#REF!</f>
        <v>#REF!</v>
      </c>
      <c r="G81" s="115" t="e">
        <f>'THE BOARD'!#REF!</f>
        <v>#REF!</v>
      </c>
      <c r="H81" s="115" t="e">
        <f>'THE BOARD'!#REF!</f>
        <v>#REF!</v>
      </c>
      <c r="I81" s="115"/>
      <c r="J81" s="115" t="e">
        <f>'THE BOARD'!#REF!</f>
        <v>#REF!</v>
      </c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</row>
    <row r="82" spans="1:26" x14ac:dyDescent="0.2">
      <c r="A82" s="113" t="e">
        <f>'THE BOARD'!#REF!</f>
        <v>#REF!</v>
      </c>
      <c r="B82" s="113" t="e">
        <f>'THE BOARD'!#REF!</f>
        <v>#REF!</v>
      </c>
      <c r="C82" s="114" t="e">
        <f>'THE BOARD'!#REF!</f>
        <v>#REF!</v>
      </c>
      <c r="D82" s="115" t="e">
        <f>'THE BOARD'!#REF!</f>
        <v>#REF!</v>
      </c>
      <c r="E82" s="115" t="e">
        <f>'THE BOARD'!#REF!</f>
        <v>#REF!</v>
      </c>
      <c r="F82" s="115" t="e">
        <f>'THE BOARD'!#REF!</f>
        <v>#REF!</v>
      </c>
      <c r="G82" s="115" t="e">
        <f>'THE BOARD'!#REF!</f>
        <v>#REF!</v>
      </c>
      <c r="H82" s="115" t="e">
        <f>'THE BOARD'!#REF!</f>
        <v>#REF!</v>
      </c>
      <c r="I82" s="115"/>
      <c r="J82" s="115" t="e">
        <f>'THE BOARD'!#REF!</f>
        <v>#REF!</v>
      </c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</row>
    <row r="83" spans="1:26" x14ac:dyDescent="0.2">
      <c r="A83" s="113" t="e">
        <f>'THE BOARD'!#REF!</f>
        <v>#REF!</v>
      </c>
      <c r="B83" s="113" t="e">
        <f>'THE BOARD'!#REF!</f>
        <v>#REF!</v>
      </c>
      <c r="C83" s="114" t="e">
        <f>'THE BOARD'!#REF!</f>
        <v>#REF!</v>
      </c>
      <c r="D83" s="115" t="e">
        <f>'THE BOARD'!#REF!</f>
        <v>#REF!</v>
      </c>
      <c r="E83" s="115" t="e">
        <f>'THE BOARD'!#REF!</f>
        <v>#REF!</v>
      </c>
      <c r="F83" s="115" t="e">
        <f>'THE BOARD'!#REF!</f>
        <v>#REF!</v>
      </c>
      <c r="G83" s="115" t="e">
        <f>'THE BOARD'!#REF!</f>
        <v>#REF!</v>
      </c>
      <c r="H83" s="115" t="e">
        <f>'THE BOARD'!#REF!</f>
        <v>#REF!</v>
      </c>
      <c r="I83" s="115"/>
      <c r="J83" s="115" t="e">
        <f>'THE BOARD'!#REF!</f>
        <v>#REF!</v>
      </c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</row>
    <row r="84" spans="1:26" x14ac:dyDescent="0.2">
      <c r="A84" s="113" t="e">
        <f>'THE BOARD'!#REF!</f>
        <v>#REF!</v>
      </c>
      <c r="B84" s="113" t="e">
        <f>'THE BOARD'!#REF!</f>
        <v>#REF!</v>
      </c>
      <c r="C84" s="114" t="e">
        <f>'THE BOARD'!#REF!</f>
        <v>#REF!</v>
      </c>
      <c r="D84" s="115" t="e">
        <f>'THE BOARD'!#REF!</f>
        <v>#REF!</v>
      </c>
      <c r="E84" s="115" t="e">
        <f>'THE BOARD'!#REF!</f>
        <v>#REF!</v>
      </c>
      <c r="F84" s="115" t="e">
        <f>'THE BOARD'!#REF!</f>
        <v>#REF!</v>
      </c>
      <c r="G84" s="115" t="e">
        <f>'THE BOARD'!#REF!</f>
        <v>#REF!</v>
      </c>
      <c r="H84" s="115" t="e">
        <f>'THE BOARD'!#REF!</f>
        <v>#REF!</v>
      </c>
      <c r="I84" s="115"/>
      <c r="J84" s="115" t="e">
        <f>'THE BOARD'!#REF!</f>
        <v>#REF!</v>
      </c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</row>
    <row r="85" spans="1:26" x14ac:dyDescent="0.2">
      <c r="A85" s="113" t="e">
        <f>'THE BOARD'!#REF!</f>
        <v>#REF!</v>
      </c>
      <c r="B85" s="113" t="e">
        <f>'THE BOARD'!#REF!</f>
        <v>#REF!</v>
      </c>
      <c r="C85" s="114" t="e">
        <f>'THE BOARD'!#REF!</f>
        <v>#REF!</v>
      </c>
      <c r="D85" s="115" t="e">
        <f>'THE BOARD'!#REF!</f>
        <v>#REF!</v>
      </c>
      <c r="E85" s="115" t="e">
        <f>'THE BOARD'!#REF!</f>
        <v>#REF!</v>
      </c>
      <c r="F85" s="115" t="e">
        <f>'THE BOARD'!#REF!</f>
        <v>#REF!</v>
      </c>
      <c r="G85" s="115" t="e">
        <f>'THE BOARD'!#REF!</f>
        <v>#REF!</v>
      </c>
      <c r="H85" s="115" t="e">
        <f>'THE BOARD'!#REF!</f>
        <v>#REF!</v>
      </c>
      <c r="I85" s="115"/>
      <c r="J85" s="115" t="e">
        <f>'THE BOARD'!#REF!</f>
        <v>#REF!</v>
      </c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</row>
    <row r="86" spans="1:26" x14ac:dyDescent="0.2">
      <c r="A86" s="113" t="e">
        <f>'THE BOARD'!#REF!</f>
        <v>#REF!</v>
      </c>
      <c r="B86" s="113" t="e">
        <f>'THE BOARD'!#REF!</f>
        <v>#REF!</v>
      </c>
      <c r="C86" s="114" t="e">
        <f>'THE BOARD'!#REF!</f>
        <v>#REF!</v>
      </c>
      <c r="D86" s="115" t="e">
        <f>'THE BOARD'!#REF!</f>
        <v>#REF!</v>
      </c>
      <c r="E86" s="115" t="e">
        <f>'THE BOARD'!#REF!</f>
        <v>#REF!</v>
      </c>
      <c r="F86" s="115" t="e">
        <f>'THE BOARD'!#REF!</f>
        <v>#REF!</v>
      </c>
      <c r="G86" s="115" t="e">
        <f>'THE BOARD'!#REF!</f>
        <v>#REF!</v>
      </c>
      <c r="H86" s="115" t="e">
        <f>'THE BOARD'!#REF!</f>
        <v>#REF!</v>
      </c>
      <c r="I86" s="115"/>
      <c r="J86" s="115" t="e">
        <f>'THE BOARD'!#REF!</f>
        <v>#REF!</v>
      </c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</row>
    <row r="87" spans="1:26" x14ac:dyDescent="0.2">
      <c r="A87" s="113" t="e">
        <f>'THE BOARD'!#REF!</f>
        <v>#REF!</v>
      </c>
      <c r="B87" s="113" t="e">
        <f>'THE BOARD'!#REF!</f>
        <v>#REF!</v>
      </c>
      <c r="C87" s="114" t="e">
        <f>'THE BOARD'!#REF!</f>
        <v>#REF!</v>
      </c>
      <c r="D87" s="115" t="e">
        <f>'THE BOARD'!#REF!</f>
        <v>#REF!</v>
      </c>
      <c r="E87" s="115" t="e">
        <f>'THE BOARD'!#REF!</f>
        <v>#REF!</v>
      </c>
      <c r="F87" s="115" t="e">
        <f>'THE BOARD'!#REF!</f>
        <v>#REF!</v>
      </c>
      <c r="G87" s="115" t="e">
        <f>'THE BOARD'!#REF!</f>
        <v>#REF!</v>
      </c>
      <c r="H87" s="115" t="e">
        <f>'THE BOARD'!#REF!</f>
        <v>#REF!</v>
      </c>
      <c r="I87" s="115"/>
      <c r="J87" s="115" t="e">
        <f>'THE BOARD'!#REF!</f>
        <v>#REF!</v>
      </c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</row>
    <row r="88" spans="1:26" x14ac:dyDescent="0.2">
      <c r="A88" s="113" t="e">
        <f>'THE BOARD'!#REF!</f>
        <v>#REF!</v>
      </c>
      <c r="B88" s="113" t="e">
        <f>'THE BOARD'!#REF!</f>
        <v>#REF!</v>
      </c>
      <c r="C88" s="114" t="e">
        <f>'THE BOARD'!#REF!</f>
        <v>#REF!</v>
      </c>
      <c r="D88" s="115" t="e">
        <f>'THE BOARD'!#REF!</f>
        <v>#REF!</v>
      </c>
      <c r="E88" s="115" t="e">
        <f>'THE BOARD'!#REF!</f>
        <v>#REF!</v>
      </c>
      <c r="F88" s="115" t="e">
        <f>'THE BOARD'!#REF!</f>
        <v>#REF!</v>
      </c>
      <c r="G88" s="115" t="e">
        <f>'THE BOARD'!#REF!</f>
        <v>#REF!</v>
      </c>
      <c r="H88" s="115" t="e">
        <f>'THE BOARD'!#REF!</f>
        <v>#REF!</v>
      </c>
      <c r="I88" s="115"/>
      <c r="J88" s="115" t="e">
        <f>'THE BOARD'!#REF!</f>
        <v>#REF!</v>
      </c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</row>
    <row r="89" spans="1:26" x14ac:dyDescent="0.2">
      <c r="A89" s="113" t="e">
        <f>'THE BOARD'!#REF!</f>
        <v>#REF!</v>
      </c>
      <c r="B89" s="113" t="e">
        <f>'THE BOARD'!#REF!</f>
        <v>#REF!</v>
      </c>
      <c r="C89" s="116" t="e">
        <f>'THE BOARD'!#REF!</f>
        <v>#REF!</v>
      </c>
      <c r="D89" s="115" t="e">
        <f>'THE BOARD'!#REF!</f>
        <v>#REF!</v>
      </c>
      <c r="E89" s="115" t="e">
        <f>'THE BOARD'!#REF!</f>
        <v>#REF!</v>
      </c>
      <c r="F89" s="115" t="e">
        <f>'THE BOARD'!#REF!</f>
        <v>#REF!</v>
      </c>
      <c r="G89" s="115" t="e">
        <f>'THE BOARD'!#REF!</f>
        <v>#REF!</v>
      </c>
      <c r="H89" s="115" t="e">
        <f>'THE BOARD'!#REF!</f>
        <v>#REF!</v>
      </c>
      <c r="I89" s="115"/>
      <c r="J89" s="115" t="e">
        <f>'THE BOARD'!#REF!</f>
        <v>#REF!</v>
      </c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</row>
    <row r="90" spans="1:26" x14ac:dyDescent="0.2">
      <c r="A90" s="113" t="e">
        <f>'THE BOARD'!#REF!</f>
        <v>#REF!</v>
      </c>
      <c r="B90" s="113" t="e">
        <f>'THE BOARD'!#REF!</f>
        <v>#REF!</v>
      </c>
      <c r="C90" s="114" t="e">
        <f>'THE BOARD'!#REF!</f>
        <v>#REF!</v>
      </c>
      <c r="D90" s="115" t="e">
        <f>'THE BOARD'!#REF!</f>
        <v>#REF!</v>
      </c>
      <c r="E90" s="115" t="e">
        <f>'THE BOARD'!#REF!</f>
        <v>#REF!</v>
      </c>
      <c r="F90" s="115" t="e">
        <f>'THE BOARD'!#REF!</f>
        <v>#REF!</v>
      </c>
      <c r="G90" s="115" t="e">
        <f>'THE BOARD'!#REF!</f>
        <v>#REF!</v>
      </c>
      <c r="H90" s="115" t="e">
        <f>'THE BOARD'!#REF!</f>
        <v>#REF!</v>
      </c>
      <c r="I90" s="115"/>
      <c r="J90" s="115" t="e">
        <f>'THE BOARD'!#REF!</f>
        <v>#REF!</v>
      </c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</row>
    <row r="91" spans="1:26" x14ac:dyDescent="0.2">
      <c r="A91" s="113" t="e">
        <f>'THE BOARD'!#REF!</f>
        <v>#REF!</v>
      </c>
      <c r="B91" s="113" t="e">
        <f>'THE BOARD'!#REF!</f>
        <v>#REF!</v>
      </c>
      <c r="C91" s="114" t="e">
        <f>'THE BOARD'!#REF!</f>
        <v>#REF!</v>
      </c>
      <c r="D91" s="115" t="e">
        <f>'THE BOARD'!#REF!</f>
        <v>#REF!</v>
      </c>
      <c r="E91" s="115" t="e">
        <f>'THE BOARD'!#REF!</f>
        <v>#REF!</v>
      </c>
      <c r="F91" s="115" t="e">
        <f>'THE BOARD'!#REF!</f>
        <v>#REF!</v>
      </c>
      <c r="G91" s="115" t="e">
        <f>'THE BOARD'!#REF!</f>
        <v>#REF!</v>
      </c>
      <c r="H91" s="115" t="e">
        <f>'THE BOARD'!#REF!</f>
        <v>#REF!</v>
      </c>
      <c r="I91" s="115"/>
      <c r="J91" s="115" t="e">
        <f>'THE BOARD'!#REF!</f>
        <v>#REF!</v>
      </c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</row>
    <row r="92" spans="1:26" x14ac:dyDescent="0.2">
      <c r="A92" s="113" t="e">
        <f>'THE BOARD'!#REF!</f>
        <v>#REF!</v>
      </c>
      <c r="B92" s="113" t="e">
        <f>'THE BOARD'!#REF!</f>
        <v>#REF!</v>
      </c>
      <c r="C92" s="114" t="e">
        <f>'THE BOARD'!#REF!</f>
        <v>#REF!</v>
      </c>
      <c r="D92" s="115" t="e">
        <f>'THE BOARD'!#REF!</f>
        <v>#REF!</v>
      </c>
      <c r="E92" s="115" t="e">
        <f>'THE BOARD'!#REF!</f>
        <v>#REF!</v>
      </c>
      <c r="F92" s="115" t="e">
        <f>'THE BOARD'!#REF!</f>
        <v>#REF!</v>
      </c>
      <c r="G92" s="115" t="e">
        <f>'THE BOARD'!#REF!</f>
        <v>#REF!</v>
      </c>
      <c r="H92" s="115" t="e">
        <f>'THE BOARD'!#REF!</f>
        <v>#REF!</v>
      </c>
      <c r="I92" s="115"/>
      <c r="J92" s="115" t="e">
        <f>'THE BOARD'!#REF!</f>
        <v>#REF!</v>
      </c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</row>
    <row r="93" spans="1:26" x14ac:dyDescent="0.2">
      <c r="A93" s="113" t="e">
        <f>'THE BOARD'!#REF!</f>
        <v>#REF!</v>
      </c>
      <c r="B93" s="113" t="e">
        <f>'THE BOARD'!#REF!</f>
        <v>#REF!</v>
      </c>
      <c r="C93" s="114" t="e">
        <f>'THE BOARD'!#REF!</f>
        <v>#REF!</v>
      </c>
      <c r="D93" s="115" t="e">
        <f>'THE BOARD'!#REF!</f>
        <v>#REF!</v>
      </c>
      <c r="E93" s="115" t="e">
        <f>'THE BOARD'!#REF!</f>
        <v>#REF!</v>
      </c>
      <c r="F93" s="115" t="e">
        <f>'THE BOARD'!#REF!</f>
        <v>#REF!</v>
      </c>
      <c r="G93" s="115" t="e">
        <f>'THE BOARD'!#REF!</f>
        <v>#REF!</v>
      </c>
      <c r="H93" s="115" t="e">
        <f>'THE BOARD'!#REF!</f>
        <v>#REF!</v>
      </c>
      <c r="I93" s="115"/>
      <c r="J93" s="115" t="e">
        <f>'THE BOARD'!#REF!</f>
        <v>#REF!</v>
      </c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</row>
    <row r="94" spans="1:26" x14ac:dyDescent="0.2">
      <c r="A94" s="113" t="e">
        <f>'THE BOARD'!#REF!</f>
        <v>#REF!</v>
      </c>
      <c r="B94" s="113" t="e">
        <f>'THE BOARD'!#REF!</f>
        <v>#REF!</v>
      </c>
      <c r="C94" s="114" t="e">
        <f>'THE BOARD'!#REF!</f>
        <v>#REF!</v>
      </c>
      <c r="D94" s="115" t="e">
        <f>'THE BOARD'!#REF!</f>
        <v>#REF!</v>
      </c>
      <c r="E94" s="115" t="e">
        <f>'THE BOARD'!#REF!</f>
        <v>#REF!</v>
      </c>
      <c r="F94" s="115" t="e">
        <f>'THE BOARD'!#REF!</f>
        <v>#REF!</v>
      </c>
      <c r="G94" s="115" t="e">
        <f>'THE BOARD'!#REF!</f>
        <v>#REF!</v>
      </c>
      <c r="H94" s="115" t="e">
        <f>'THE BOARD'!#REF!</f>
        <v>#REF!</v>
      </c>
      <c r="I94" s="115"/>
      <c r="J94" s="115" t="e">
        <f>'THE BOARD'!#REF!</f>
        <v>#REF!</v>
      </c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</row>
    <row r="95" spans="1:26" x14ac:dyDescent="0.2">
      <c r="A95" s="113" t="e">
        <f>'THE BOARD'!#REF!</f>
        <v>#REF!</v>
      </c>
      <c r="B95" s="113" t="e">
        <f>'THE BOARD'!#REF!</f>
        <v>#REF!</v>
      </c>
      <c r="C95" s="114" t="e">
        <f>'THE BOARD'!#REF!</f>
        <v>#REF!</v>
      </c>
      <c r="D95" s="115" t="e">
        <f>'THE BOARD'!#REF!</f>
        <v>#REF!</v>
      </c>
      <c r="E95" s="115" t="e">
        <f>'THE BOARD'!#REF!</f>
        <v>#REF!</v>
      </c>
      <c r="F95" s="115" t="e">
        <f>'THE BOARD'!#REF!</f>
        <v>#REF!</v>
      </c>
      <c r="G95" s="115" t="e">
        <f>'THE BOARD'!#REF!</f>
        <v>#REF!</v>
      </c>
      <c r="H95" s="115" t="e">
        <f>'THE BOARD'!#REF!</f>
        <v>#REF!</v>
      </c>
      <c r="I95" s="115"/>
      <c r="J95" s="115" t="e">
        <f>'THE BOARD'!#REF!</f>
        <v>#REF!</v>
      </c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</row>
    <row r="96" spans="1:26" x14ac:dyDescent="0.2">
      <c r="A96" s="113" t="e">
        <f>'THE BOARD'!#REF!</f>
        <v>#REF!</v>
      </c>
      <c r="B96" s="113" t="e">
        <f>'THE BOARD'!#REF!</f>
        <v>#REF!</v>
      </c>
      <c r="C96" s="114" t="e">
        <f>'THE BOARD'!#REF!</f>
        <v>#REF!</v>
      </c>
      <c r="D96" s="115" t="e">
        <f>'THE BOARD'!#REF!</f>
        <v>#REF!</v>
      </c>
      <c r="E96" s="115" t="e">
        <f>'THE BOARD'!#REF!</f>
        <v>#REF!</v>
      </c>
      <c r="F96" s="115" t="e">
        <f>'THE BOARD'!#REF!</f>
        <v>#REF!</v>
      </c>
      <c r="G96" s="115" t="e">
        <f>'THE BOARD'!#REF!</f>
        <v>#REF!</v>
      </c>
      <c r="H96" s="115" t="e">
        <f>'THE BOARD'!#REF!</f>
        <v>#REF!</v>
      </c>
      <c r="I96" s="115"/>
      <c r="J96" s="115" t="e">
        <f>'THE BOARD'!#REF!</f>
        <v>#REF!</v>
      </c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</row>
    <row r="97" spans="1:26" x14ac:dyDescent="0.2">
      <c r="A97" s="113" t="e">
        <f>'THE BOARD'!#REF!</f>
        <v>#REF!</v>
      </c>
      <c r="B97" s="113" t="e">
        <f>'THE BOARD'!#REF!</f>
        <v>#REF!</v>
      </c>
      <c r="C97" s="114" t="e">
        <f>'THE BOARD'!#REF!</f>
        <v>#REF!</v>
      </c>
      <c r="D97" s="115" t="e">
        <f>'THE BOARD'!#REF!</f>
        <v>#REF!</v>
      </c>
      <c r="E97" s="115" t="e">
        <f>'THE BOARD'!#REF!</f>
        <v>#REF!</v>
      </c>
      <c r="F97" s="115" t="e">
        <f>'THE BOARD'!#REF!</f>
        <v>#REF!</v>
      </c>
      <c r="G97" s="115" t="e">
        <f>'THE BOARD'!#REF!</f>
        <v>#REF!</v>
      </c>
      <c r="H97" s="115" t="e">
        <f>'THE BOARD'!#REF!</f>
        <v>#REF!</v>
      </c>
      <c r="I97" s="115"/>
      <c r="J97" s="115" t="e">
        <f>'THE BOARD'!#REF!</f>
        <v>#REF!</v>
      </c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</row>
    <row r="98" spans="1:26" x14ac:dyDescent="0.2">
      <c r="A98" s="113" t="e">
        <f>'THE BOARD'!#REF!</f>
        <v>#REF!</v>
      </c>
      <c r="B98" s="113" t="e">
        <f>'THE BOARD'!#REF!</f>
        <v>#REF!</v>
      </c>
      <c r="C98" s="114" t="e">
        <f>'THE BOARD'!#REF!</f>
        <v>#REF!</v>
      </c>
      <c r="D98" s="115" t="e">
        <f>'THE BOARD'!#REF!</f>
        <v>#REF!</v>
      </c>
      <c r="E98" s="115" t="e">
        <f>'THE BOARD'!#REF!</f>
        <v>#REF!</v>
      </c>
      <c r="F98" s="115" t="e">
        <f>'THE BOARD'!#REF!</f>
        <v>#REF!</v>
      </c>
      <c r="G98" s="115" t="e">
        <f>'THE BOARD'!#REF!</f>
        <v>#REF!</v>
      </c>
      <c r="H98" s="115" t="e">
        <f>'THE BOARD'!#REF!</f>
        <v>#REF!</v>
      </c>
      <c r="I98" s="115"/>
      <c r="J98" s="115" t="e">
        <f>'THE BOARD'!#REF!</f>
        <v>#REF!</v>
      </c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</row>
    <row r="99" spans="1:26" x14ac:dyDescent="0.2">
      <c r="A99" s="113" t="e">
        <f>'THE BOARD'!#REF!</f>
        <v>#REF!</v>
      </c>
      <c r="B99" s="113" t="e">
        <f>'THE BOARD'!#REF!</f>
        <v>#REF!</v>
      </c>
      <c r="C99" s="117" t="e">
        <f>'THE BOARD'!#REF!</f>
        <v>#REF!</v>
      </c>
      <c r="D99" s="115" t="e">
        <f>'THE BOARD'!#REF!</f>
        <v>#REF!</v>
      </c>
      <c r="E99" s="115" t="e">
        <f>'THE BOARD'!#REF!</f>
        <v>#REF!</v>
      </c>
      <c r="F99" s="115" t="e">
        <f>'THE BOARD'!#REF!</f>
        <v>#REF!</v>
      </c>
      <c r="G99" s="115" t="e">
        <f>'THE BOARD'!#REF!</f>
        <v>#REF!</v>
      </c>
      <c r="H99" s="115" t="e">
        <f>'THE BOARD'!#REF!</f>
        <v>#REF!</v>
      </c>
      <c r="I99" s="115"/>
      <c r="J99" s="115" t="e">
        <f>'THE BOARD'!#REF!</f>
        <v>#REF!</v>
      </c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</row>
    <row r="100" spans="1:26" x14ac:dyDescent="0.2">
      <c r="A100" s="113" t="e">
        <f>'THE BOARD'!#REF!</f>
        <v>#REF!</v>
      </c>
      <c r="B100" s="113" t="e">
        <f>'THE BOARD'!#REF!</f>
        <v>#REF!</v>
      </c>
      <c r="C100" s="114" t="e">
        <f>'THE BOARD'!#REF!</f>
        <v>#REF!</v>
      </c>
      <c r="D100" s="115" t="e">
        <f>'THE BOARD'!#REF!</f>
        <v>#REF!</v>
      </c>
      <c r="E100" s="115" t="e">
        <f>'THE BOARD'!#REF!</f>
        <v>#REF!</v>
      </c>
      <c r="F100" s="115" t="e">
        <f>'THE BOARD'!#REF!</f>
        <v>#REF!</v>
      </c>
      <c r="G100" s="115" t="e">
        <f>'THE BOARD'!#REF!</f>
        <v>#REF!</v>
      </c>
      <c r="H100" s="115" t="e">
        <f>'THE BOARD'!#REF!</f>
        <v>#REF!</v>
      </c>
      <c r="I100" s="115"/>
      <c r="J100" s="115" t="e">
        <f>'THE BOARD'!#REF!</f>
        <v>#REF!</v>
      </c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</row>
    <row r="101" spans="1:26" x14ac:dyDescent="0.2">
      <c r="A101" s="113" t="e">
        <f>'THE BOARD'!#REF!</f>
        <v>#REF!</v>
      </c>
      <c r="B101" s="113" t="e">
        <f>'THE BOARD'!#REF!</f>
        <v>#REF!</v>
      </c>
      <c r="C101" s="114" t="e">
        <f>'THE BOARD'!#REF!</f>
        <v>#REF!</v>
      </c>
      <c r="D101" s="115" t="e">
        <f>'THE BOARD'!#REF!</f>
        <v>#REF!</v>
      </c>
      <c r="E101" s="115" t="e">
        <f>'THE BOARD'!#REF!</f>
        <v>#REF!</v>
      </c>
      <c r="F101" s="115" t="e">
        <f>'THE BOARD'!#REF!</f>
        <v>#REF!</v>
      </c>
      <c r="G101" s="115" t="e">
        <f>'THE BOARD'!#REF!</f>
        <v>#REF!</v>
      </c>
      <c r="H101" s="115" t="e">
        <f>'THE BOARD'!#REF!</f>
        <v>#REF!</v>
      </c>
      <c r="I101" s="115"/>
      <c r="J101" s="115" t="e">
        <f>'THE BOARD'!#REF!</f>
        <v>#REF!</v>
      </c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</row>
    <row r="102" spans="1:26" x14ac:dyDescent="0.2">
      <c r="A102" s="113" t="e">
        <f>'THE BOARD'!#REF!</f>
        <v>#REF!</v>
      </c>
      <c r="B102" s="113" t="e">
        <f>'THE BOARD'!#REF!</f>
        <v>#REF!</v>
      </c>
      <c r="C102" s="114" t="e">
        <f>'THE BOARD'!#REF!</f>
        <v>#REF!</v>
      </c>
      <c r="D102" s="115" t="e">
        <f>'THE BOARD'!#REF!</f>
        <v>#REF!</v>
      </c>
      <c r="E102" s="115" t="e">
        <f>'THE BOARD'!#REF!</f>
        <v>#REF!</v>
      </c>
      <c r="F102" s="115" t="e">
        <f>'THE BOARD'!#REF!</f>
        <v>#REF!</v>
      </c>
      <c r="G102" s="115" t="e">
        <f>'THE BOARD'!#REF!</f>
        <v>#REF!</v>
      </c>
      <c r="H102" s="115" t="e">
        <f>'THE BOARD'!#REF!</f>
        <v>#REF!</v>
      </c>
      <c r="I102" s="115"/>
      <c r="J102" s="115" t="e">
        <f>'THE BOARD'!#REF!</f>
        <v>#REF!</v>
      </c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</row>
    <row r="103" spans="1:26" x14ac:dyDescent="0.2">
      <c r="A103" s="113" t="e">
        <f>'THE BOARD'!#REF!</f>
        <v>#REF!</v>
      </c>
      <c r="B103" s="113" t="e">
        <f>'THE BOARD'!#REF!</f>
        <v>#REF!</v>
      </c>
      <c r="C103" s="114" t="e">
        <f>'THE BOARD'!#REF!</f>
        <v>#REF!</v>
      </c>
      <c r="D103" s="115" t="e">
        <f>'THE BOARD'!#REF!</f>
        <v>#REF!</v>
      </c>
      <c r="E103" s="115" t="e">
        <f>'THE BOARD'!#REF!</f>
        <v>#REF!</v>
      </c>
      <c r="F103" s="115" t="e">
        <f>'THE BOARD'!#REF!</f>
        <v>#REF!</v>
      </c>
      <c r="G103" s="115" t="e">
        <f>'THE BOARD'!#REF!</f>
        <v>#REF!</v>
      </c>
      <c r="H103" s="115" t="e">
        <f>'THE BOARD'!#REF!</f>
        <v>#REF!</v>
      </c>
      <c r="I103" s="115"/>
      <c r="J103" s="115" t="e">
        <f>'THE BOARD'!#REF!</f>
        <v>#REF!</v>
      </c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</row>
    <row r="104" spans="1:26" x14ac:dyDescent="0.2">
      <c r="A104" s="113" t="e">
        <f>'THE BOARD'!#REF!</f>
        <v>#REF!</v>
      </c>
      <c r="B104" s="113" t="e">
        <f>'THE BOARD'!#REF!</f>
        <v>#REF!</v>
      </c>
      <c r="C104" s="114" t="e">
        <f>'THE BOARD'!#REF!</f>
        <v>#REF!</v>
      </c>
      <c r="D104" s="115" t="e">
        <f>'THE BOARD'!#REF!</f>
        <v>#REF!</v>
      </c>
      <c r="E104" s="115" t="e">
        <f>'THE BOARD'!#REF!</f>
        <v>#REF!</v>
      </c>
      <c r="F104" s="115" t="e">
        <f>'THE BOARD'!#REF!</f>
        <v>#REF!</v>
      </c>
      <c r="G104" s="115" t="e">
        <f>'THE BOARD'!#REF!</f>
        <v>#REF!</v>
      </c>
      <c r="H104" s="115" t="e">
        <f>'THE BOARD'!#REF!</f>
        <v>#REF!</v>
      </c>
      <c r="I104" s="115"/>
      <c r="J104" s="115" t="e">
        <f>'THE BOARD'!#REF!</f>
        <v>#REF!</v>
      </c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</row>
    <row r="105" spans="1:26" x14ac:dyDescent="0.2">
      <c r="A105" s="113" t="e">
        <f>'THE BOARD'!#REF!</f>
        <v>#REF!</v>
      </c>
      <c r="B105" s="113" t="e">
        <f>'THE BOARD'!#REF!</f>
        <v>#REF!</v>
      </c>
      <c r="C105" s="114" t="e">
        <f>'THE BOARD'!#REF!</f>
        <v>#REF!</v>
      </c>
      <c r="D105" s="115" t="e">
        <f>'THE BOARD'!#REF!</f>
        <v>#REF!</v>
      </c>
      <c r="E105" s="115" t="e">
        <f>'THE BOARD'!#REF!</f>
        <v>#REF!</v>
      </c>
      <c r="F105" s="115" t="e">
        <f>'THE BOARD'!#REF!</f>
        <v>#REF!</v>
      </c>
      <c r="G105" s="115" t="e">
        <f>'THE BOARD'!#REF!</f>
        <v>#REF!</v>
      </c>
      <c r="H105" s="115" t="e">
        <f>'THE BOARD'!#REF!</f>
        <v>#REF!</v>
      </c>
      <c r="I105" s="115"/>
      <c r="J105" s="115" t="e">
        <f>'THE BOARD'!#REF!</f>
        <v>#REF!</v>
      </c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</row>
    <row r="106" spans="1:26" x14ac:dyDescent="0.2">
      <c r="A106" s="113" t="e">
        <f>'THE BOARD'!#REF!</f>
        <v>#REF!</v>
      </c>
      <c r="B106" s="113" t="e">
        <f>'THE BOARD'!#REF!</f>
        <v>#REF!</v>
      </c>
      <c r="C106" s="114" t="e">
        <f>'THE BOARD'!#REF!</f>
        <v>#REF!</v>
      </c>
      <c r="D106" s="115" t="e">
        <f>'THE BOARD'!#REF!</f>
        <v>#REF!</v>
      </c>
      <c r="E106" s="115" t="e">
        <f>'THE BOARD'!#REF!</f>
        <v>#REF!</v>
      </c>
      <c r="F106" s="115" t="e">
        <f>'THE BOARD'!#REF!</f>
        <v>#REF!</v>
      </c>
      <c r="G106" s="115" t="e">
        <f>'THE BOARD'!#REF!</f>
        <v>#REF!</v>
      </c>
      <c r="H106" s="115" t="e">
        <f>'THE BOARD'!#REF!</f>
        <v>#REF!</v>
      </c>
      <c r="I106" s="115"/>
      <c r="J106" s="115" t="e">
        <f>'THE BOARD'!#REF!</f>
        <v>#REF!</v>
      </c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</row>
    <row r="107" spans="1:26" x14ac:dyDescent="0.2">
      <c r="A107" s="113" t="e">
        <f>'THE BOARD'!#REF!</f>
        <v>#REF!</v>
      </c>
      <c r="B107" s="113" t="e">
        <f>'THE BOARD'!#REF!</f>
        <v>#REF!</v>
      </c>
      <c r="C107" s="114" t="e">
        <f>'THE BOARD'!#REF!</f>
        <v>#REF!</v>
      </c>
      <c r="D107" s="115" t="e">
        <f>'THE BOARD'!#REF!</f>
        <v>#REF!</v>
      </c>
      <c r="E107" s="115" t="e">
        <f>'THE BOARD'!#REF!</f>
        <v>#REF!</v>
      </c>
      <c r="F107" s="115" t="e">
        <f>'THE BOARD'!#REF!</f>
        <v>#REF!</v>
      </c>
      <c r="G107" s="115" t="e">
        <f>'THE BOARD'!#REF!</f>
        <v>#REF!</v>
      </c>
      <c r="H107" s="115" t="e">
        <f>'THE BOARD'!#REF!</f>
        <v>#REF!</v>
      </c>
      <c r="I107" s="115"/>
      <c r="J107" s="115" t="e">
        <f>'THE BOARD'!#REF!</f>
        <v>#REF!</v>
      </c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</row>
    <row r="108" spans="1:26" x14ac:dyDescent="0.2">
      <c r="A108" s="113" t="e">
        <f>'THE BOARD'!#REF!</f>
        <v>#REF!</v>
      </c>
      <c r="B108" s="113" t="e">
        <f>'THE BOARD'!#REF!</f>
        <v>#REF!</v>
      </c>
      <c r="C108" s="114" t="e">
        <f>'THE BOARD'!#REF!</f>
        <v>#REF!</v>
      </c>
      <c r="D108" s="115" t="e">
        <f>'THE BOARD'!#REF!</f>
        <v>#REF!</v>
      </c>
      <c r="E108" s="115" t="e">
        <f>'THE BOARD'!#REF!</f>
        <v>#REF!</v>
      </c>
      <c r="F108" s="115" t="e">
        <f>'THE BOARD'!#REF!</f>
        <v>#REF!</v>
      </c>
      <c r="G108" s="115" t="e">
        <f>'THE BOARD'!#REF!</f>
        <v>#REF!</v>
      </c>
      <c r="H108" s="115" t="e">
        <f>'THE BOARD'!#REF!</f>
        <v>#REF!</v>
      </c>
      <c r="I108" s="115"/>
      <c r="J108" s="115" t="e">
        <f>'THE BOARD'!#REF!</f>
        <v>#REF!</v>
      </c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</row>
    <row r="109" spans="1:26" x14ac:dyDescent="0.2">
      <c r="A109" s="113" t="e">
        <f t="shared" ref="A109:H109" si="0">#REF!</f>
        <v>#REF!</v>
      </c>
      <c r="B109" s="113" t="e">
        <f t="shared" si="0"/>
        <v>#REF!</v>
      </c>
      <c r="C109" s="115" t="e">
        <f t="shared" si="0"/>
        <v>#REF!</v>
      </c>
      <c r="D109" s="115" t="e">
        <f t="shared" si="0"/>
        <v>#REF!</v>
      </c>
      <c r="E109" s="115" t="e">
        <f t="shared" si="0"/>
        <v>#REF!</v>
      </c>
      <c r="F109" s="115" t="e">
        <f t="shared" si="0"/>
        <v>#REF!</v>
      </c>
      <c r="G109" s="115" t="e">
        <f t="shared" si="0"/>
        <v>#REF!</v>
      </c>
      <c r="H109" s="115" t="e">
        <f t="shared" si="0"/>
        <v>#REF!</v>
      </c>
      <c r="I109" s="115"/>
      <c r="J109" s="115" t="e">
        <f>#REF!</f>
        <v>#REF!</v>
      </c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</row>
    <row r="110" spans="1:26" x14ac:dyDescent="0.2">
      <c r="A110" s="113" t="e">
        <f>'THE BOARD'!#REF!</f>
        <v>#REF!</v>
      </c>
      <c r="B110" s="113" t="e">
        <f>'THE BOARD'!#REF!</f>
        <v>#REF!</v>
      </c>
      <c r="C110" s="114" t="e">
        <f>'THE BOARD'!#REF!</f>
        <v>#REF!</v>
      </c>
      <c r="D110" s="115" t="e">
        <f>'THE BOARD'!#REF!</f>
        <v>#REF!</v>
      </c>
      <c r="E110" s="115" t="e">
        <f>'THE BOARD'!#REF!</f>
        <v>#REF!</v>
      </c>
      <c r="F110" s="115" t="e">
        <f>'THE BOARD'!#REF!</f>
        <v>#REF!</v>
      </c>
      <c r="G110" s="115" t="e">
        <f>'THE BOARD'!#REF!</f>
        <v>#REF!</v>
      </c>
      <c r="H110" s="115" t="e">
        <f>'THE BOARD'!#REF!</f>
        <v>#REF!</v>
      </c>
      <c r="I110" s="115"/>
      <c r="J110" s="115" t="e">
        <f>'THE BOARD'!#REF!</f>
        <v>#REF!</v>
      </c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</row>
    <row r="111" spans="1:26" x14ac:dyDescent="0.2">
      <c r="A111" s="113" t="e">
        <f t="shared" ref="A111:H111" si="1">#REF!</f>
        <v>#REF!</v>
      </c>
      <c r="B111" s="113" t="e">
        <f t="shared" si="1"/>
        <v>#REF!</v>
      </c>
      <c r="C111" s="115" t="e">
        <f t="shared" si="1"/>
        <v>#REF!</v>
      </c>
      <c r="D111" s="115" t="e">
        <f t="shared" si="1"/>
        <v>#REF!</v>
      </c>
      <c r="E111" s="115" t="e">
        <f t="shared" si="1"/>
        <v>#REF!</v>
      </c>
      <c r="F111" s="115" t="e">
        <f t="shared" si="1"/>
        <v>#REF!</v>
      </c>
      <c r="G111" s="115" t="e">
        <f t="shared" si="1"/>
        <v>#REF!</v>
      </c>
      <c r="H111" s="115" t="e">
        <f t="shared" si="1"/>
        <v>#REF!</v>
      </c>
      <c r="I111" s="115"/>
      <c r="J111" s="115" t="e">
        <f>#REF!</f>
        <v>#REF!</v>
      </c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</row>
    <row r="112" spans="1:26" x14ac:dyDescent="0.2">
      <c r="A112" s="113" t="e">
        <f>'THE BOARD'!#REF!</f>
        <v>#REF!</v>
      </c>
      <c r="B112" s="113" t="e">
        <f>'THE BOARD'!#REF!</f>
        <v>#REF!</v>
      </c>
      <c r="C112" s="114" t="e">
        <f>'THE BOARD'!#REF!</f>
        <v>#REF!</v>
      </c>
      <c r="D112" s="115" t="e">
        <f>'THE BOARD'!#REF!</f>
        <v>#REF!</v>
      </c>
      <c r="E112" s="115" t="e">
        <f>'THE BOARD'!#REF!</f>
        <v>#REF!</v>
      </c>
      <c r="F112" s="115" t="e">
        <f>'THE BOARD'!#REF!</f>
        <v>#REF!</v>
      </c>
      <c r="G112" s="115" t="e">
        <f>'THE BOARD'!#REF!</f>
        <v>#REF!</v>
      </c>
      <c r="H112" s="115" t="e">
        <f>'THE BOARD'!#REF!</f>
        <v>#REF!</v>
      </c>
      <c r="I112" s="115"/>
      <c r="J112" s="115" t="e">
        <f>'THE BOARD'!#REF!</f>
        <v>#REF!</v>
      </c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</row>
    <row r="113" spans="1:26" x14ac:dyDescent="0.2">
      <c r="A113" s="113" t="e">
        <f>'THE BOARD'!#REF!</f>
        <v>#REF!</v>
      </c>
      <c r="B113" s="113" t="e">
        <f>'THE BOARD'!#REF!</f>
        <v>#REF!</v>
      </c>
      <c r="C113" s="114" t="e">
        <f>'THE BOARD'!#REF!</f>
        <v>#REF!</v>
      </c>
      <c r="D113" s="115" t="e">
        <f>'THE BOARD'!#REF!</f>
        <v>#REF!</v>
      </c>
      <c r="E113" s="115" t="e">
        <f>'THE BOARD'!#REF!</f>
        <v>#REF!</v>
      </c>
      <c r="F113" s="115" t="e">
        <f>'THE BOARD'!#REF!</f>
        <v>#REF!</v>
      </c>
      <c r="G113" s="115" t="e">
        <f>'THE BOARD'!#REF!</f>
        <v>#REF!</v>
      </c>
      <c r="H113" s="115" t="e">
        <f>'THE BOARD'!#REF!</f>
        <v>#REF!</v>
      </c>
      <c r="I113" s="115"/>
      <c r="J113" s="115" t="e">
        <f>'THE BOARD'!#REF!</f>
        <v>#REF!</v>
      </c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</row>
    <row r="114" spans="1:26" x14ac:dyDescent="0.2">
      <c r="A114" s="113" t="e">
        <f>'THE BOARD'!#REF!</f>
        <v>#REF!</v>
      </c>
      <c r="B114" s="113" t="e">
        <f>'THE BOARD'!#REF!</f>
        <v>#REF!</v>
      </c>
      <c r="C114" s="114" t="e">
        <f>'THE BOARD'!#REF!</f>
        <v>#REF!</v>
      </c>
      <c r="D114" s="115" t="e">
        <f>'THE BOARD'!#REF!</f>
        <v>#REF!</v>
      </c>
      <c r="E114" s="115" t="e">
        <f>'THE BOARD'!#REF!</f>
        <v>#REF!</v>
      </c>
      <c r="F114" s="115" t="e">
        <f>'THE BOARD'!#REF!</f>
        <v>#REF!</v>
      </c>
      <c r="G114" s="115" t="e">
        <f>'THE BOARD'!#REF!</f>
        <v>#REF!</v>
      </c>
      <c r="H114" s="115" t="e">
        <f>'THE BOARD'!#REF!</f>
        <v>#REF!</v>
      </c>
      <c r="I114" s="115"/>
      <c r="J114" s="115" t="e">
        <f>'THE BOARD'!#REF!</f>
        <v>#REF!</v>
      </c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</row>
    <row r="115" spans="1:26" x14ac:dyDescent="0.2">
      <c r="A115" s="113" t="e">
        <f>'THE BOARD'!#REF!</f>
        <v>#REF!</v>
      </c>
      <c r="B115" s="113" t="e">
        <f>'THE BOARD'!#REF!</f>
        <v>#REF!</v>
      </c>
      <c r="C115" s="114" t="e">
        <f>'THE BOARD'!#REF!</f>
        <v>#REF!</v>
      </c>
      <c r="D115" s="115" t="e">
        <f>'THE BOARD'!#REF!</f>
        <v>#REF!</v>
      </c>
      <c r="E115" s="115" t="e">
        <f>'THE BOARD'!#REF!</f>
        <v>#REF!</v>
      </c>
      <c r="F115" s="115" t="e">
        <f>'THE BOARD'!#REF!</f>
        <v>#REF!</v>
      </c>
      <c r="G115" s="115" t="e">
        <f>'THE BOARD'!#REF!</f>
        <v>#REF!</v>
      </c>
      <c r="H115" s="115" t="e">
        <f>'THE BOARD'!#REF!</f>
        <v>#REF!</v>
      </c>
      <c r="I115" s="115"/>
      <c r="J115" s="115" t="e">
        <f>'THE BOARD'!#REF!</f>
        <v>#REF!</v>
      </c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</row>
    <row r="116" spans="1:26" x14ac:dyDescent="0.2">
      <c r="A116" s="113" t="e">
        <f>'THE BOARD'!#REF!</f>
        <v>#REF!</v>
      </c>
      <c r="B116" s="113" t="e">
        <f>'THE BOARD'!#REF!</f>
        <v>#REF!</v>
      </c>
      <c r="C116" s="114" t="e">
        <f>'THE BOARD'!#REF!</f>
        <v>#REF!</v>
      </c>
      <c r="D116" s="115" t="e">
        <f>'THE BOARD'!#REF!</f>
        <v>#REF!</v>
      </c>
      <c r="E116" s="115" t="e">
        <f>'THE BOARD'!#REF!</f>
        <v>#REF!</v>
      </c>
      <c r="F116" s="115" t="e">
        <f>'THE BOARD'!#REF!</f>
        <v>#REF!</v>
      </c>
      <c r="G116" s="115" t="e">
        <f>'THE BOARD'!#REF!</f>
        <v>#REF!</v>
      </c>
      <c r="H116" s="115" t="e">
        <f>'THE BOARD'!#REF!</f>
        <v>#REF!</v>
      </c>
      <c r="I116" s="115"/>
      <c r="J116" s="115" t="e">
        <f>'THE BOARD'!#REF!</f>
        <v>#REF!</v>
      </c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</row>
    <row r="117" spans="1:26" x14ac:dyDescent="0.2">
      <c r="A117" s="113" t="e">
        <f>'THE BOARD'!#REF!</f>
        <v>#REF!</v>
      </c>
      <c r="B117" s="113" t="e">
        <f>'THE BOARD'!#REF!</f>
        <v>#REF!</v>
      </c>
      <c r="C117" s="114" t="e">
        <f>'THE BOARD'!#REF!</f>
        <v>#REF!</v>
      </c>
      <c r="D117" s="115" t="e">
        <f>'THE BOARD'!#REF!</f>
        <v>#REF!</v>
      </c>
      <c r="E117" s="115" t="e">
        <f>'THE BOARD'!#REF!</f>
        <v>#REF!</v>
      </c>
      <c r="F117" s="115" t="e">
        <f>'THE BOARD'!#REF!</f>
        <v>#REF!</v>
      </c>
      <c r="G117" s="115" t="e">
        <f>'THE BOARD'!#REF!</f>
        <v>#REF!</v>
      </c>
      <c r="H117" s="115" t="e">
        <f>'THE BOARD'!#REF!</f>
        <v>#REF!</v>
      </c>
      <c r="I117" s="115"/>
      <c r="J117" s="115" t="e">
        <f>'THE BOARD'!#REF!</f>
        <v>#REF!</v>
      </c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</row>
    <row r="118" spans="1:26" x14ac:dyDescent="0.2">
      <c r="A118" s="113" t="e">
        <f>'THE BOARD'!#REF!</f>
        <v>#REF!</v>
      </c>
      <c r="B118" s="113" t="e">
        <f>'THE BOARD'!#REF!</f>
        <v>#REF!</v>
      </c>
      <c r="C118" s="114" t="e">
        <f>'THE BOARD'!#REF!</f>
        <v>#REF!</v>
      </c>
      <c r="D118" s="115" t="e">
        <f>'THE BOARD'!#REF!</f>
        <v>#REF!</v>
      </c>
      <c r="E118" s="115" t="e">
        <f>'THE BOARD'!#REF!</f>
        <v>#REF!</v>
      </c>
      <c r="F118" s="115" t="e">
        <f>'THE BOARD'!#REF!</f>
        <v>#REF!</v>
      </c>
      <c r="G118" s="115" t="e">
        <f>'THE BOARD'!#REF!</f>
        <v>#REF!</v>
      </c>
      <c r="H118" s="115" t="e">
        <f>'THE BOARD'!#REF!</f>
        <v>#REF!</v>
      </c>
      <c r="I118" s="115"/>
      <c r="J118" s="115" t="e">
        <f>'THE BOARD'!#REF!</f>
        <v>#REF!</v>
      </c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</row>
    <row r="119" spans="1:26" x14ac:dyDescent="0.2">
      <c r="A119" s="113" t="e">
        <f>'THE BOARD'!#REF!</f>
        <v>#REF!</v>
      </c>
      <c r="B119" s="113" t="e">
        <f>'THE BOARD'!#REF!</f>
        <v>#REF!</v>
      </c>
      <c r="C119" s="114" t="e">
        <f>'THE BOARD'!#REF!</f>
        <v>#REF!</v>
      </c>
      <c r="D119" s="115" t="e">
        <f>'THE BOARD'!#REF!</f>
        <v>#REF!</v>
      </c>
      <c r="E119" s="115" t="e">
        <f>'THE BOARD'!#REF!</f>
        <v>#REF!</v>
      </c>
      <c r="F119" s="115" t="e">
        <f>'THE BOARD'!#REF!</f>
        <v>#REF!</v>
      </c>
      <c r="G119" s="115" t="e">
        <f>'THE BOARD'!#REF!</f>
        <v>#REF!</v>
      </c>
      <c r="H119" s="115" t="e">
        <f>'THE BOARD'!#REF!</f>
        <v>#REF!</v>
      </c>
      <c r="I119" s="115"/>
      <c r="J119" s="115" t="e">
        <f>'THE BOARD'!#REF!</f>
        <v>#REF!</v>
      </c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</row>
    <row r="120" spans="1:26" x14ac:dyDescent="0.2">
      <c r="A120" s="113" t="e">
        <f t="shared" ref="A120:H120" si="2">#REF!</f>
        <v>#REF!</v>
      </c>
      <c r="B120" s="113" t="e">
        <f t="shared" si="2"/>
        <v>#REF!</v>
      </c>
      <c r="C120" s="115" t="e">
        <f t="shared" si="2"/>
        <v>#REF!</v>
      </c>
      <c r="D120" s="115" t="e">
        <f t="shared" si="2"/>
        <v>#REF!</v>
      </c>
      <c r="E120" s="115" t="e">
        <f t="shared" si="2"/>
        <v>#REF!</v>
      </c>
      <c r="F120" s="115" t="e">
        <f t="shared" si="2"/>
        <v>#REF!</v>
      </c>
      <c r="G120" s="115" t="e">
        <f t="shared" si="2"/>
        <v>#REF!</v>
      </c>
      <c r="H120" s="115" t="e">
        <f t="shared" si="2"/>
        <v>#REF!</v>
      </c>
      <c r="I120" s="115"/>
      <c r="J120" s="115" t="e">
        <f>#REF!</f>
        <v>#REF!</v>
      </c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</row>
    <row r="121" spans="1:26" x14ac:dyDescent="0.2">
      <c r="A121" s="113" t="e">
        <f>'THE BOARD'!#REF!</f>
        <v>#REF!</v>
      </c>
      <c r="B121" s="113" t="e">
        <f>'THE BOARD'!#REF!</f>
        <v>#REF!</v>
      </c>
      <c r="C121" s="114" t="e">
        <f>'THE BOARD'!#REF!</f>
        <v>#REF!</v>
      </c>
      <c r="D121" s="115" t="e">
        <f>'THE BOARD'!#REF!</f>
        <v>#REF!</v>
      </c>
      <c r="E121" s="115" t="e">
        <f>'THE BOARD'!#REF!</f>
        <v>#REF!</v>
      </c>
      <c r="F121" s="115" t="e">
        <f>'THE BOARD'!#REF!</f>
        <v>#REF!</v>
      </c>
      <c r="G121" s="115" t="e">
        <f>'THE BOARD'!#REF!</f>
        <v>#REF!</v>
      </c>
      <c r="H121" s="115" t="e">
        <f>'THE BOARD'!#REF!</f>
        <v>#REF!</v>
      </c>
      <c r="I121" s="115"/>
      <c r="J121" s="115" t="e">
        <f>'THE BOARD'!#REF!</f>
        <v>#REF!</v>
      </c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</row>
    <row r="122" spans="1:26" x14ac:dyDescent="0.2">
      <c r="A122" s="113" t="e">
        <f>'THE BOARD'!#REF!</f>
        <v>#REF!</v>
      </c>
      <c r="B122" s="113" t="e">
        <f>'THE BOARD'!#REF!</f>
        <v>#REF!</v>
      </c>
      <c r="C122" s="114" t="e">
        <f>'THE BOARD'!#REF!</f>
        <v>#REF!</v>
      </c>
      <c r="D122" s="115" t="e">
        <f>'THE BOARD'!#REF!</f>
        <v>#REF!</v>
      </c>
      <c r="E122" s="115" t="e">
        <f>'THE BOARD'!#REF!</f>
        <v>#REF!</v>
      </c>
      <c r="F122" s="115" t="e">
        <f>'THE BOARD'!#REF!</f>
        <v>#REF!</v>
      </c>
      <c r="G122" s="115" t="e">
        <f>'THE BOARD'!#REF!</f>
        <v>#REF!</v>
      </c>
      <c r="H122" s="115" t="e">
        <f>'THE BOARD'!#REF!</f>
        <v>#REF!</v>
      </c>
      <c r="I122" s="115"/>
      <c r="J122" s="115" t="e">
        <f>'THE BOARD'!#REF!</f>
        <v>#REF!</v>
      </c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</row>
    <row r="123" spans="1:26" x14ac:dyDescent="0.2">
      <c r="A123" s="113" t="e">
        <f>'THE BOARD'!#REF!</f>
        <v>#REF!</v>
      </c>
      <c r="B123" s="113" t="e">
        <f>'THE BOARD'!#REF!</f>
        <v>#REF!</v>
      </c>
      <c r="C123" s="114" t="e">
        <f>'THE BOARD'!#REF!</f>
        <v>#REF!</v>
      </c>
      <c r="D123" s="115" t="e">
        <f>'THE BOARD'!#REF!</f>
        <v>#REF!</v>
      </c>
      <c r="E123" s="115" t="e">
        <f>'THE BOARD'!#REF!</f>
        <v>#REF!</v>
      </c>
      <c r="F123" s="115" t="e">
        <f>'THE BOARD'!#REF!</f>
        <v>#REF!</v>
      </c>
      <c r="G123" s="115" t="e">
        <f>'THE BOARD'!#REF!</f>
        <v>#REF!</v>
      </c>
      <c r="H123" s="115" t="e">
        <f>'THE BOARD'!#REF!</f>
        <v>#REF!</v>
      </c>
      <c r="I123" s="115"/>
      <c r="J123" s="115" t="e">
        <f>'THE BOARD'!#REF!</f>
        <v>#REF!</v>
      </c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</row>
    <row r="124" spans="1:26" x14ac:dyDescent="0.2">
      <c r="A124" s="113" t="e">
        <f t="shared" ref="A124:H124" si="3">#REF!</f>
        <v>#REF!</v>
      </c>
      <c r="B124" s="113" t="e">
        <f t="shared" si="3"/>
        <v>#REF!</v>
      </c>
      <c r="C124" s="115" t="e">
        <f t="shared" si="3"/>
        <v>#REF!</v>
      </c>
      <c r="D124" s="115" t="e">
        <f t="shared" si="3"/>
        <v>#REF!</v>
      </c>
      <c r="E124" s="115" t="e">
        <f t="shared" si="3"/>
        <v>#REF!</v>
      </c>
      <c r="F124" s="115" t="e">
        <f t="shared" si="3"/>
        <v>#REF!</v>
      </c>
      <c r="G124" s="115" t="e">
        <f t="shared" si="3"/>
        <v>#REF!</v>
      </c>
      <c r="H124" s="115" t="e">
        <f t="shared" si="3"/>
        <v>#REF!</v>
      </c>
      <c r="I124" s="115"/>
      <c r="J124" s="115" t="e">
        <f>#REF!</f>
        <v>#REF!</v>
      </c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</row>
    <row r="125" spans="1:26" x14ac:dyDescent="0.2">
      <c r="A125" s="113" t="e">
        <f>'THE BOARD'!#REF!</f>
        <v>#REF!</v>
      </c>
      <c r="B125" s="113" t="e">
        <f>'THE BOARD'!#REF!</f>
        <v>#REF!</v>
      </c>
      <c r="C125" s="114" t="e">
        <f>'THE BOARD'!#REF!</f>
        <v>#REF!</v>
      </c>
      <c r="D125" s="115" t="e">
        <f>'THE BOARD'!#REF!</f>
        <v>#REF!</v>
      </c>
      <c r="E125" s="115" t="e">
        <f>'THE BOARD'!#REF!</f>
        <v>#REF!</v>
      </c>
      <c r="F125" s="115" t="e">
        <f>'THE BOARD'!#REF!</f>
        <v>#REF!</v>
      </c>
      <c r="G125" s="115" t="e">
        <f>'THE BOARD'!#REF!</f>
        <v>#REF!</v>
      </c>
      <c r="H125" s="115" t="e">
        <f>'THE BOARD'!#REF!</f>
        <v>#REF!</v>
      </c>
      <c r="I125" s="115"/>
      <c r="J125" s="115" t="e">
        <f>'THE BOARD'!#REF!</f>
        <v>#REF!</v>
      </c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</row>
    <row r="126" spans="1:26" x14ac:dyDescent="0.2">
      <c r="A126" s="113" t="e">
        <f>'THE BOARD'!#REF!</f>
        <v>#REF!</v>
      </c>
      <c r="B126" s="113" t="e">
        <f>'THE BOARD'!#REF!</f>
        <v>#REF!</v>
      </c>
      <c r="C126" s="114" t="e">
        <f>'THE BOARD'!#REF!</f>
        <v>#REF!</v>
      </c>
      <c r="D126" s="115" t="e">
        <f>'THE BOARD'!#REF!</f>
        <v>#REF!</v>
      </c>
      <c r="E126" s="115" t="e">
        <f>'THE BOARD'!#REF!</f>
        <v>#REF!</v>
      </c>
      <c r="F126" s="115" t="e">
        <f>'THE BOARD'!#REF!</f>
        <v>#REF!</v>
      </c>
      <c r="G126" s="115" t="e">
        <f>'THE BOARD'!#REF!</f>
        <v>#REF!</v>
      </c>
      <c r="H126" s="115" t="e">
        <f>'THE BOARD'!#REF!</f>
        <v>#REF!</v>
      </c>
      <c r="I126" s="115"/>
      <c r="J126" s="115" t="e">
        <f>'THE BOARD'!#REF!</f>
        <v>#REF!</v>
      </c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</row>
    <row r="127" spans="1:26" x14ac:dyDescent="0.2">
      <c r="A127" s="113" t="e">
        <f>'THE BOARD'!#REF!</f>
        <v>#REF!</v>
      </c>
      <c r="B127" s="113" t="e">
        <f>'THE BOARD'!#REF!</f>
        <v>#REF!</v>
      </c>
      <c r="C127" s="114" t="e">
        <f>'THE BOARD'!#REF!</f>
        <v>#REF!</v>
      </c>
      <c r="D127" s="115" t="e">
        <f>'THE BOARD'!#REF!</f>
        <v>#REF!</v>
      </c>
      <c r="E127" s="115" t="e">
        <f>'THE BOARD'!#REF!</f>
        <v>#REF!</v>
      </c>
      <c r="F127" s="115" t="e">
        <f>'THE BOARD'!#REF!</f>
        <v>#REF!</v>
      </c>
      <c r="G127" s="115" t="e">
        <f>'THE BOARD'!#REF!</f>
        <v>#REF!</v>
      </c>
      <c r="H127" s="115" t="e">
        <f>'THE BOARD'!#REF!</f>
        <v>#REF!</v>
      </c>
      <c r="I127" s="115"/>
      <c r="J127" s="115" t="e">
        <f>'THE BOARD'!#REF!</f>
        <v>#REF!</v>
      </c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</row>
    <row r="128" spans="1:26" x14ac:dyDescent="0.2">
      <c r="A128" s="113" t="e">
        <f>'THE BOARD'!#REF!</f>
        <v>#REF!</v>
      </c>
      <c r="B128" s="113" t="e">
        <f>'THE BOARD'!#REF!</f>
        <v>#REF!</v>
      </c>
      <c r="C128" s="114" t="e">
        <f>'THE BOARD'!#REF!</f>
        <v>#REF!</v>
      </c>
      <c r="D128" s="115" t="e">
        <f>'THE BOARD'!#REF!</f>
        <v>#REF!</v>
      </c>
      <c r="E128" s="115" t="e">
        <f>'THE BOARD'!#REF!</f>
        <v>#REF!</v>
      </c>
      <c r="F128" s="115" t="e">
        <f>'THE BOARD'!#REF!</f>
        <v>#REF!</v>
      </c>
      <c r="G128" s="115" t="e">
        <f>'THE BOARD'!#REF!</f>
        <v>#REF!</v>
      </c>
      <c r="H128" s="115" t="e">
        <f>'THE BOARD'!#REF!</f>
        <v>#REF!</v>
      </c>
      <c r="I128" s="115"/>
      <c r="J128" s="115" t="e">
        <f>'THE BOARD'!#REF!</f>
        <v>#REF!</v>
      </c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</row>
    <row r="129" spans="1:26" x14ac:dyDescent="0.2">
      <c r="A129" s="113" t="e">
        <f>'THE BOARD'!#REF!</f>
        <v>#REF!</v>
      </c>
      <c r="B129" s="113" t="e">
        <f>'THE BOARD'!#REF!</f>
        <v>#REF!</v>
      </c>
      <c r="C129" s="114" t="e">
        <f>'THE BOARD'!#REF!</f>
        <v>#REF!</v>
      </c>
      <c r="D129" s="115" t="e">
        <f>'THE BOARD'!#REF!</f>
        <v>#REF!</v>
      </c>
      <c r="E129" s="115" t="e">
        <f>'THE BOARD'!#REF!</f>
        <v>#REF!</v>
      </c>
      <c r="F129" s="115" t="e">
        <f>'THE BOARD'!#REF!</f>
        <v>#REF!</v>
      </c>
      <c r="G129" s="115" t="e">
        <f>'THE BOARD'!#REF!</f>
        <v>#REF!</v>
      </c>
      <c r="H129" s="115" t="e">
        <f>'THE BOARD'!#REF!</f>
        <v>#REF!</v>
      </c>
      <c r="I129" s="115"/>
      <c r="J129" s="115" t="e">
        <f>'THE BOARD'!#REF!</f>
        <v>#REF!</v>
      </c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</row>
    <row r="130" spans="1:26" x14ac:dyDescent="0.2">
      <c r="A130" s="113" t="e">
        <f>'THE BOARD'!#REF!</f>
        <v>#REF!</v>
      </c>
      <c r="B130" s="113" t="e">
        <f>'THE BOARD'!#REF!</f>
        <v>#REF!</v>
      </c>
      <c r="C130" s="114" t="e">
        <f>'THE BOARD'!#REF!</f>
        <v>#REF!</v>
      </c>
      <c r="D130" s="115" t="e">
        <f>'THE BOARD'!#REF!</f>
        <v>#REF!</v>
      </c>
      <c r="E130" s="115" t="e">
        <f>'THE BOARD'!#REF!</f>
        <v>#REF!</v>
      </c>
      <c r="F130" s="115" t="e">
        <f>'THE BOARD'!#REF!</f>
        <v>#REF!</v>
      </c>
      <c r="G130" s="115" t="e">
        <f>'THE BOARD'!#REF!</f>
        <v>#REF!</v>
      </c>
      <c r="H130" s="115" t="e">
        <f>'THE BOARD'!#REF!</f>
        <v>#REF!</v>
      </c>
      <c r="I130" s="115"/>
      <c r="J130" s="115" t="e">
        <f>'THE BOARD'!#REF!</f>
        <v>#REF!</v>
      </c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</row>
    <row r="131" spans="1:26" x14ac:dyDescent="0.2">
      <c r="A131" s="113" t="e">
        <f>'THE BOARD'!#REF!</f>
        <v>#REF!</v>
      </c>
      <c r="B131" s="113" t="e">
        <f>'THE BOARD'!#REF!</f>
        <v>#REF!</v>
      </c>
      <c r="C131" s="118" t="e">
        <f>'THE BOARD'!#REF!</f>
        <v>#REF!</v>
      </c>
      <c r="D131" s="115" t="e">
        <f>'THE BOARD'!#REF!</f>
        <v>#REF!</v>
      </c>
      <c r="E131" s="115" t="e">
        <f>'THE BOARD'!#REF!</f>
        <v>#REF!</v>
      </c>
      <c r="F131" s="115" t="e">
        <f>'THE BOARD'!#REF!</f>
        <v>#REF!</v>
      </c>
      <c r="G131" s="115" t="e">
        <f>'THE BOARD'!#REF!</f>
        <v>#REF!</v>
      </c>
      <c r="H131" s="115" t="e">
        <f>'THE BOARD'!#REF!</f>
        <v>#REF!</v>
      </c>
      <c r="I131" s="115"/>
      <c r="J131" s="115" t="e">
        <f>'THE BOARD'!#REF!</f>
        <v>#REF!</v>
      </c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</row>
    <row r="132" spans="1:26" x14ac:dyDescent="0.2">
      <c r="A132" s="113" t="e">
        <f>'THE BOARD'!#REF!</f>
        <v>#REF!</v>
      </c>
      <c r="B132" s="113" t="e">
        <f>'THE BOARD'!#REF!</f>
        <v>#REF!</v>
      </c>
      <c r="C132" s="114" t="e">
        <f>'THE BOARD'!#REF!</f>
        <v>#REF!</v>
      </c>
      <c r="D132" s="115" t="e">
        <f>'THE BOARD'!#REF!</f>
        <v>#REF!</v>
      </c>
      <c r="E132" s="115" t="e">
        <f>'THE BOARD'!#REF!</f>
        <v>#REF!</v>
      </c>
      <c r="F132" s="115" t="e">
        <f>'THE BOARD'!#REF!</f>
        <v>#REF!</v>
      </c>
      <c r="G132" s="115" t="e">
        <f>'THE BOARD'!#REF!</f>
        <v>#REF!</v>
      </c>
      <c r="H132" s="115" t="e">
        <f>'THE BOARD'!#REF!</f>
        <v>#REF!</v>
      </c>
      <c r="I132" s="115"/>
      <c r="J132" s="115" t="e">
        <f>'THE BOARD'!#REF!</f>
        <v>#REF!</v>
      </c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</row>
    <row r="133" spans="1:26" x14ac:dyDescent="0.2">
      <c r="A133" s="113" t="e">
        <f>'THE BOARD'!#REF!</f>
        <v>#REF!</v>
      </c>
      <c r="B133" s="113" t="e">
        <f>'THE BOARD'!#REF!</f>
        <v>#REF!</v>
      </c>
      <c r="C133" s="114" t="e">
        <f>'THE BOARD'!#REF!</f>
        <v>#REF!</v>
      </c>
      <c r="D133" s="115" t="e">
        <f>'THE BOARD'!#REF!</f>
        <v>#REF!</v>
      </c>
      <c r="E133" s="115" t="e">
        <f>'THE BOARD'!#REF!</f>
        <v>#REF!</v>
      </c>
      <c r="F133" s="115" t="e">
        <f>'THE BOARD'!#REF!</f>
        <v>#REF!</v>
      </c>
      <c r="G133" s="115" t="e">
        <f>'THE BOARD'!#REF!</f>
        <v>#REF!</v>
      </c>
      <c r="H133" s="115" t="e">
        <f>'THE BOARD'!#REF!</f>
        <v>#REF!</v>
      </c>
      <c r="I133" s="115"/>
      <c r="J133" s="115" t="e">
        <f>'THE BOARD'!#REF!</f>
        <v>#REF!</v>
      </c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</row>
    <row r="134" spans="1:26" x14ac:dyDescent="0.2">
      <c r="A134" s="113" t="e">
        <f>'THE BOARD'!#REF!</f>
        <v>#REF!</v>
      </c>
      <c r="B134" s="113" t="e">
        <f>'THE BOARD'!#REF!</f>
        <v>#REF!</v>
      </c>
      <c r="C134" s="114" t="e">
        <f>'THE BOARD'!#REF!</f>
        <v>#REF!</v>
      </c>
      <c r="D134" s="115" t="e">
        <f>'THE BOARD'!#REF!</f>
        <v>#REF!</v>
      </c>
      <c r="E134" s="115" t="e">
        <f>'THE BOARD'!#REF!</f>
        <v>#REF!</v>
      </c>
      <c r="F134" s="115" t="e">
        <f>'THE BOARD'!#REF!</f>
        <v>#REF!</v>
      </c>
      <c r="G134" s="115" t="e">
        <f>'THE BOARD'!#REF!</f>
        <v>#REF!</v>
      </c>
      <c r="H134" s="115" t="e">
        <f>'THE BOARD'!#REF!</f>
        <v>#REF!</v>
      </c>
      <c r="I134" s="115"/>
      <c r="J134" s="115" t="e">
        <f>'THE BOARD'!#REF!</f>
        <v>#REF!</v>
      </c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</row>
    <row r="135" spans="1:26" x14ac:dyDescent="0.2">
      <c r="A135" s="113" t="e">
        <f>'THE BOARD'!#REF!</f>
        <v>#REF!</v>
      </c>
      <c r="B135" s="113" t="e">
        <f>'THE BOARD'!#REF!</f>
        <v>#REF!</v>
      </c>
      <c r="C135" s="114" t="e">
        <f>'THE BOARD'!#REF!</f>
        <v>#REF!</v>
      </c>
      <c r="D135" s="115" t="e">
        <f>'THE BOARD'!#REF!</f>
        <v>#REF!</v>
      </c>
      <c r="E135" s="115" t="e">
        <f>'THE BOARD'!#REF!</f>
        <v>#REF!</v>
      </c>
      <c r="F135" s="115" t="e">
        <f>'THE BOARD'!#REF!</f>
        <v>#REF!</v>
      </c>
      <c r="G135" s="115" t="e">
        <f>'THE BOARD'!#REF!</f>
        <v>#REF!</v>
      </c>
      <c r="H135" s="115" t="e">
        <f>'THE BOARD'!#REF!</f>
        <v>#REF!</v>
      </c>
      <c r="I135" s="115"/>
      <c r="J135" s="115" t="e">
        <f>'THE BOARD'!#REF!</f>
        <v>#REF!</v>
      </c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</row>
    <row r="136" spans="1:26" x14ac:dyDescent="0.2">
      <c r="A136" s="113" t="e">
        <f>'THE BOARD'!#REF!</f>
        <v>#REF!</v>
      </c>
      <c r="B136" s="113" t="e">
        <f>'THE BOARD'!#REF!</f>
        <v>#REF!</v>
      </c>
      <c r="C136" s="114" t="e">
        <f>'THE BOARD'!#REF!</f>
        <v>#REF!</v>
      </c>
      <c r="D136" s="115" t="e">
        <f>'THE BOARD'!#REF!</f>
        <v>#REF!</v>
      </c>
      <c r="E136" s="115" t="e">
        <f>'THE BOARD'!#REF!</f>
        <v>#REF!</v>
      </c>
      <c r="F136" s="115" t="e">
        <f>'THE BOARD'!#REF!</f>
        <v>#REF!</v>
      </c>
      <c r="G136" s="115" t="e">
        <f>'THE BOARD'!#REF!</f>
        <v>#REF!</v>
      </c>
      <c r="H136" s="115" t="e">
        <f>'THE BOARD'!#REF!</f>
        <v>#REF!</v>
      </c>
      <c r="I136" s="115"/>
      <c r="J136" s="115" t="e">
        <f>'THE BOARD'!#REF!</f>
        <v>#REF!</v>
      </c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</row>
    <row r="137" spans="1:26" x14ac:dyDescent="0.2">
      <c r="A137" s="113" t="e">
        <f>'THE BOARD'!#REF!</f>
        <v>#REF!</v>
      </c>
      <c r="B137" s="113" t="e">
        <f>'THE BOARD'!#REF!</f>
        <v>#REF!</v>
      </c>
      <c r="C137" s="114" t="e">
        <f>'THE BOARD'!#REF!</f>
        <v>#REF!</v>
      </c>
      <c r="D137" s="115" t="e">
        <f>'THE BOARD'!#REF!</f>
        <v>#REF!</v>
      </c>
      <c r="E137" s="115" t="e">
        <f>'THE BOARD'!#REF!</f>
        <v>#REF!</v>
      </c>
      <c r="F137" s="115" t="e">
        <f>'THE BOARD'!#REF!</f>
        <v>#REF!</v>
      </c>
      <c r="G137" s="115" t="e">
        <f>'THE BOARD'!#REF!</f>
        <v>#REF!</v>
      </c>
      <c r="H137" s="115" t="e">
        <f>'THE BOARD'!#REF!</f>
        <v>#REF!</v>
      </c>
      <c r="I137" s="115"/>
      <c r="J137" s="115" t="e">
        <f>'THE BOARD'!#REF!</f>
        <v>#REF!</v>
      </c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</row>
    <row r="138" spans="1:26" x14ac:dyDescent="0.2">
      <c r="A138" s="113" t="e">
        <f>'THE BOARD'!#REF!</f>
        <v>#REF!</v>
      </c>
      <c r="B138" s="113" t="e">
        <f>'THE BOARD'!#REF!</f>
        <v>#REF!</v>
      </c>
      <c r="C138" s="114" t="e">
        <f>'THE BOARD'!#REF!</f>
        <v>#REF!</v>
      </c>
      <c r="D138" s="115" t="e">
        <f>'THE BOARD'!#REF!</f>
        <v>#REF!</v>
      </c>
      <c r="E138" s="115" t="e">
        <f>'THE BOARD'!#REF!</f>
        <v>#REF!</v>
      </c>
      <c r="F138" s="115" t="e">
        <f>'THE BOARD'!#REF!</f>
        <v>#REF!</v>
      </c>
      <c r="G138" s="115" t="e">
        <f>'THE BOARD'!#REF!</f>
        <v>#REF!</v>
      </c>
      <c r="H138" s="115" t="e">
        <f>'THE BOARD'!#REF!</f>
        <v>#REF!</v>
      </c>
      <c r="I138" s="115"/>
      <c r="J138" s="115" t="e">
        <f>'THE BOARD'!#REF!</f>
        <v>#REF!</v>
      </c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</row>
    <row r="139" spans="1:26" x14ac:dyDescent="0.2">
      <c r="A139" s="113" t="e">
        <f>'THE BOARD'!#REF!</f>
        <v>#REF!</v>
      </c>
      <c r="B139" s="113" t="e">
        <f>'THE BOARD'!#REF!</f>
        <v>#REF!</v>
      </c>
      <c r="C139" s="114" t="e">
        <f>'THE BOARD'!#REF!</f>
        <v>#REF!</v>
      </c>
      <c r="D139" s="115" t="e">
        <f>'THE BOARD'!#REF!</f>
        <v>#REF!</v>
      </c>
      <c r="E139" s="115" t="e">
        <f>'THE BOARD'!#REF!</f>
        <v>#REF!</v>
      </c>
      <c r="F139" s="115" t="e">
        <f>'THE BOARD'!#REF!</f>
        <v>#REF!</v>
      </c>
      <c r="G139" s="115" t="e">
        <f>'THE BOARD'!#REF!</f>
        <v>#REF!</v>
      </c>
      <c r="H139" s="115" t="e">
        <f>'THE BOARD'!#REF!</f>
        <v>#REF!</v>
      </c>
      <c r="I139" s="115"/>
      <c r="J139" s="115" t="e">
        <f>'THE BOARD'!#REF!</f>
        <v>#REF!</v>
      </c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</row>
    <row r="140" spans="1:26" x14ac:dyDescent="0.2">
      <c r="A140" s="113" t="e">
        <f>'THE BOARD'!#REF!</f>
        <v>#REF!</v>
      </c>
      <c r="B140" s="113" t="e">
        <f>'THE BOARD'!#REF!</f>
        <v>#REF!</v>
      </c>
      <c r="C140" s="114" t="e">
        <f>'THE BOARD'!#REF!</f>
        <v>#REF!</v>
      </c>
      <c r="D140" s="115" t="e">
        <f>'THE BOARD'!#REF!</f>
        <v>#REF!</v>
      </c>
      <c r="E140" s="115" t="e">
        <f>'THE BOARD'!#REF!</f>
        <v>#REF!</v>
      </c>
      <c r="F140" s="115" t="e">
        <f>'THE BOARD'!#REF!</f>
        <v>#REF!</v>
      </c>
      <c r="G140" s="115" t="e">
        <f>'THE BOARD'!#REF!</f>
        <v>#REF!</v>
      </c>
      <c r="H140" s="115" t="e">
        <f>'THE BOARD'!#REF!</f>
        <v>#REF!</v>
      </c>
      <c r="I140" s="115"/>
      <c r="J140" s="115" t="e">
        <f>'THE BOARD'!#REF!</f>
        <v>#REF!</v>
      </c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</row>
    <row r="141" spans="1:26" x14ac:dyDescent="0.2">
      <c r="A141" s="113" t="e">
        <f>'THE BOARD'!#REF!</f>
        <v>#REF!</v>
      </c>
      <c r="B141" s="113" t="e">
        <f>'THE BOARD'!#REF!</f>
        <v>#REF!</v>
      </c>
      <c r="C141" s="114" t="e">
        <f>'THE BOARD'!#REF!</f>
        <v>#REF!</v>
      </c>
      <c r="D141" s="115" t="e">
        <f>'THE BOARD'!#REF!</f>
        <v>#REF!</v>
      </c>
      <c r="E141" s="115" t="e">
        <f>'THE BOARD'!#REF!</f>
        <v>#REF!</v>
      </c>
      <c r="F141" s="115" t="e">
        <f>'THE BOARD'!#REF!</f>
        <v>#REF!</v>
      </c>
      <c r="G141" s="115" t="e">
        <f>'THE BOARD'!#REF!</f>
        <v>#REF!</v>
      </c>
      <c r="H141" s="115" t="e">
        <f>'THE BOARD'!#REF!</f>
        <v>#REF!</v>
      </c>
      <c r="I141" s="115"/>
      <c r="J141" s="115" t="e">
        <f>'THE BOARD'!#REF!</f>
        <v>#REF!</v>
      </c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</row>
    <row r="142" spans="1:26" x14ac:dyDescent="0.2">
      <c r="A142" s="113" t="e">
        <f>'THE BOARD'!#REF!</f>
        <v>#REF!</v>
      </c>
      <c r="B142" s="113" t="e">
        <f>'THE BOARD'!#REF!</f>
        <v>#REF!</v>
      </c>
      <c r="C142" s="116" t="e">
        <f>'THE BOARD'!#REF!</f>
        <v>#REF!</v>
      </c>
      <c r="D142" s="115" t="e">
        <f>'THE BOARD'!#REF!</f>
        <v>#REF!</v>
      </c>
      <c r="E142" s="115" t="e">
        <f>'THE BOARD'!#REF!</f>
        <v>#REF!</v>
      </c>
      <c r="F142" s="115" t="e">
        <f>'THE BOARD'!#REF!</f>
        <v>#REF!</v>
      </c>
      <c r="G142" s="115" t="e">
        <f>'THE BOARD'!#REF!</f>
        <v>#REF!</v>
      </c>
      <c r="H142" s="115" t="e">
        <f>'THE BOARD'!#REF!</f>
        <v>#REF!</v>
      </c>
      <c r="I142" s="115"/>
      <c r="J142" s="115" t="e">
        <f>'THE BOARD'!#REF!</f>
        <v>#REF!</v>
      </c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</row>
    <row r="143" spans="1:26" x14ac:dyDescent="0.2">
      <c r="A143" s="113" t="e">
        <f>'THE BOARD'!#REF!</f>
        <v>#REF!</v>
      </c>
      <c r="B143" s="113" t="e">
        <f>'THE BOARD'!#REF!</f>
        <v>#REF!</v>
      </c>
      <c r="C143" s="116" t="e">
        <f>'THE BOARD'!#REF!</f>
        <v>#REF!</v>
      </c>
      <c r="D143" s="115" t="e">
        <f>'THE BOARD'!#REF!</f>
        <v>#REF!</v>
      </c>
      <c r="E143" s="115" t="e">
        <f>'THE BOARD'!#REF!</f>
        <v>#REF!</v>
      </c>
      <c r="F143" s="115" t="e">
        <f>'THE BOARD'!#REF!</f>
        <v>#REF!</v>
      </c>
      <c r="G143" s="115" t="e">
        <f>'THE BOARD'!#REF!</f>
        <v>#REF!</v>
      </c>
      <c r="H143" s="115" t="e">
        <f>'THE BOARD'!#REF!</f>
        <v>#REF!</v>
      </c>
      <c r="I143" s="115"/>
      <c r="J143" s="115" t="e">
        <f>'THE BOARD'!#REF!</f>
        <v>#REF!</v>
      </c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</row>
    <row r="144" spans="1:26" x14ac:dyDescent="0.2">
      <c r="A144" s="113" t="e">
        <f>'THE BOARD'!#REF!</f>
        <v>#REF!</v>
      </c>
      <c r="B144" s="113" t="e">
        <f>'THE BOARD'!#REF!</f>
        <v>#REF!</v>
      </c>
      <c r="C144" s="114" t="e">
        <f>'THE BOARD'!#REF!</f>
        <v>#REF!</v>
      </c>
      <c r="D144" s="115" t="e">
        <f>'THE BOARD'!#REF!</f>
        <v>#REF!</v>
      </c>
      <c r="E144" s="115" t="e">
        <f>'THE BOARD'!#REF!</f>
        <v>#REF!</v>
      </c>
      <c r="F144" s="115" t="e">
        <f>'THE BOARD'!#REF!</f>
        <v>#REF!</v>
      </c>
      <c r="G144" s="115" t="e">
        <f>'THE BOARD'!#REF!</f>
        <v>#REF!</v>
      </c>
      <c r="H144" s="115" t="e">
        <f>'THE BOARD'!#REF!</f>
        <v>#REF!</v>
      </c>
      <c r="I144" s="115"/>
      <c r="J144" s="115" t="e">
        <f>'THE BOARD'!#REF!</f>
        <v>#REF!</v>
      </c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</row>
    <row r="145" spans="1:26" x14ac:dyDescent="0.2">
      <c r="A145" s="113" t="e">
        <f>'THE BOARD'!#REF!</f>
        <v>#REF!</v>
      </c>
      <c r="B145" s="113" t="e">
        <f>'THE BOARD'!#REF!</f>
        <v>#REF!</v>
      </c>
      <c r="C145" s="116" t="e">
        <f>'THE BOARD'!#REF!</f>
        <v>#REF!</v>
      </c>
      <c r="D145" s="115" t="e">
        <f>'THE BOARD'!#REF!</f>
        <v>#REF!</v>
      </c>
      <c r="E145" s="115" t="e">
        <f>'THE BOARD'!#REF!</f>
        <v>#REF!</v>
      </c>
      <c r="F145" s="115" t="e">
        <f>'THE BOARD'!#REF!</f>
        <v>#REF!</v>
      </c>
      <c r="G145" s="115" t="e">
        <f>'THE BOARD'!#REF!</f>
        <v>#REF!</v>
      </c>
      <c r="H145" s="115" t="e">
        <f>'THE BOARD'!#REF!</f>
        <v>#REF!</v>
      </c>
      <c r="I145" s="115"/>
      <c r="J145" s="115" t="e">
        <f>'THE BOARD'!#REF!</f>
        <v>#REF!</v>
      </c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</row>
    <row r="146" spans="1:26" x14ac:dyDescent="0.2">
      <c r="A146" s="113" t="e">
        <f t="shared" ref="A146:H146" si="4">#REF!</f>
        <v>#REF!</v>
      </c>
      <c r="B146" s="113" t="e">
        <f t="shared" si="4"/>
        <v>#REF!</v>
      </c>
      <c r="C146" s="115" t="e">
        <f t="shared" si="4"/>
        <v>#REF!</v>
      </c>
      <c r="D146" s="115" t="e">
        <f t="shared" si="4"/>
        <v>#REF!</v>
      </c>
      <c r="E146" s="115" t="e">
        <f t="shared" si="4"/>
        <v>#REF!</v>
      </c>
      <c r="F146" s="115" t="e">
        <f t="shared" si="4"/>
        <v>#REF!</v>
      </c>
      <c r="G146" s="115" t="e">
        <f t="shared" si="4"/>
        <v>#REF!</v>
      </c>
      <c r="H146" s="115" t="e">
        <f t="shared" si="4"/>
        <v>#REF!</v>
      </c>
      <c r="I146" s="115"/>
      <c r="J146" s="115" t="e">
        <f>#REF!</f>
        <v>#REF!</v>
      </c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</row>
    <row r="147" spans="1:26" x14ac:dyDescent="0.2">
      <c r="A147" s="113" t="e">
        <f>'THE BOARD'!#REF!</f>
        <v>#REF!</v>
      </c>
      <c r="B147" s="113" t="e">
        <f>'THE BOARD'!#REF!</f>
        <v>#REF!</v>
      </c>
      <c r="C147" s="116" t="e">
        <f>'THE BOARD'!#REF!</f>
        <v>#REF!</v>
      </c>
      <c r="D147" s="115" t="e">
        <f>'THE BOARD'!#REF!</f>
        <v>#REF!</v>
      </c>
      <c r="E147" s="115" t="e">
        <f>'THE BOARD'!#REF!</f>
        <v>#REF!</v>
      </c>
      <c r="F147" s="115" t="e">
        <f>'THE BOARD'!#REF!</f>
        <v>#REF!</v>
      </c>
      <c r="G147" s="115" t="e">
        <f>'THE BOARD'!#REF!</f>
        <v>#REF!</v>
      </c>
      <c r="H147" s="115" t="e">
        <f>'THE BOARD'!#REF!</f>
        <v>#REF!</v>
      </c>
      <c r="I147" s="115"/>
      <c r="J147" s="115" t="e">
        <f>'THE BOARD'!#REF!</f>
        <v>#REF!</v>
      </c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</row>
    <row r="148" spans="1:26" x14ac:dyDescent="0.2">
      <c r="A148" s="113" t="e">
        <f t="shared" ref="A148:H148" si="5">#REF!</f>
        <v>#REF!</v>
      </c>
      <c r="B148" s="113" t="e">
        <f t="shared" si="5"/>
        <v>#REF!</v>
      </c>
      <c r="C148" s="115" t="e">
        <f t="shared" si="5"/>
        <v>#REF!</v>
      </c>
      <c r="D148" s="115" t="e">
        <f t="shared" si="5"/>
        <v>#REF!</v>
      </c>
      <c r="E148" s="115" t="e">
        <f t="shared" si="5"/>
        <v>#REF!</v>
      </c>
      <c r="F148" s="115" t="e">
        <f t="shared" si="5"/>
        <v>#REF!</v>
      </c>
      <c r="G148" s="115" t="e">
        <f t="shared" si="5"/>
        <v>#REF!</v>
      </c>
      <c r="H148" s="115" t="e">
        <f t="shared" si="5"/>
        <v>#REF!</v>
      </c>
      <c r="I148" s="115"/>
      <c r="J148" s="115" t="e">
        <f t="shared" ref="J148:J149" si="6">#REF!</f>
        <v>#REF!</v>
      </c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</row>
    <row r="149" spans="1:26" x14ac:dyDescent="0.2">
      <c r="A149" s="113" t="e">
        <f t="shared" ref="A149:H149" si="7">#REF!</f>
        <v>#REF!</v>
      </c>
      <c r="B149" s="113" t="e">
        <f t="shared" si="7"/>
        <v>#REF!</v>
      </c>
      <c r="C149" s="115" t="e">
        <f t="shared" si="7"/>
        <v>#REF!</v>
      </c>
      <c r="D149" s="115" t="e">
        <f t="shared" si="7"/>
        <v>#REF!</v>
      </c>
      <c r="E149" s="115" t="e">
        <f t="shared" si="7"/>
        <v>#REF!</v>
      </c>
      <c r="F149" s="115" t="e">
        <f t="shared" si="7"/>
        <v>#REF!</v>
      </c>
      <c r="G149" s="115" t="e">
        <f t="shared" si="7"/>
        <v>#REF!</v>
      </c>
      <c r="H149" s="115" t="e">
        <f t="shared" si="7"/>
        <v>#REF!</v>
      </c>
      <c r="I149" s="115"/>
      <c r="J149" s="115" t="e">
        <f t="shared" si="6"/>
        <v>#REF!</v>
      </c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</row>
    <row r="150" spans="1:26" x14ac:dyDescent="0.2">
      <c r="A150" s="113" t="e">
        <f>'THE BOARD'!#REF!</f>
        <v>#REF!</v>
      </c>
      <c r="B150" s="113" t="e">
        <f>'THE BOARD'!#REF!</f>
        <v>#REF!</v>
      </c>
      <c r="C150" s="116" t="e">
        <f>'THE BOARD'!#REF!</f>
        <v>#REF!</v>
      </c>
      <c r="D150" s="115" t="e">
        <f>'THE BOARD'!#REF!</f>
        <v>#REF!</v>
      </c>
      <c r="E150" s="115" t="e">
        <f>'THE BOARD'!#REF!</f>
        <v>#REF!</v>
      </c>
      <c r="F150" s="115" t="e">
        <f>'THE BOARD'!#REF!</f>
        <v>#REF!</v>
      </c>
      <c r="G150" s="115" t="e">
        <f>'THE BOARD'!#REF!</f>
        <v>#REF!</v>
      </c>
      <c r="H150" s="115" t="e">
        <f>'THE BOARD'!#REF!</f>
        <v>#REF!</v>
      </c>
      <c r="I150" s="115"/>
      <c r="J150" s="115" t="e">
        <f>'THE BOARD'!#REF!</f>
        <v>#REF!</v>
      </c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</row>
    <row r="151" spans="1:26" x14ac:dyDescent="0.2">
      <c r="A151" s="113" t="e">
        <f t="shared" ref="A151:H151" si="8">#REF!</f>
        <v>#REF!</v>
      </c>
      <c r="B151" s="113" t="e">
        <f t="shared" si="8"/>
        <v>#REF!</v>
      </c>
      <c r="C151" s="115" t="e">
        <f t="shared" si="8"/>
        <v>#REF!</v>
      </c>
      <c r="D151" s="115" t="e">
        <f t="shared" si="8"/>
        <v>#REF!</v>
      </c>
      <c r="E151" s="115" t="e">
        <f t="shared" si="8"/>
        <v>#REF!</v>
      </c>
      <c r="F151" s="115" t="e">
        <f t="shared" si="8"/>
        <v>#REF!</v>
      </c>
      <c r="G151" s="115" t="e">
        <f t="shared" si="8"/>
        <v>#REF!</v>
      </c>
      <c r="H151" s="115" t="e">
        <f t="shared" si="8"/>
        <v>#REF!</v>
      </c>
      <c r="I151" s="115"/>
      <c r="J151" s="115" t="e">
        <f t="shared" ref="J151:J174" si="9">#REF!</f>
        <v>#REF!</v>
      </c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</row>
    <row r="152" spans="1:26" x14ac:dyDescent="0.2">
      <c r="A152" s="113" t="e">
        <f t="shared" ref="A152:H152" si="10">#REF!</f>
        <v>#REF!</v>
      </c>
      <c r="B152" s="113" t="e">
        <f t="shared" si="10"/>
        <v>#REF!</v>
      </c>
      <c r="C152" s="115" t="e">
        <f t="shared" si="10"/>
        <v>#REF!</v>
      </c>
      <c r="D152" s="115" t="e">
        <f t="shared" si="10"/>
        <v>#REF!</v>
      </c>
      <c r="E152" s="115" t="e">
        <f t="shared" si="10"/>
        <v>#REF!</v>
      </c>
      <c r="F152" s="115" t="e">
        <f t="shared" si="10"/>
        <v>#REF!</v>
      </c>
      <c r="G152" s="115" t="e">
        <f t="shared" si="10"/>
        <v>#REF!</v>
      </c>
      <c r="H152" s="115" t="e">
        <f t="shared" si="10"/>
        <v>#REF!</v>
      </c>
      <c r="I152" s="115"/>
      <c r="J152" s="115" t="e">
        <f t="shared" si="9"/>
        <v>#REF!</v>
      </c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</row>
    <row r="153" spans="1:26" x14ac:dyDescent="0.2">
      <c r="A153" s="113" t="e">
        <f t="shared" ref="A153:H153" si="11">#REF!</f>
        <v>#REF!</v>
      </c>
      <c r="B153" s="113" t="e">
        <f t="shared" si="11"/>
        <v>#REF!</v>
      </c>
      <c r="C153" s="115" t="e">
        <f t="shared" si="11"/>
        <v>#REF!</v>
      </c>
      <c r="D153" s="115" t="e">
        <f t="shared" si="11"/>
        <v>#REF!</v>
      </c>
      <c r="E153" s="115" t="e">
        <f t="shared" si="11"/>
        <v>#REF!</v>
      </c>
      <c r="F153" s="115" t="e">
        <f t="shared" si="11"/>
        <v>#REF!</v>
      </c>
      <c r="G153" s="115" t="e">
        <f t="shared" si="11"/>
        <v>#REF!</v>
      </c>
      <c r="H153" s="115" t="e">
        <f t="shared" si="11"/>
        <v>#REF!</v>
      </c>
      <c r="I153" s="115"/>
      <c r="J153" s="115" t="e">
        <f t="shared" si="9"/>
        <v>#REF!</v>
      </c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</row>
    <row r="154" spans="1:26" x14ac:dyDescent="0.2">
      <c r="A154" s="113" t="e">
        <f t="shared" ref="A154:H154" si="12">#REF!</f>
        <v>#REF!</v>
      </c>
      <c r="B154" s="113" t="e">
        <f t="shared" si="12"/>
        <v>#REF!</v>
      </c>
      <c r="C154" s="115" t="e">
        <f t="shared" si="12"/>
        <v>#REF!</v>
      </c>
      <c r="D154" s="115" t="e">
        <f t="shared" si="12"/>
        <v>#REF!</v>
      </c>
      <c r="E154" s="115" t="e">
        <f t="shared" si="12"/>
        <v>#REF!</v>
      </c>
      <c r="F154" s="115" t="e">
        <f t="shared" si="12"/>
        <v>#REF!</v>
      </c>
      <c r="G154" s="115" t="e">
        <f t="shared" si="12"/>
        <v>#REF!</v>
      </c>
      <c r="H154" s="115" t="e">
        <f t="shared" si="12"/>
        <v>#REF!</v>
      </c>
      <c r="I154" s="115"/>
      <c r="J154" s="115" t="e">
        <f t="shared" si="9"/>
        <v>#REF!</v>
      </c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</row>
    <row r="155" spans="1:26" x14ac:dyDescent="0.2">
      <c r="A155" s="113" t="e">
        <f t="shared" ref="A155:H155" si="13">#REF!</f>
        <v>#REF!</v>
      </c>
      <c r="B155" s="113" t="e">
        <f t="shared" si="13"/>
        <v>#REF!</v>
      </c>
      <c r="C155" s="115" t="e">
        <f t="shared" si="13"/>
        <v>#REF!</v>
      </c>
      <c r="D155" s="115" t="e">
        <f t="shared" si="13"/>
        <v>#REF!</v>
      </c>
      <c r="E155" s="115" t="e">
        <f t="shared" si="13"/>
        <v>#REF!</v>
      </c>
      <c r="F155" s="115" t="e">
        <f t="shared" si="13"/>
        <v>#REF!</v>
      </c>
      <c r="G155" s="115" t="e">
        <f t="shared" si="13"/>
        <v>#REF!</v>
      </c>
      <c r="H155" s="115" t="e">
        <f t="shared" si="13"/>
        <v>#REF!</v>
      </c>
      <c r="I155" s="115"/>
      <c r="J155" s="115" t="e">
        <f t="shared" si="9"/>
        <v>#REF!</v>
      </c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</row>
    <row r="156" spans="1:26" x14ac:dyDescent="0.2">
      <c r="A156" s="113" t="e">
        <f t="shared" ref="A156:H156" si="14">#REF!</f>
        <v>#REF!</v>
      </c>
      <c r="B156" s="113" t="e">
        <f t="shared" si="14"/>
        <v>#REF!</v>
      </c>
      <c r="C156" s="115" t="e">
        <f t="shared" si="14"/>
        <v>#REF!</v>
      </c>
      <c r="D156" s="115" t="e">
        <f t="shared" si="14"/>
        <v>#REF!</v>
      </c>
      <c r="E156" s="115" t="e">
        <f t="shared" si="14"/>
        <v>#REF!</v>
      </c>
      <c r="F156" s="115" t="e">
        <f t="shared" si="14"/>
        <v>#REF!</v>
      </c>
      <c r="G156" s="115" t="e">
        <f t="shared" si="14"/>
        <v>#REF!</v>
      </c>
      <c r="H156" s="115" t="e">
        <f t="shared" si="14"/>
        <v>#REF!</v>
      </c>
      <c r="I156" s="115"/>
      <c r="J156" s="115" t="e">
        <f t="shared" si="9"/>
        <v>#REF!</v>
      </c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</row>
    <row r="157" spans="1:26" x14ac:dyDescent="0.2">
      <c r="A157" s="113" t="e">
        <f t="shared" ref="A157:H157" si="15">#REF!</f>
        <v>#REF!</v>
      </c>
      <c r="B157" s="113" t="e">
        <f t="shared" si="15"/>
        <v>#REF!</v>
      </c>
      <c r="C157" s="115" t="e">
        <f t="shared" si="15"/>
        <v>#REF!</v>
      </c>
      <c r="D157" s="115" t="e">
        <f t="shared" si="15"/>
        <v>#REF!</v>
      </c>
      <c r="E157" s="115" t="e">
        <f t="shared" si="15"/>
        <v>#REF!</v>
      </c>
      <c r="F157" s="115" t="e">
        <f t="shared" si="15"/>
        <v>#REF!</v>
      </c>
      <c r="G157" s="115" t="e">
        <f t="shared" si="15"/>
        <v>#REF!</v>
      </c>
      <c r="H157" s="115" t="e">
        <f t="shared" si="15"/>
        <v>#REF!</v>
      </c>
      <c r="I157" s="115"/>
      <c r="J157" s="115" t="e">
        <f t="shared" si="9"/>
        <v>#REF!</v>
      </c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</row>
    <row r="158" spans="1:26" x14ac:dyDescent="0.2">
      <c r="A158" s="113" t="e">
        <f t="shared" ref="A158:H158" si="16">#REF!</f>
        <v>#REF!</v>
      </c>
      <c r="B158" s="113" t="e">
        <f t="shared" si="16"/>
        <v>#REF!</v>
      </c>
      <c r="C158" s="115" t="e">
        <f t="shared" si="16"/>
        <v>#REF!</v>
      </c>
      <c r="D158" s="115" t="e">
        <f t="shared" si="16"/>
        <v>#REF!</v>
      </c>
      <c r="E158" s="115" t="e">
        <f t="shared" si="16"/>
        <v>#REF!</v>
      </c>
      <c r="F158" s="115" t="e">
        <f t="shared" si="16"/>
        <v>#REF!</v>
      </c>
      <c r="G158" s="115" t="e">
        <f t="shared" si="16"/>
        <v>#REF!</v>
      </c>
      <c r="H158" s="115" t="e">
        <f t="shared" si="16"/>
        <v>#REF!</v>
      </c>
      <c r="I158" s="115"/>
      <c r="J158" s="115" t="e">
        <f t="shared" si="9"/>
        <v>#REF!</v>
      </c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</row>
    <row r="159" spans="1:26" x14ac:dyDescent="0.2">
      <c r="A159" s="113" t="e">
        <f t="shared" ref="A159:H159" si="17">#REF!</f>
        <v>#REF!</v>
      </c>
      <c r="B159" s="113" t="e">
        <f t="shared" si="17"/>
        <v>#REF!</v>
      </c>
      <c r="C159" s="115" t="e">
        <f t="shared" si="17"/>
        <v>#REF!</v>
      </c>
      <c r="D159" s="115" t="e">
        <f t="shared" si="17"/>
        <v>#REF!</v>
      </c>
      <c r="E159" s="115" t="e">
        <f t="shared" si="17"/>
        <v>#REF!</v>
      </c>
      <c r="F159" s="115" t="e">
        <f t="shared" si="17"/>
        <v>#REF!</v>
      </c>
      <c r="G159" s="115" t="e">
        <f t="shared" si="17"/>
        <v>#REF!</v>
      </c>
      <c r="H159" s="115" t="e">
        <f t="shared" si="17"/>
        <v>#REF!</v>
      </c>
      <c r="I159" s="115"/>
      <c r="J159" s="115" t="e">
        <f t="shared" si="9"/>
        <v>#REF!</v>
      </c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</row>
    <row r="160" spans="1:26" x14ac:dyDescent="0.2">
      <c r="A160" s="113" t="e">
        <f t="shared" ref="A160:H160" si="18">#REF!</f>
        <v>#REF!</v>
      </c>
      <c r="B160" s="113" t="e">
        <f t="shared" si="18"/>
        <v>#REF!</v>
      </c>
      <c r="C160" s="115" t="e">
        <f t="shared" si="18"/>
        <v>#REF!</v>
      </c>
      <c r="D160" s="115" t="e">
        <f t="shared" si="18"/>
        <v>#REF!</v>
      </c>
      <c r="E160" s="115" t="e">
        <f t="shared" si="18"/>
        <v>#REF!</v>
      </c>
      <c r="F160" s="115" t="e">
        <f t="shared" si="18"/>
        <v>#REF!</v>
      </c>
      <c r="G160" s="115" t="e">
        <f t="shared" si="18"/>
        <v>#REF!</v>
      </c>
      <c r="H160" s="115" t="e">
        <f t="shared" si="18"/>
        <v>#REF!</v>
      </c>
      <c r="I160" s="115"/>
      <c r="J160" s="115" t="e">
        <f t="shared" si="9"/>
        <v>#REF!</v>
      </c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</row>
    <row r="161" spans="1:26" x14ac:dyDescent="0.2">
      <c r="A161" s="113" t="e">
        <f t="shared" ref="A161:H161" si="19">#REF!</f>
        <v>#REF!</v>
      </c>
      <c r="B161" s="113" t="e">
        <f t="shared" si="19"/>
        <v>#REF!</v>
      </c>
      <c r="C161" s="115" t="e">
        <f t="shared" si="19"/>
        <v>#REF!</v>
      </c>
      <c r="D161" s="115" t="e">
        <f t="shared" si="19"/>
        <v>#REF!</v>
      </c>
      <c r="E161" s="115" t="e">
        <f t="shared" si="19"/>
        <v>#REF!</v>
      </c>
      <c r="F161" s="115" t="e">
        <f t="shared" si="19"/>
        <v>#REF!</v>
      </c>
      <c r="G161" s="115" t="e">
        <f t="shared" si="19"/>
        <v>#REF!</v>
      </c>
      <c r="H161" s="115" t="e">
        <f t="shared" si="19"/>
        <v>#REF!</v>
      </c>
      <c r="I161" s="115"/>
      <c r="J161" s="115" t="e">
        <f t="shared" si="9"/>
        <v>#REF!</v>
      </c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</row>
    <row r="162" spans="1:26" x14ac:dyDescent="0.2">
      <c r="A162" s="113" t="e">
        <f t="shared" ref="A162:H162" si="20">#REF!</f>
        <v>#REF!</v>
      </c>
      <c r="B162" s="113" t="e">
        <f t="shared" si="20"/>
        <v>#REF!</v>
      </c>
      <c r="C162" s="115" t="e">
        <f t="shared" si="20"/>
        <v>#REF!</v>
      </c>
      <c r="D162" s="115" t="e">
        <f t="shared" si="20"/>
        <v>#REF!</v>
      </c>
      <c r="E162" s="115" t="e">
        <f t="shared" si="20"/>
        <v>#REF!</v>
      </c>
      <c r="F162" s="115" t="e">
        <f t="shared" si="20"/>
        <v>#REF!</v>
      </c>
      <c r="G162" s="115" t="e">
        <f t="shared" si="20"/>
        <v>#REF!</v>
      </c>
      <c r="H162" s="115" t="e">
        <f t="shared" si="20"/>
        <v>#REF!</v>
      </c>
      <c r="I162" s="115"/>
      <c r="J162" s="115" t="e">
        <f t="shared" si="9"/>
        <v>#REF!</v>
      </c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</row>
    <row r="163" spans="1:26" x14ac:dyDescent="0.2">
      <c r="A163" s="113" t="e">
        <f t="shared" ref="A163:H163" si="21">#REF!</f>
        <v>#REF!</v>
      </c>
      <c r="B163" s="113" t="e">
        <f t="shared" si="21"/>
        <v>#REF!</v>
      </c>
      <c r="C163" s="115" t="e">
        <f t="shared" si="21"/>
        <v>#REF!</v>
      </c>
      <c r="D163" s="115" t="e">
        <f t="shared" si="21"/>
        <v>#REF!</v>
      </c>
      <c r="E163" s="115" t="e">
        <f t="shared" si="21"/>
        <v>#REF!</v>
      </c>
      <c r="F163" s="115" t="e">
        <f t="shared" si="21"/>
        <v>#REF!</v>
      </c>
      <c r="G163" s="115" t="e">
        <f t="shared" si="21"/>
        <v>#REF!</v>
      </c>
      <c r="H163" s="115" t="e">
        <f t="shared" si="21"/>
        <v>#REF!</v>
      </c>
      <c r="I163" s="115"/>
      <c r="J163" s="115" t="e">
        <f t="shared" si="9"/>
        <v>#REF!</v>
      </c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</row>
    <row r="164" spans="1:26" x14ac:dyDescent="0.2">
      <c r="A164" s="113" t="e">
        <f t="shared" ref="A164:H164" si="22">#REF!</f>
        <v>#REF!</v>
      </c>
      <c r="B164" s="113" t="e">
        <f t="shared" si="22"/>
        <v>#REF!</v>
      </c>
      <c r="C164" s="115" t="e">
        <f t="shared" si="22"/>
        <v>#REF!</v>
      </c>
      <c r="D164" s="115" t="e">
        <f t="shared" si="22"/>
        <v>#REF!</v>
      </c>
      <c r="E164" s="115" t="e">
        <f t="shared" si="22"/>
        <v>#REF!</v>
      </c>
      <c r="F164" s="115" t="e">
        <f t="shared" si="22"/>
        <v>#REF!</v>
      </c>
      <c r="G164" s="115" t="e">
        <f t="shared" si="22"/>
        <v>#REF!</v>
      </c>
      <c r="H164" s="115" t="e">
        <f t="shared" si="22"/>
        <v>#REF!</v>
      </c>
      <c r="I164" s="115"/>
      <c r="J164" s="115" t="e">
        <f t="shared" si="9"/>
        <v>#REF!</v>
      </c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</row>
    <row r="165" spans="1:26" x14ac:dyDescent="0.2">
      <c r="A165" s="113" t="e">
        <f t="shared" ref="A165:H165" si="23">#REF!</f>
        <v>#REF!</v>
      </c>
      <c r="B165" s="113" t="e">
        <f t="shared" si="23"/>
        <v>#REF!</v>
      </c>
      <c r="C165" s="115" t="e">
        <f t="shared" si="23"/>
        <v>#REF!</v>
      </c>
      <c r="D165" s="115" t="e">
        <f t="shared" si="23"/>
        <v>#REF!</v>
      </c>
      <c r="E165" s="115" t="e">
        <f t="shared" si="23"/>
        <v>#REF!</v>
      </c>
      <c r="F165" s="115" t="e">
        <f t="shared" si="23"/>
        <v>#REF!</v>
      </c>
      <c r="G165" s="115" t="e">
        <f t="shared" si="23"/>
        <v>#REF!</v>
      </c>
      <c r="H165" s="115" t="e">
        <f t="shared" si="23"/>
        <v>#REF!</v>
      </c>
      <c r="I165" s="115"/>
      <c r="J165" s="115" t="e">
        <f t="shared" si="9"/>
        <v>#REF!</v>
      </c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</row>
    <row r="166" spans="1:26" x14ac:dyDescent="0.2">
      <c r="A166" s="113" t="e">
        <f t="shared" ref="A166:H166" si="24">#REF!</f>
        <v>#REF!</v>
      </c>
      <c r="B166" s="113" t="e">
        <f t="shared" si="24"/>
        <v>#REF!</v>
      </c>
      <c r="C166" s="115" t="e">
        <f t="shared" si="24"/>
        <v>#REF!</v>
      </c>
      <c r="D166" s="115" t="e">
        <f t="shared" si="24"/>
        <v>#REF!</v>
      </c>
      <c r="E166" s="115" t="e">
        <f t="shared" si="24"/>
        <v>#REF!</v>
      </c>
      <c r="F166" s="115" t="e">
        <f t="shared" si="24"/>
        <v>#REF!</v>
      </c>
      <c r="G166" s="115" t="e">
        <f t="shared" si="24"/>
        <v>#REF!</v>
      </c>
      <c r="H166" s="115" t="e">
        <f t="shared" si="24"/>
        <v>#REF!</v>
      </c>
      <c r="I166" s="115"/>
      <c r="J166" s="115" t="e">
        <f t="shared" si="9"/>
        <v>#REF!</v>
      </c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</row>
    <row r="167" spans="1:26" x14ac:dyDescent="0.2">
      <c r="A167" s="113" t="e">
        <f t="shared" ref="A167:H167" si="25">#REF!</f>
        <v>#REF!</v>
      </c>
      <c r="B167" s="113" t="e">
        <f t="shared" si="25"/>
        <v>#REF!</v>
      </c>
      <c r="C167" s="115" t="e">
        <f t="shared" si="25"/>
        <v>#REF!</v>
      </c>
      <c r="D167" s="115" t="e">
        <f t="shared" si="25"/>
        <v>#REF!</v>
      </c>
      <c r="E167" s="115" t="e">
        <f t="shared" si="25"/>
        <v>#REF!</v>
      </c>
      <c r="F167" s="115" t="e">
        <f t="shared" si="25"/>
        <v>#REF!</v>
      </c>
      <c r="G167" s="115" t="e">
        <f t="shared" si="25"/>
        <v>#REF!</v>
      </c>
      <c r="H167" s="115" t="e">
        <f t="shared" si="25"/>
        <v>#REF!</v>
      </c>
      <c r="I167" s="115"/>
      <c r="J167" s="115" t="e">
        <f t="shared" si="9"/>
        <v>#REF!</v>
      </c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</row>
    <row r="168" spans="1:26" x14ac:dyDescent="0.2">
      <c r="A168" s="113" t="e">
        <f t="shared" ref="A168:H168" si="26">#REF!</f>
        <v>#REF!</v>
      </c>
      <c r="B168" s="113" t="e">
        <f t="shared" si="26"/>
        <v>#REF!</v>
      </c>
      <c r="C168" s="115" t="e">
        <f t="shared" si="26"/>
        <v>#REF!</v>
      </c>
      <c r="D168" s="115" t="e">
        <f t="shared" si="26"/>
        <v>#REF!</v>
      </c>
      <c r="E168" s="115" t="e">
        <f t="shared" si="26"/>
        <v>#REF!</v>
      </c>
      <c r="F168" s="115" t="e">
        <f t="shared" si="26"/>
        <v>#REF!</v>
      </c>
      <c r="G168" s="115" t="e">
        <f t="shared" si="26"/>
        <v>#REF!</v>
      </c>
      <c r="H168" s="115" t="e">
        <f t="shared" si="26"/>
        <v>#REF!</v>
      </c>
      <c r="I168" s="115"/>
      <c r="J168" s="115" t="e">
        <f t="shared" si="9"/>
        <v>#REF!</v>
      </c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</row>
    <row r="169" spans="1:26" x14ac:dyDescent="0.2">
      <c r="A169" s="113" t="e">
        <f t="shared" ref="A169:H169" si="27">#REF!</f>
        <v>#REF!</v>
      </c>
      <c r="B169" s="113" t="e">
        <f t="shared" si="27"/>
        <v>#REF!</v>
      </c>
      <c r="C169" s="115" t="e">
        <f t="shared" si="27"/>
        <v>#REF!</v>
      </c>
      <c r="D169" s="115" t="e">
        <f t="shared" si="27"/>
        <v>#REF!</v>
      </c>
      <c r="E169" s="115" t="e">
        <f t="shared" si="27"/>
        <v>#REF!</v>
      </c>
      <c r="F169" s="115" t="e">
        <f t="shared" si="27"/>
        <v>#REF!</v>
      </c>
      <c r="G169" s="115" t="e">
        <f t="shared" si="27"/>
        <v>#REF!</v>
      </c>
      <c r="H169" s="115" t="e">
        <f t="shared" si="27"/>
        <v>#REF!</v>
      </c>
      <c r="I169" s="115"/>
      <c r="J169" s="115" t="e">
        <f t="shared" si="9"/>
        <v>#REF!</v>
      </c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</row>
    <row r="170" spans="1:26" x14ac:dyDescent="0.2">
      <c r="A170" s="113" t="e">
        <f t="shared" ref="A170:H170" si="28">#REF!</f>
        <v>#REF!</v>
      </c>
      <c r="B170" s="113" t="e">
        <f t="shared" si="28"/>
        <v>#REF!</v>
      </c>
      <c r="C170" s="115" t="e">
        <f t="shared" si="28"/>
        <v>#REF!</v>
      </c>
      <c r="D170" s="115" t="e">
        <f t="shared" si="28"/>
        <v>#REF!</v>
      </c>
      <c r="E170" s="115" t="e">
        <f t="shared" si="28"/>
        <v>#REF!</v>
      </c>
      <c r="F170" s="115" t="e">
        <f t="shared" si="28"/>
        <v>#REF!</v>
      </c>
      <c r="G170" s="115" t="e">
        <f t="shared" si="28"/>
        <v>#REF!</v>
      </c>
      <c r="H170" s="115" t="e">
        <f t="shared" si="28"/>
        <v>#REF!</v>
      </c>
      <c r="I170" s="115"/>
      <c r="J170" s="115" t="e">
        <f t="shared" si="9"/>
        <v>#REF!</v>
      </c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</row>
    <row r="171" spans="1:26" x14ac:dyDescent="0.2">
      <c r="A171" s="113" t="e">
        <f t="shared" ref="A171:H171" si="29">#REF!</f>
        <v>#REF!</v>
      </c>
      <c r="B171" s="113" t="e">
        <f t="shared" si="29"/>
        <v>#REF!</v>
      </c>
      <c r="C171" s="115" t="e">
        <f t="shared" si="29"/>
        <v>#REF!</v>
      </c>
      <c r="D171" s="115" t="e">
        <f t="shared" si="29"/>
        <v>#REF!</v>
      </c>
      <c r="E171" s="115" t="e">
        <f t="shared" si="29"/>
        <v>#REF!</v>
      </c>
      <c r="F171" s="115" t="e">
        <f t="shared" si="29"/>
        <v>#REF!</v>
      </c>
      <c r="G171" s="115" t="e">
        <f t="shared" si="29"/>
        <v>#REF!</v>
      </c>
      <c r="H171" s="115" t="e">
        <f t="shared" si="29"/>
        <v>#REF!</v>
      </c>
      <c r="I171" s="115"/>
      <c r="J171" s="115" t="e">
        <f t="shared" si="9"/>
        <v>#REF!</v>
      </c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</row>
    <row r="172" spans="1:26" x14ac:dyDescent="0.2">
      <c r="A172" s="113" t="e">
        <f t="shared" ref="A172:H172" si="30">#REF!</f>
        <v>#REF!</v>
      </c>
      <c r="B172" s="113" t="e">
        <f t="shared" si="30"/>
        <v>#REF!</v>
      </c>
      <c r="C172" s="115" t="e">
        <f t="shared" si="30"/>
        <v>#REF!</v>
      </c>
      <c r="D172" s="115" t="e">
        <f t="shared" si="30"/>
        <v>#REF!</v>
      </c>
      <c r="E172" s="115" t="e">
        <f t="shared" si="30"/>
        <v>#REF!</v>
      </c>
      <c r="F172" s="115" t="e">
        <f t="shared" si="30"/>
        <v>#REF!</v>
      </c>
      <c r="G172" s="115" t="e">
        <f t="shared" si="30"/>
        <v>#REF!</v>
      </c>
      <c r="H172" s="115" t="e">
        <f t="shared" si="30"/>
        <v>#REF!</v>
      </c>
      <c r="I172" s="115"/>
      <c r="J172" s="115" t="e">
        <f t="shared" si="9"/>
        <v>#REF!</v>
      </c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</row>
    <row r="173" spans="1:26" x14ac:dyDescent="0.2">
      <c r="A173" s="113" t="e">
        <f t="shared" ref="A173:H173" si="31">#REF!</f>
        <v>#REF!</v>
      </c>
      <c r="B173" s="113" t="e">
        <f t="shared" si="31"/>
        <v>#REF!</v>
      </c>
      <c r="C173" s="115" t="e">
        <f t="shared" si="31"/>
        <v>#REF!</v>
      </c>
      <c r="D173" s="115" t="e">
        <f t="shared" si="31"/>
        <v>#REF!</v>
      </c>
      <c r="E173" s="115" t="e">
        <f t="shared" si="31"/>
        <v>#REF!</v>
      </c>
      <c r="F173" s="115" t="e">
        <f t="shared" si="31"/>
        <v>#REF!</v>
      </c>
      <c r="G173" s="115" t="e">
        <f t="shared" si="31"/>
        <v>#REF!</v>
      </c>
      <c r="H173" s="115" t="e">
        <f t="shared" si="31"/>
        <v>#REF!</v>
      </c>
      <c r="I173" s="115"/>
      <c r="J173" s="115" t="e">
        <f t="shared" si="9"/>
        <v>#REF!</v>
      </c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</row>
    <row r="174" spans="1:26" x14ac:dyDescent="0.2">
      <c r="A174" s="113" t="e">
        <f t="shared" ref="A174:H174" si="32">#REF!</f>
        <v>#REF!</v>
      </c>
      <c r="B174" s="113" t="e">
        <f t="shared" si="32"/>
        <v>#REF!</v>
      </c>
      <c r="C174" s="115" t="e">
        <f t="shared" si="32"/>
        <v>#REF!</v>
      </c>
      <c r="D174" s="115" t="e">
        <f t="shared" si="32"/>
        <v>#REF!</v>
      </c>
      <c r="E174" s="115" t="e">
        <f t="shared" si="32"/>
        <v>#REF!</v>
      </c>
      <c r="F174" s="115" t="e">
        <f t="shared" si="32"/>
        <v>#REF!</v>
      </c>
      <c r="G174" s="115" t="e">
        <f t="shared" si="32"/>
        <v>#REF!</v>
      </c>
      <c r="H174" s="115" t="e">
        <f t="shared" si="32"/>
        <v>#REF!</v>
      </c>
      <c r="I174" s="115"/>
      <c r="J174" s="115" t="e">
        <f t="shared" si="9"/>
        <v>#REF!</v>
      </c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</row>
    <row r="175" spans="1:26" x14ac:dyDescent="0.2">
      <c r="A175" s="113" t="e">
        <f>'THE BOARD'!#REF!</f>
        <v>#REF!</v>
      </c>
      <c r="B175" s="113" t="e">
        <f>'THE BOARD'!#REF!</f>
        <v>#REF!</v>
      </c>
      <c r="C175" s="116" t="e">
        <f>'THE BOARD'!#REF!</f>
        <v>#REF!</v>
      </c>
      <c r="D175" s="115" t="e">
        <f>'THE BOARD'!#REF!</f>
        <v>#REF!</v>
      </c>
      <c r="E175" s="115" t="e">
        <f>'THE BOARD'!#REF!</f>
        <v>#REF!</v>
      </c>
      <c r="F175" s="115" t="e">
        <f>'THE BOARD'!#REF!</f>
        <v>#REF!</v>
      </c>
      <c r="G175" s="115" t="e">
        <f>'THE BOARD'!#REF!</f>
        <v>#REF!</v>
      </c>
      <c r="H175" s="115" t="e">
        <f>'THE BOARD'!#REF!</f>
        <v>#REF!</v>
      </c>
      <c r="I175" s="115"/>
      <c r="J175" s="115" t="e">
        <f>'THE BOARD'!#REF!</f>
        <v>#REF!</v>
      </c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</row>
    <row r="176" spans="1:26" x14ac:dyDescent="0.2">
      <c r="A176" s="113" t="e">
        <f t="shared" ref="A176:H176" si="33">#REF!</f>
        <v>#REF!</v>
      </c>
      <c r="B176" s="113" t="e">
        <f t="shared" si="33"/>
        <v>#REF!</v>
      </c>
      <c r="C176" s="115" t="e">
        <f t="shared" si="33"/>
        <v>#REF!</v>
      </c>
      <c r="D176" s="115" t="e">
        <f t="shared" si="33"/>
        <v>#REF!</v>
      </c>
      <c r="E176" s="115" t="e">
        <f t="shared" si="33"/>
        <v>#REF!</v>
      </c>
      <c r="F176" s="115" t="e">
        <f t="shared" si="33"/>
        <v>#REF!</v>
      </c>
      <c r="G176" s="115" t="e">
        <f t="shared" si="33"/>
        <v>#REF!</v>
      </c>
      <c r="H176" s="115" t="e">
        <f t="shared" si="33"/>
        <v>#REF!</v>
      </c>
      <c r="I176" s="115"/>
      <c r="J176" s="115" t="e">
        <f>#REF!</f>
        <v>#REF!</v>
      </c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</row>
    <row r="177" spans="1:26" x14ac:dyDescent="0.2">
      <c r="A177" s="113" t="e">
        <f>'THE BOARD'!#REF!</f>
        <v>#REF!</v>
      </c>
      <c r="B177" s="113" t="e">
        <f>'THE BOARD'!#REF!</f>
        <v>#REF!</v>
      </c>
      <c r="C177" s="116" t="e">
        <f>'THE BOARD'!#REF!</f>
        <v>#REF!</v>
      </c>
      <c r="D177" s="115" t="e">
        <f>'THE BOARD'!#REF!</f>
        <v>#REF!</v>
      </c>
      <c r="E177" s="115" t="e">
        <f>'THE BOARD'!#REF!</f>
        <v>#REF!</v>
      </c>
      <c r="F177" s="115" t="e">
        <f>'THE BOARD'!#REF!</f>
        <v>#REF!</v>
      </c>
      <c r="G177" s="115" t="e">
        <f>'THE BOARD'!#REF!</f>
        <v>#REF!</v>
      </c>
      <c r="H177" s="115" t="e">
        <f>'THE BOARD'!#REF!</f>
        <v>#REF!</v>
      </c>
      <c r="I177" s="115"/>
      <c r="J177" s="115" t="e">
        <f>'THE BOARD'!#REF!</f>
        <v>#REF!</v>
      </c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</row>
    <row r="178" spans="1:26" x14ac:dyDescent="0.2">
      <c r="A178" s="113" t="e">
        <f>'THE BOARD'!#REF!</f>
        <v>#REF!</v>
      </c>
      <c r="B178" s="113" t="e">
        <f>'THE BOARD'!#REF!</f>
        <v>#REF!</v>
      </c>
      <c r="C178" s="116" t="e">
        <f>'THE BOARD'!#REF!</f>
        <v>#REF!</v>
      </c>
      <c r="D178" s="115" t="e">
        <f>'THE BOARD'!#REF!</f>
        <v>#REF!</v>
      </c>
      <c r="E178" s="115" t="e">
        <f>'THE BOARD'!#REF!</f>
        <v>#REF!</v>
      </c>
      <c r="F178" s="115" t="e">
        <f>'THE BOARD'!#REF!</f>
        <v>#REF!</v>
      </c>
      <c r="G178" s="115" t="e">
        <f>'THE BOARD'!#REF!</f>
        <v>#REF!</v>
      </c>
      <c r="H178" s="115" t="e">
        <f>'THE BOARD'!#REF!</f>
        <v>#REF!</v>
      </c>
      <c r="I178" s="115"/>
      <c r="J178" s="115" t="e">
        <f>'THE BOARD'!#REF!</f>
        <v>#REF!</v>
      </c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</row>
    <row r="179" spans="1:26" x14ac:dyDescent="0.2">
      <c r="A179" s="113" t="e">
        <f>'THE BOARD'!#REF!</f>
        <v>#REF!</v>
      </c>
      <c r="B179" s="113" t="e">
        <f>'THE BOARD'!#REF!</f>
        <v>#REF!</v>
      </c>
      <c r="C179" s="116" t="e">
        <f>'THE BOARD'!#REF!</f>
        <v>#REF!</v>
      </c>
      <c r="D179" s="115" t="e">
        <f>'THE BOARD'!#REF!</f>
        <v>#REF!</v>
      </c>
      <c r="E179" s="115" t="e">
        <f>'THE BOARD'!#REF!</f>
        <v>#REF!</v>
      </c>
      <c r="F179" s="115" t="e">
        <f>'THE BOARD'!#REF!</f>
        <v>#REF!</v>
      </c>
      <c r="G179" s="115" t="e">
        <f>'THE BOARD'!#REF!</f>
        <v>#REF!</v>
      </c>
      <c r="H179" s="115" t="e">
        <f>'THE BOARD'!#REF!</f>
        <v>#REF!</v>
      </c>
      <c r="I179" s="115"/>
      <c r="J179" s="115" t="e">
        <f>'THE BOARD'!#REF!</f>
        <v>#REF!</v>
      </c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</row>
    <row r="180" spans="1:26" x14ac:dyDescent="0.2">
      <c r="A180" s="113" t="e">
        <f t="shared" ref="A180:H180" si="34">#REF!</f>
        <v>#REF!</v>
      </c>
      <c r="B180" s="113" t="e">
        <f t="shared" si="34"/>
        <v>#REF!</v>
      </c>
      <c r="C180" s="115" t="e">
        <f t="shared" si="34"/>
        <v>#REF!</v>
      </c>
      <c r="D180" s="115" t="e">
        <f t="shared" si="34"/>
        <v>#REF!</v>
      </c>
      <c r="E180" s="115" t="e">
        <f t="shared" si="34"/>
        <v>#REF!</v>
      </c>
      <c r="F180" s="115" t="e">
        <f t="shared" si="34"/>
        <v>#REF!</v>
      </c>
      <c r="G180" s="115" t="e">
        <f t="shared" si="34"/>
        <v>#REF!</v>
      </c>
      <c r="H180" s="115" t="e">
        <f t="shared" si="34"/>
        <v>#REF!</v>
      </c>
      <c r="I180" s="115"/>
      <c r="J180" s="115" t="e">
        <f t="shared" ref="J180:J201" si="35">#REF!</f>
        <v>#REF!</v>
      </c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</row>
    <row r="181" spans="1:26" x14ac:dyDescent="0.2">
      <c r="A181" s="113" t="e">
        <f t="shared" ref="A181:H181" si="36">#REF!</f>
        <v>#REF!</v>
      </c>
      <c r="B181" s="113" t="e">
        <f t="shared" si="36"/>
        <v>#REF!</v>
      </c>
      <c r="C181" s="115" t="e">
        <f t="shared" si="36"/>
        <v>#REF!</v>
      </c>
      <c r="D181" s="115" t="e">
        <f t="shared" si="36"/>
        <v>#REF!</v>
      </c>
      <c r="E181" s="115" t="e">
        <f t="shared" si="36"/>
        <v>#REF!</v>
      </c>
      <c r="F181" s="115" t="e">
        <f t="shared" si="36"/>
        <v>#REF!</v>
      </c>
      <c r="G181" s="115" t="e">
        <f t="shared" si="36"/>
        <v>#REF!</v>
      </c>
      <c r="H181" s="115" t="e">
        <f t="shared" si="36"/>
        <v>#REF!</v>
      </c>
      <c r="I181" s="115"/>
      <c r="J181" s="115" t="e">
        <f t="shared" si="35"/>
        <v>#REF!</v>
      </c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</row>
    <row r="182" spans="1:26" x14ac:dyDescent="0.2">
      <c r="A182" s="113" t="e">
        <f t="shared" ref="A182:H182" si="37">#REF!</f>
        <v>#REF!</v>
      </c>
      <c r="B182" s="113" t="e">
        <f t="shared" si="37"/>
        <v>#REF!</v>
      </c>
      <c r="C182" s="115" t="e">
        <f t="shared" si="37"/>
        <v>#REF!</v>
      </c>
      <c r="D182" s="115" t="e">
        <f t="shared" si="37"/>
        <v>#REF!</v>
      </c>
      <c r="E182" s="115" t="e">
        <f t="shared" si="37"/>
        <v>#REF!</v>
      </c>
      <c r="F182" s="115" t="e">
        <f t="shared" si="37"/>
        <v>#REF!</v>
      </c>
      <c r="G182" s="115" t="e">
        <f t="shared" si="37"/>
        <v>#REF!</v>
      </c>
      <c r="H182" s="115" t="e">
        <f t="shared" si="37"/>
        <v>#REF!</v>
      </c>
      <c r="I182" s="115"/>
      <c r="J182" s="115" t="e">
        <f t="shared" si="35"/>
        <v>#REF!</v>
      </c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</row>
    <row r="183" spans="1:26" x14ac:dyDescent="0.2">
      <c r="A183" s="113" t="e">
        <f t="shared" ref="A183:H183" si="38">#REF!</f>
        <v>#REF!</v>
      </c>
      <c r="B183" s="113" t="e">
        <f t="shared" si="38"/>
        <v>#REF!</v>
      </c>
      <c r="C183" s="115" t="e">
        <f t="shared" si="38"/>
        <v>#REF!</v>
      </c>
      <c r="D183" s="115" t="e">
        <f t="shared" si="38"/>
        <v>#REF!</v>
      </c>
      <c r="E183" s="115" t="e">
        <f t="shared" si="38"/>
        <v>#REF!</v>
      </c>
      <c r="F183" s="115" t="e">
        <f t="shared" si="38"/>
        <v>#REF!</v>
      </c>
      <c r="G183" s="115" t="e">
        <f t="shared" si="38"/>
        <v>#REF!</v>
      </c>
      <c r="H183" s="115" t="e">
        <f t="shared" si="38"/>
        <v>#REF!</v>
      </c>
      <c r="I183" s="115"/>
      <c r="J183" s="115" t="e">
        <f t="shared" si="35"/>
        <v>#REF!</v>
      </c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</row>
    <row r="184" spans="1:26" x14ac:dyDescent="0.2">
      <c r="A184" s="113" t="e">
        <f t="shared" ref="A184:H184" si="39">#REF!</f>
        <v>#REF!</v>
      </c>
      <c r="B184" s="113" t="e">
        <f t="shared" si="39"/>
        <v>#REF!</v>
      </c>
      <c r="C184" s="115" t="e">
        <f t="shared" si="39"/>
        <v>#REF!</v>
      </c>
      <c r="D184" s="115" t="e">
        <f t="shared" si="39"/>
        <v>#REF!</v>
      </c>
      <c r="E184" s="115" t="e">
        <f t="shared" si="39"/>
        <v>#REF!</v>
      </c>
      <c r="F184" s="115" t="e">
        <f t="shared" si="39"/>
        <v>#REF!</v>
      </c>
      <c r="G184" s="115" t="e">
        <f t="shared" si="39"/>
        <v>#REF!</v>
      </c>
      <c r="H184" s="115" t="e">
        <f t="shared" si="39"/>
        <v>#REF!</v>
      </c>
      <c r="I184" s="115"/>
      <c r="J184" s="115" t="e">
        <f t="shared" si="35"/>
        <v>#REF!</v>
      </c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</row>
    <row r="185" spans="1:26" x14ac:dyDescent="0.2">
      <c r="A185" s="113" t="e">
        <f t="shared" ref="A185:H185" si="40">#REF!</f>
        <v>#REF!</v>
      </c>
      <c r="B185" s="113" t="e">
        <f t="shared" si="40"/>
        <v>#REF!</v>
      </c>
      <c r="C185" s="115" t="e">
        <f t="shared" si="40"/>
        <v>#REF!</v>
      </c>
      <c r="D185" s="115" t="e">
        <f t="shared" si="40"/>
        <v>#REF!</v>
      </c>
      <c r="E185" s="115" t="e">
        <f t="shared" si="40"/>
        <v>#REF!</v>
      </c>
      <c r="F185" s="115" t="e">
        <f t="shared" si="40"/>
        <v>#REF!</v>
      </c>
      <c r="G185" s="115" t="e">
        <f t="shared" si="40"/>
        <v>#REF!</v>
      </c>
      <c r="H185" s="115" t="e">
        <f t="shared" si="40"/>
        <v>#REF!</v>
      </c>
      <c r="I185" s="115"/>
      <c r="J185" s="115" t="e">
        <f t="shared" si="35"/>
        <v>#REF!</v>
      </c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</row>
    <row r="186" spans="1:26" x14ac:dyDescent="0.2">
      <c r="A186" s="113" t="e">
        <f t="shared" ref="A186:H186" si="41">#REF!</f>
        <v>#REF!</v>
      </c>
      <c r="B186" s="113" t="e">
        <f t="shared" si="41"/>
        <v>#REF!</v>
      </c>
      <c r="C186" s="115" t="e">
        <f t="shared" si="41"/>
        <v>#REF!</v>
      </c>
      <c r="D186" s="115" t="e">
        <f t="shared" si="41"/>
        <v>#REF!</v>
      </c>
      <c r="E186" s="115" t="e">
        <f t="shared" si="41"/>
        <v>#REF!</v>
      </c>
      <c r="F186" s="115" t="e">
        <f t="shared" si="41"/>
        <v>#REF!</v>
      </c>
      <c r="G186" s="115" t="e">
        <f t="shared" si="41"/>
        <v>#REF!</v>
      </c>
      <c r="H186" s="115" t="e">
        <f t="shared" si="41"/>
        <v>#REF!</v>
      </c>
      <c r="I186" s="115"/>
      <c r="J186" s="115" t="e">
        <f t="shared" si="35"/>
        <v>#REF!</v>
      </c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</row>
    <row r="187" spans="1:26" x14ac:dyDescent="0.2">
      <c r="A187" s="113" t="e">
        <f t="shared" ref="A187:H187" si="42">#REF!</f>
        <v>#REF!</v>
      </c>
      <c r="B187" s="113" t="e">
        <f t="shared" si="42"/>
        <v>#REF!</v>
      </c>
      <c r="C187" s="115" t="e">
        <f t="shared" si="42"/>
        <v>#REF!</v>
      </c>
      <c r="D187" s="115" t="e">
        <f t="shared" si="42"/>
        <v>#REF!</v>
      </c>
      <c r="E187" s="115" t="e">
        <f t="shared" si="42"/>
        <v>#REF!</v>
      </c>
      <c r="F187" s="115" t="e">
        <f t="shared" si="42"/>
        <v>#REF!</v>
      </c>
      <c r="G187" s="115" t="e">
        <f t="shared" si="42"/>
        <v>#REF!</v>
      </c>
      <c r="H187" s="115" t="e">
        <f t="shared" si="42"/>
        <v>#REF!</v>
      </c>
      <c r="I187" s="115"/>
      <c r="J187" s="115" t="e">
        <f t="shared" si="35"/>
        <v>#REF!</v>
      </c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</row>
    <row r="188" spans="1:26" x14ac:dyDescent="0.2">
      <c r="A188" s="113" t="e">
        <f t="shared" ref="A188:H188" si="43">#REF!</f>
        <v>#REF!</v>
      </c>
      <c r="B188" s="113" t="e">
        <f t="shared" si="43"/>
        <v>#REF!</v>
      </c>
      <c r="C188" s="115" t="e">
        <f t="shared" si="43"/>
        <v>#REF!</v>
      </c>
      <c r="D188" s="115" t="e">
        <f t="shared" si="43"/>
        <v>#REF!</v>
      </c>
      <c r="E188" s="115" t="e">
        <f t="shared" si="43"/>
        <v>#REF!</v>
      </c>
      <c r="F188" s="115" t="e">
        <f t="shared" si="43"/>
        <v>#REF!</v>
      </c>
      <c r="G188" s="115" t="e">
        <f t="shared" si="43"/>
        <v>#REF!</v>
      </c>
      <c r="H188" s="115" t="e">
        <f t="shared" si="43"/>
        <v>#REF!</v>
      </c>
      <c r="I188" s="115"/>
      <c r="J188" s="115" t="e">
        <f t="shared" si="35"/>
        <v>#REF!</v>
      </c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</row>
    <row r="189" spans="1:26" x14ac:dyDescent="0.2">
      <c r="A189" s="113" t="e">
        <f t="shared" ref="A189:H189" si="44">#REF!</f>
        <v>#REF!</v>
      </c>
      <c r="B189" s="113" t="e">
        <f t="shared" si="44"/>
        <v>#REF!</v>
      </c>
      <c r="C189" s="115" t="e">
        <f t="shared" si="44"/>
        <v>#REF!</v>
      </c>
      <c r="D189" s="115" t="e">
        <f t="shared" si="44"/>
        <v>#REF!</v>
      </c>
      <c r="E189" s="115" t="e">
        <f t="shared" si="44"/>
        <v>#REF!</v>
      </c>
      <c r="F189" s="115" t="e">
        <f t="shared" si="44"/>
        <v>#REF!</v>
      </c>
      <c r="G189" s="115" t="e">
        <f t="shared" si="44"/>
        <v>#REF!</v>
      </c>
      <c r="H189" s="115" t="e">
        <f t="shared" si="44"/>
        <v>#REF!</v>
      </c>
      <c r="I189" s="115"/>
      <c r="J189" s="115" t="e">
        <f t="shared" si="35"/>
        <v>#REF!</v>
      </c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</row>
    <row r="190" spans="1:26" x14ac:dyDescent="0.2">
      <c r="A190" s="113" t="e">
        <f t="shared" ref="A190:H190" si="45">#REF!</f>
        <v>#REF!</v>
      </c>
      <c r="B190" s="113" t="e">
        <f t="shared" si="45"/>
        <v>#REF!</v>
      </c>
      <c r="C190" s="115" t="e">
        <f t="shared" si="45"/>
        <v>#REF!</v>
      </c>
      <c r="D190" s="115" t="e">
        <f t="shared" si="45"/>
        <v>#REF!</v>
      </c>
      <c r="E190" s="115" t="e">
        <f t="shared" si="45"/>
        <v>#REF!</v>
      </c>
      <c r="F190" s="115" t="e">
        <f t="shared" si="45"/>
        <v>#REF!</v>
      </c>
      <c r="G190" s="115" t="e">
        <f t="shared" si="45"/>
        <v>#REF!</v>
      </c>
      <c r="H190" s="115" t="e">
        <f t="shared" si="45"/>
        <v>#REF!</v>
      </c>
      <c r="I190" s="115"/>
      <c r="J190" s="115" t="e">
        <f t="shared" si="35"/>
        <v>#REF!</v>
      </c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</row>
    <row r="191" spans="1:26" x14ac:dyDescent="0.2">
      <c r="A191" s="113" t="e">
        <f t="shared" ref="A191:H191" si="46">#REF!</f>
        <v>#REF!</v>
      </c>
      <c r="B191" s="113" t="e">
        <f t="shared" si="46"/>
        <v>#REF!</v>
      </c>
      <c r="C191" s="115" t="e">
        <f t="shared" si="46"/>
        <v>#REF!</v>
      </c>
      <c r="D191" s="115" t="e">
        <f t="shared" si="46"/>
        <v>#REF!</v>
      </c>
      <c r="E191" s="115" t="e">
        <f t="shared" si="46"/>
        <v>#REF!</v>
      </c>
      <c r="F191" s="115" t="e">
        <f t="shared" si="46"/>
        <v>#REF!</v>
      </c>
      <c r="G191" s="115" t="e">
        <f t="shared" si="46"/>
        <v>#REF!</v>
      </c>
      <c r="H191" s="115" t="e">
        <f t="shared" si="46"/>
        <v>#REF!</v>
      </c>
      <c r="I191" s="115"/>
      <c r="J191" s="115" t="e">
        <f t="shared" si="35"/>
        <v>#REF!</v>
      </c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</row>
    <row r="192" spans="1:26" x14ac:dyDescent="0.2">
      <c r="A192" s="113" t="e">
        <f t="shared" ref="A192:H192" si="47">#REF!</f>
        <v>#REF!</v>
      </c>
      <c r="B192" s="113" t="e">
        <f t="shared" si="47"/>
        <v>#REF!</v>
      </c>
      <c r="C192" s="115" t="e">
        <f t="shared" si="47"/>
        <v>#REF!</v>
      </c>
      <c r="D192" s="115" t="e">
        <f t="shared" si="47"/>
        <v>#REF!</v>
      </c>
      <c r="E192" s="115" t="e">
        <f t="shared" si="47"/>
        <v>#REF!</v>
      </c>
      <c r="F192" s="115" t="e">
        <f t="shared" si="47"/>
        <v>#REF!</v>
      </c>
      <c r="G192" s="115" t="e">
        <f t="shared" si="47"/>
        <v>#REF!</v>
      </c>
      <c r="H192" s="115" t="e">
        <f t="shared" si="47"/>
        <v>#REF!</v>
      </c>
      <c r="I192" s="115"/>
      <c r="J192" s="115" t="e">
        <f t="shared" si="35"/>
        <v>#REF!</v>
      </c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</row>
    <row r="193" spans="1:26" x14ac:dyDescent="0.2">
      <c r="A193" s="113" t="e">
        <f t="shared" ref="A193:H193" si="48">#REF!</f>
        <v>#REF!</v>
      </c>
      <c r="B193" s="113" t="e">
        <f t="shared" si="48"/>
        <v>#REF!</v>
      </c>
      <c r="C193" s="115" t="e">
        <f t="shared" si="48"/>
        <v>#REF!</v>
      </c>
      <c r="D193" s="115" t="e">
        <f t="shared" si="48"/>
        <v>#REF!</v>
      </c>
      <c r="E193" s="115" t="e">
        <f t="shared" si="48"/>
        <v>#REF!</v>
      </c>
      <c r="F193" s="115" t="e">
        <f t="shared" si="48"/>
        <v>#REF!</v>
      </c>
      <c r="G193" s="115" t="e">
        <f t="shared" si="48"/>
        <v>#REF!</v>
      </c>
      <c r="H193" s="115" t="e">
        <f t="shared" si="48"/>
        <v>#REF!</v>
      </c>
      <c r="I193" s="115"/>
      <c r="J193" s="115" t="e">
        <f t="shared" si="35"/>
        <v>#REF!</v>
      </c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</row>
    <row r="194" spans="1:26" x14ac:dyDescent="0.2">
      <c r="A194" s="113" t="e">
        <f t="shared" ref="A194:H194" si="49">#REF!</f>
        <v>#REF!</v>
      </c>
      <c r="B194" s="113" t="e">
        <f t="shared" si="49"/>
        <v>#REF!</v>
      </c>
      <c r="C194" s="115" t="e">
        <f t="shared" si="49"/>
        <v>#REF!</v>
      </c>
      <c r="D194" s="115" t="e">
        <f t="shared" si="49"/>
        <v>#REF!</v>
      </c>
      <c r="E194" s="115" t="e">
        <f t="shared" si="49"/>
        <v>#REF!</v>
      </c>
      <c r="F194" s="115" t="e">
        <f t="shared" si="49"/>
        <v>#REF!</v>
      </c>
      <c r="G194" s="115" t="e">
        <f t="shared" si="49"/>
        <v>#REF!</v>
      </c>
      <c r="H194" s="115" t="e">
        <f t="shared" si="49"/>
        <v>#REF!</v>
      </c>
      <c r="I194" s="115"/>
      <c r="J194" s="115" t="e">
        <f t="shared" si="35"/>
        <v>#REF!</v>
      </c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</row>
    <row r="195" spans="1:26" x14ac:dyDescent="0.2">
      <c r="A195" s="113" t="e">
        <f t="shared" ref="A195:H195" si="50">#REF!</f>
        <v>#REF!</v>
      </c>
      <c r="B195" s="113" t="e">
        <f t="shared" si="50"/>
        <v>#REF!</v>
      </c>
      <c r="C195" s="115" t="e">
        <f t="shared" si="50"/>
        <v>#REF!</v>
      </c>
      <c r="D195" s="115" t="e">
        <f t="shared" si="50"/>
        <v>#REF!</v>
      </c>
      <c r="E195" s="115" t="e">
        <f t="shared" si="50"/>
        <v>#REF!</v>
      </c>
      <c r="F195" s="115" t="e">
        <f t="shared" si="50"/>
        <v>#REF!</v>
      </c>
      <c r="G195" s="115" t="e">
        <f t="shared" si="50"/>
        <v>#REF!</v>
      </c>
      <c r="H195" s="115" t="e">
        <f t="shared" si="50"/>
        <v>#REF!</v>
      </c>
      <c r="I195" s="115"/>
      <c r="J195" s="115" t="e">
        <f t="shared" si="35"/>
        <v>#REF!</v>
      </c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</row>
    <row r="196" spans="1:26" x14ac:dyDescent="0.2">
      <c r="A196" s="113" t="e">
        <f t="shared" ref="A196:H196" si="51">#REF!</f>
        <v>#REF!</v>
      </c>
      <c r="B196" s="113" t="e">
        <f t="shared" si="51"/>
        <v>#REF!</v>
      </c>
      <c r="C196" s="115" t="e">
        <f t="shared" si="51"/>
        <v>#REF!</v>
      </c>
      <c r="D196" s="115" t="e">
        <f t="shared" si="51"/>
        <v>#REF!</v>
      </c>
      <c r="E196" s="115" t="e">
        <f t="shared" si="51"/>
        <v>#REF!</v>
      </c>
      <c r="F196" s="115" t="e">
        <f t="shared" si="51"/>
        <v>#REF!</v>
      </c>
      <c r="G196" s="115" t="e">
        <f t="shared" si="51"/>
        <v>#REF!</v>
      </c>
      <c r="H196" s="115" t="e">
        <f t="shared" si="51"/>
        <v>#REF!</v>
      </c>
      <c r="I196" s="115"/>
      <c r="J196" s="115" t="e">
        <f t="shared" si="35"/>
        <v>#REF!</v>
      </c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</row>
    <row r="197" spans="1:26" x14ac:dyDescent="0.2">
      <c r="A197" s="113" t="e">
        <f t="shared" ref="A197:H197" si="52">#REF!</f>
        <v>#REF!</v>
      </c>
      <c r="B197" s="113" t="e">
        <f t="shared" si="52"/>
        <v>#REF!</v>
      </c>
      <c r="C197" s="115" t="e">
        <f t="shared" si="52"/>
        <v>#REF!</v>
      </c>
      <c r="D197" s="115" t="e">
        <f t="shared" si="52"/>
        <v>#REF!</v>
      </c>
      <c r="E197" s="115" t="e">
        <f t="shared" si="52"/>
        <v>#REF!</v>
      </c>
      <c r="F197" s="115" t="e">
        <f t="shared" si="52"/>
        <v>#REF!</v>
      </c>
      <c r="G197" s="115" t="e">
        <f t="shared" si="52"/>
        <v>#REF!</v>
      </c>
      <c r="H197" s="115" t="e">
        <f t="shared" si="52"/>
        <v>#REF!</v>
      </c>
      <c r="I197" s="115"/>
      <c r="J197" s="115" t="e">
        <f t="shared" si="35"/>
        <v>#REF!</v>
      </c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</row>
    <row r="198" spans="1:26" x14ac:dyDescent="0.2">
      <c r="A198" s="113" t="e">
        <f t="shared" ref="A198:H198" si="53">#REF!</f>
        <v>#REF!</v>
      </c>
      <c r="B198" s="113" t="e">
        <f t="shared" si="53"/>
        <v>#REF!</v>
      </c>
      <c r="C198" s="115" t="e">
        <f t="shared" si="53"/>
        <v>#REF!</v>
      </c>
      <c r="D198" s="115" t="e">
        <f t="shared" si="53"/>
        <v>#REF!</v>
      </c>
      <c r="E198" s="115" t="e">
        <f t="shared" si="53"/>
        <v>#REF!</v>
      </c>
      <c r="F198" s="115" t="e">
        <f t="shared" si="53"/>
        <v>#REF!</v>
      </c>
      <c r="G198" s="115" t="e">
        <f t="shared" si="53"/>
        <v>#REF!</v>
      </c>
      <c r="H198" s="115" t="e">
        <f t="shared" si="53"/>
        <v>#REF!</v>
      </c>
      <c r="I198" s="115"/>
      <c r="J198" s="115" t="e">
        <f t="shared" si="35"/>
        <v>#REF!</v>
      </c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</row>
    <row r="199" spans="1:26" x14ac:dyDescent="0.2">
      <c r="A199" s="113" t="e">
        <f t="shared" ref="A199:H199" si="54">#REF!</f>
        <v>#REF!</v>
      </c>
      <c r="B199" s="113" t="e">
        <f t="shared" si="54"/>
        <v>#REF!</v>
      </c>
      <c r="C199" s="115" t="e">
        <f t="shared" si="54"/>
        <v>#REF!</v>
      </c>
      <c r="D199" s="115" t="e">
        <f t="shared" si="54"/>
        <v>#REF!</v>
      </c>
      <c r="E199" s="115" t="e">
        <f t="shared" si="54"/>
        <v>#REF!</v>
      </c>
      <c r="F199" s="115" t="e">
        <f t="shared" si="54"/>
        <v>#REF!</v>
      </c>
      <c r="G199" s="115" t="e">
        <f t="shared" si="54"/>
        <v>#REF!</v>
      </c>
      <c r="H199" s="115" t="e">
        <f t="shared" si="54"/>
        <v>#REF!</v>
      </c>
      <c r="I199" s="115"/>
      <c r="J199" s="115" t="e">
        <f t="shared" si="35"/>
        <v>#REF!</v>
      </c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</row>
    <row r="200" spans="1:26" x14ac:dyDescent="0.2">
      <c r="A200" s="113" t="e">
        <f t="shared" ref="A200:H200" si="55">#REF!</f>
        <v>#REF!</v>
      </c>
      <c r="B200" s="113" t="e">
        <f t="shared" si="55"/>
        <v>#REF!</v>
      </c>
      <c r="C200" s="115" t="e">
        <f t="shared" si="55"/>
        <v>#REF!</v>
      </c>
      <c r="D200" s="115" t="e">
        <f t="shared" si="55"/>
        <v>#REF!</v>
      </c>
      <c r="E200" s="115" t="e">
        <f t="shared" si="55"/>
        <v>#REF!</v>
      </c>
      <c r="F200" s="115" t="e">
        <f t="shared" si="55"/>
        <v>#REF!</v>
      </c>
      <c r="G200" s="115" t="e">
        <f t="shared" si="55"/>
        <v>#REF!</v>
      </c>
      <c r="H200" s="115" t="e">
        <f t="shared" si="55"/>
        <v>#REF!</v>
      </c>
      <c r="I200" s="115"/>
      <c r="J200" s="115" t="e">
        <f t="shared" si="35"/>
        <v>#REF!</v>
      </c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</row>
    <row r="201" spans="1:26" x14ac:dyDescent="0.2">
      <c r="A201" s="113" t="e">
        <f t="shared" ref="A201:H201" si="56">#REF!</f>
        <v>#REF!</v>
      </c>
      <c r="B201" s="113" t="e">
        <f t="shared" si="56"/>
        <v>#REF!</v>
      </c>
      <c r="C201" s="115" t="e">
        <f t="shared" si="56"/>
        <v>#REF!</v>
      </c>
      <c r="D201" s="115" t="e">
        <f t="shared" si="56"/>
        <v>#REF!</v>
      </c>
      <c r="E201" s="115" t="e">
        <f t="shared" si="56"/>
        <v>#REF!</v>
      </c>
      <c r="F201" s="115" t="e">
        <f t="shared" si="56"/>
        <v>#REF!</v>
      </c>
      <c r="G201" s="115" t="e">
        <f t="shared" si="56"/>
        <v>#REF!</v>
      </c>
      <c r="H201" s="115" t="e">
        <f t="shared" si="56"/>
        <v>#REF!</v>
      </c>
      <c r="I201" s="115"/>
      <c r="J201" s="115" t="e">
        <f t="shared" si="35"/>
        <v>#REF!</v>
      </c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</row>
    <row r="202" spans="1:26" x14ac:dyDescent="0.2">
      <c r="A202" s="113" t="e">
        <f>'THE BOARD'!#REF!</f>
        <v>#REF!</v>
      </c>
      <c r="B202" s="113" t="e">
        <f>'THE BOARD'!#REF!</f>
        <v>#REF!</v>
      </c>
      <c r="C202" s="114" t="e">
        <f>'THE BOARD'!#REF!</f>
        <v>#REF!</v>
      </c>
      <c r="D202" s="115" t="e">
        <f>'THE BOARD'!#REF!</f>
        <v>#REF!</v>
      </c>
      <c r="E202" s="115" t="e">
        <f>'THE BOARD'!#REF!</f>
        <v>#REF!</v>
      </c>
      <c r="F202" s="115" t="e">
        <f>'THE BOARD'!#REF!</f>
        <v>#REF!</v>
      </c>
      <c r="G202" s="115" t="e">
        <f>'THE BOARD'!#REF!</f>
        <v>#REF!</v>
      </c>
      <c r="H202" s="115" t="e">
        <f>'THE BOARD'!#REF!</f>
        <v>#REF!</v>
      </c>
      <c r="I202" s="115"/>
      <c r="J202" s="115" t="e">
        <f>'THE BOARD'!#REF!</f>
        <v>#REF!</v>
      </c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</row>
    <row r="203" spans="1:26" x14ac:dyDescent="0.2">
      <c r="A203" s="113" t="e">
        <f t="shared" ref="A203:H203" si="57">#REF!</f>
        <v>#REF!</v>
      </c>
      <c r="B203" s="113" t="e">
        <f t="shared" si="57"/>
        <v>#REF!</v>
      </c>
      <c r="C203" s="115" t="e">
        <f t="shared" si="57"/>
        <v>#REF!</v>
      </c>
      <c r="D203" s="115" t="e">
        <f t="shared" si="57"/>
        <v>#REF!</v>
      </c>
      <c r="E203" s="115" t="e">
        <f t="shared" si="57"/>
        <v>#REF!</v>
      </c>
      <c r="F203" s="115" t="e">
        <f t="shared" si="57"/>
        <v>#REF!</v>
      </c>
      <c r="G203" s="115" t="e">
        <f t="shared" si="57"/>
        <v>#REF!</v>
      </c>
      <c r="H203" s="115" t="e">
        <f t="shared" si="57"/>
        <v>#REF!</v>
      </c>
      <c r="I203" s="115"/>
      <c r="J203" s="115" t="e">
        <f t="shared" ref="J203:J206" si="58">#REF!</f>
        <v>#REF!</v>
      </c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</row>
    <row r="204" spans="1:26" x14ac:dyDescent="0.2">
      <c r="A204" s="113" t="e">
        <f t="shared" ref="A204:H204" si="59">#REF!</f>
        <v>#REF!</v>
      </c>
      <c r="B204" s="113" t="e">
        <f t="shared" si="59"/>
        <v>#REF!</v>
      </c>
      <c r="C204" s="115" t="e">
        <f t="shared" si="59"/>
        <v>#REF!</v>
      </c>
      <c r="D204" s="115" t="e">
        <f t="shared" si="59"/>
        <v>#REF!</v>
      </c>
      <c r="E204" s="115" t="e">
        <f t="shared" si="59"/>
        <v>#REF!</v>
      </c>
      <c r="F204" s="115" t="e">
        <f t="shared" si="59"/>
        <v>#REF!</v>
      </c>
      <c r="G204" s="115" t="e">
        <f t="shared" si="59"/>
        <v>#REF!</v>
      </c>
      <c r="H204" s="115" t="e">
        <f t="shared" si="59"/>
        <v>#REF!</v>
      </c>
      <c r="I204" s="115"/>
      <c r="J204" s="115" t="e">
        <f t="shared" si="58"/>
        <v>#REF!</v>
      </c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</row>
    <row r="205" spans="1:26" x14ac:dyDescent="0.2">
      <c r="A205" s="113" t="e">
        <f t="shared" ref="A205:H205" si="60">#REF!</f>
        <v>#REF!</v>
      </c>
      <c r="B205" s="113" t="e">
        <f t="shared" si="60"/>
        <v>#REF!</v>
      </c>
      <c r="C205" s="115" t="e">
        <f t="shared" si="60"/>
        <v>#REF!</v>
      </c>
      <c r="D205" s="115" t="e">
        <f t="shared" si="60"/>
        <v>#REF!</v>
      </c>
      <c r="E205" s="115" t="e">
        <f t="shared" si="60"/>
        <v>#REF!</v>
      </c>
      <c r="F205" s="115" t="e">
        <f t="shared" si="60"/>
        <v>#REF!</v>
      </c>
      <c r="G205" s="115" t="e">
        <f t="shared" si="60"/>
        <v>#REF!</v>
      </c>
      <c r="H205" s="115" t="e">
        <f t="shared" si="60"/>
        <v>#REF!</v>
      </c>
      <c r="I205" s="115"/>
      <c r="J205" s="115" t="e">
        <f t="shared" si="58"/>
        <v>#REF!</v>
      </c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</row>
    <row r="206" spans="1:26" x14ac:dyDescent="0.2">
      <c r="A206" s="113" t="e">
        <f t="shared" ref="A206:H206" si="61">#REF!</f>
        <v>#REF!</v>
      </c>
      <c r="B206" s="113" t="e">
        <f t="shared" si="61"/>
        <v>#REF!</v>
      </c>
      <c r="C206" s="115" t="e">
        <f t="shared" si="61"/>
        <v>#REF!</v>
      </c>
      <c r="D206" s="115" t="e">
        <f t="shared" si="61"/>
        <v>#REF!</v>
      </c>
      <c r="E206" s="115" t="e">
        <f t="shared" si="61"/>
        <v>#REF!</v>
      </c>
      <c r="F206" s="115" t="e">
        <f t="shared" si="61"/>
        <v>#REF!</v>
      </c>
      <c r="G206" s="115" t="e">
        <f t="shared" si="61"/>
        <v>#REF!</v>
      </c>
      <c r="H206" s="115" t="e">
        <f t="shared" si="61"/>
        <v>#REF!</v>
      </c>
      <c r="I206" s="115"/>
      <c r="J206" s="115" t="e">
        <f t="shared" si="58"/>
        <v>#REF!</v>
      </c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</row>
    <row r="207" spans="1:26" x14ac:dyDescent="0.2">
      <c r="A207" s="113" t="e">
        <f t="shared" ref="A207:H207" si="62">#REF!</f>
        <v>#REF!</v>
      </c>
      <c r="B207" s="113" t="e">
        <f t="shared" si="62"/>
        <v>#REF!</v>
      </c>
      <c r="C207" s="115" t="e">
        <f t="shared" si="62"/>
        <v>#REF!</v>
      </c>
      <c r="D207" s="115" t="e">
        <f t="shared" si="62"/>
        <v>#REF!</v>
      </c>
      <c r="E207" s="115" t="e">
        <f t="shared" si="62"/>
        <v>#REF!</v>
      </c>
      <c r="F207" s="115" t="e">
        <f t="shared" si="62"/>
        <v>#REF!</v>
      </c>
      <c r="G207" s="115" t="e">
        <f t="shared" si="62"/>
        <v>#REF!</v>
      </c>
      <c r="H207" s="115" t="e">
        <f t="shared" si="62"/>
        <v>#REF!</v>
      </c>
      <c r="I207" s="115"/>
      <c r="J207" s="115" t="e">
        <f>'THE BOARD'!#REF!</f>
        <v>#REF!</v>
      </c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</row>
    <row r="208" spans="1:26" x14ac:dyDescent="0.2">
      <c r="A208" s="113" t="e">
        <f t="shared" ref="A208:H208" si="63">#REF!</f>
        <v>#REF!</v>
      </c>
      <c r="B208" s="113" t="e">
        <f t="shared" si="63"/>
        <v>#REF!</v>
      </c>
      <c r="C208" s="115" t="e">
        <f t="shared" si="63"/>
        <v>#REF!</v>
      </c>
      <c r="D208" s="115" t="e">
        <f t="shared" si="63"/>
        <v>#REF!</v>
      </c>
      <c r="E208" s="115" t="e">
        <f t="shared" si="63"/>
        <v>#REF!</v>
      </c>
      <c r="F208" s="115" t="e">
        <f t="shared" si="63"/>
        <v>#REF!</v>
      </c>
      <c r="G208" s="115" t="e">
        <f t="shared" si="63"/>
        <v>#REF!</v>
      </c>
      <c r="H208" s="115" t="e">
        <f t="shared" si="63"/>
        <v>#REF!</v>
      </c>
      <c r="I208" s="115"/>
      <c r="J208" s="115" t="e">
        <f>'THE BOARD'!#REF!</f>
        <v>#REF!</v>
      </c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</row>
    <row r="209" spans="1:26" x14ac:dyDescent="0.2">
      <c r="A209" s="113" t="e">
        <f t="shared" ref="A209:H209" si="64">#REF!</f>
        <v>#REF!</v>
      </c>
      <c r="B209" s="113" t="e">
        <f t="shared" si="64"/>
        <v>#REF!</v>
      </c>
      <c r="C209" s="115" t="e">
        <f t="shared" si="64"/>
        <v>#REF!</v>
      </c>
      <c r="D209" s="115" t="e">
        <f t="shared" si="64"/>
        <v>#REF!</v>
      </c>
      <c r="E209" s="115" t="e">
        <f t="shared" si="64"/>
        <v>#REF!</v>
      </c>
      <c r="F209" s="115" t="e">
        <f t="shared" si="64"/>
        <v>#REF!</v>
      </c>
      <c r="G209" s="115" t="e">
        <f t="shared" si="64"/>
        <v>#REF!</v>
      </c>
      <c r="H209" s="115" t="e">
        <f t="shared" si="64"/>
        <v>#REF!</v>
      </c>
      <c r="I209" s="115"/>
      <c r="J209" s="115" t="e">
        <f>#REF!</f>
        <v>#REF!</v>
      </c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</row>
    <row r="210" spans="1:26" x14ac:dyDescent="0.2">
      <c r="A210" s="113" t="e">
        <f t="shared" ref="A210:H210" si="65">#REF!</f>
        <v>#REF!</v>
      </c>
      <c r="B210" s="113" t="e">
        <f t="shared" si="65"/>
        <v>#REF!</v>
      </c>
      <c r="C210" s="115" t="e">
        <f t="shared" si="65"/>
        <v>#REF!</v>
      </c>
      <c r="D210" s="115" t="e">
        <f t="shared" si="65"/>
        <v>#REF!</v>
      </c>
      <c r="E210" s="115" t="e">
        <f t="shared" si="65"/>
        <v>#REF!</v>
      </c>
      <c r="F210" s="115" t="e">
        <f t="shared" si="65"/>
        <v>#REF!</v>
      </c>
      <c r="G210" s="115" t="e">
        <f t="shared" si="65"/>
        <v>#REF!</v>
      </c>
      <c r="H210" s="115" t="e">
        <f t="shared" si="65"/>
        <v>#REF!</v>
      </c>
      <c r="I210" s="115"/>
      <c r="J210" s="115" t="e">
        <f>'THE BOARD'!#REF!</f>
        <v>#REF!</v>
      </c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</row>
    <row r="211" spans="1:26" x14ac:dyDescent="0.2">
      <c r="A211" s="113" t="e">
        <f t="shared" ref="A211:H211" si="66">#REF!</f>
        <v>#REF!</v>
      </c>
      <c r="B211" s="113" t="e">
        <f t="shared" si="66"/>
        <v>#REF!</v>
      </c>
      <c r="C211" s="115" t="e">
        <f t="shared" si="66"/>
        <v>#REF!</v>
      </c>
      <c r="D211" s="115" t="e">
        <f t="shared" si="66"/>
        <v>#REF!</v>
      </c>
      <c r="E211" s="115" t="e">
        <f t="shared" si="66"/>
        <v>#REF!</v>
      </c>
      <c r="F211" s="115" t="e">
        <f t="shared" si="66"/>
        <v>#REF!</v>
      </c>
      <c r="G211" s="115" t="e">
        <f t="shared" si="66"/>
        <v>#REF!</v>
      </c>
      <c r="H211" s="115" t="e">
        <f t="shared" si="66"/>
        <v>#REF!</v>
      </c>
      <c r="I211" s="115"/>
      <c r="J211" s="115" t="e">
        <f>'THE BOARD'!#REF!</f>
        <v>#REF!</v>
      </c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</row>
    <row r="212" spans="1:26" x14ac:dyDescent="0.2">
      <c r="A212" s="113" t="e">
        <f t="shared" ref="A212:H212" si="67">#REF!</f>
        <v>#REF!</v>
      </c>
      <c r="B212" s="113" t="e">
        <f t="shared" si="67"/>
        <v>#REF!</v>
      </c>
      <c r="C212" s="115" t="e">
        <f t="shared" si="67"/>
        <v>#REF!</v>
      </c>
      <c r="D212" s="115" t="e">
        <f t="shared" si="67"/>
        <v>#REF!</v>
      </c>
      <c r="E212" s="115" t="e">
        <f t="shared" si="67"/>
        <v>#REF!</v>
      </c>
      <c r="F212" s="115" t="e">
        <f t="shared" si="67"/>
        <v>#REF!</v>
      </c>
      <c r="G212" s="115" t="e">
        <f t="shared" si="67"/>
        <v>#REF!</v>
      </c>
      <c r="H212" s="115" t="e">
        <f t="shared" si="67"/>
        <v>#REF!</v>
      </c>
      <c r="I212" s="115"/>
      <c r="J212" s="115" t="e">
        <f>'THE BOARD'!#REF!</f>
        <v>#REF!</v>
      </c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</row>
    <row r="213" spans="1:26" x14ac:dyDescent="0.2">
      <c r="A213" s="113" t="e">
        <f t="shared" ref="A213:H213" si="68">#REF!</f>
        <v>#REF!</v>
      </c>
      <c r="B213" s="113" t="e">
        <f t="shared" si="68"/>
        <v>#REF!</v>
      </c>
      <c r="C213" s="115" t="e">
        <f t="shared" si="68"/>
        <v>#REF!</v>
      </c>
      <c r="D213" s="115" t="e">
        <f t="shared" si="68"/>
        <v>#REF!</v>
      </c>
      <c r="E213" s="115" t="e">
        <f t="shared" si="68"/>
        <v>#REF!</v>
      </c>
      <c r="F213" s="115" t="e">
        <f t="shared" si="68"/>
        <v>#REF!</v>
      </c>
      <c r="G213" s="115" t="e">
        <f t="shared" si="68"/>
        <v>#REF!</v>
      </c>
      <c r="H213" s="115" t="e">
        <f t="shared" si="68"/>
        <v>#REF!</v>
      </c>
      <c r="I213" s="115"/>
      <c r="J213" s="115" t="e">
        <f>'THE BOARD'!#REF!</f>
        <v>#REF!</v>
      </c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</row>
    <row r="214" spans="1:26" x14ac:dyDescent="0.2">
      <c r="A214" s="113" t="e">
        <f>'THE BOARD'!#REF!</f>
        <v>#REF!</v>
      </c>
      <c r="B214" s="113" t="e">
        <f>'THE BOARD'!#REF!</f>
        <v>#REF!</v>
      </c>
      <c r="C214" s="114" t="e">
        <f>'THE BOARD'!#REF!</f>
        <v>#REF!</v>
      </c>
      <c r="D214" s="115" t="e">
        <f>'THE BOARD'!#REF!</f>
        <v>#REF!</v>
      </c>
      <c r="E214" s="115" t="e">
        <f>'THE BOARD'!#REF!</f>
        <v>#REF!</v>
      </c>
      <c r="F214" s="115" t="e">
        <f>'THE BOARD'!#REF!</f>
        <v>#REF!</v>
      </c>
      <c r="G214" s="115" t="e">
        <f>'THE BOARD'!#REF!</f>
        <v>#REF!</v>
      </c>
      <c r="H214" s="115" t="e">
        <f>'THE BOARD'!#REF!</f>
        <v>#REF!</v>
      </c>
      <c r="I214" s="115"/>
      <c r="J214" s="115" t="e">
        <f t="shared" ref="J214:J216" si="69">#REF!</f>
        <v>#REF!</v>
      </c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</row>
    <row r="215" spans="1:26" x14ac:dyDescent="0.2">
      <c r="A215" s="113" t="e">
        <f>'THE BOARD'!#REF!</f>
        <v>#REF!</v>
      </c>
      <c r="B215" s="113" t="e">
        <f>'THE BOARD'!#REF!</f>
        <v>#REF!</v>
      </c>
      <c r="C215" s="114" t="e">
        <f>'THE BOARD'!#REF!</f>
        <v>#REF!</v>
      </c>
      <c r="D215" s="115" t="e">
        <f>'THE BOARD'!#REF!</f>
        <v>#REF!</v>
      </c>
      <c r="E215" s="115" t="e">
        <f>'THE BOARD'!#REF!</f>
        <v>#REF!</v>
      </c>
      <c r="F215" s="115" t="e">
        <f>'THE BOARD'!#REF!</f>
        <v>#REF!</v>
      </c>
      <c r="G215" s="115" t="e">
        <f>'THE BOARD'!#REF!</f>
        <v>#REF!</v>
      </c>
      <c r="H215" s="115" t="e">
        <f>'THE BOARD'!#REF!</f>
        <v>#REF!</v>
      </c>
      <c r="I215" s="115"/>
      <c r="J215" s="115" t="e">
        <f t="shared" si="69"/>
        <v>#REF!</v>
      </c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</row>
    <row r="216" spans="1:26" x14ac:dyDescent="0.2">
      <c r="A216" s="113" t="e">
        <f t="shared" ref="A216:H216" si="70">#REF!</f>
        <v>#REF!</v>
      </c>
      <c r="B216" s="113" t="e">
        <f t="shared" si="70"/>
        <v>#REF!</v>
      </c>
      <c r="C216" s="115" t="e">
        <f t="shared" si="70"/>
        <v>#REF!</v>
      </c>
      <c r="D216" s="115" t="e">
        <f t="shared" si="70"/>
        <v>#REF!</v>
      </c>
      <c r="E216" s="115" t="e">
        <f t="shared" si="70"/>
        <v>#REF!</v>
      </c>
      <c r="F216" s="115" t="e">
        <f t="shared" si="70"/>
        <v>#REF!</v>
      </c>
      <c r="G216" s="115" t="e">
        <f t="shared" si="70"/>
        <v>#REF!</v>
      </c>
      <c r="H216" s="115" t="e">
        <f t="shared" si="70"/>
        <v>#REF!</v>
      </c>
      <c r="I216" s="115"/>
      <c r="J216" s="115" t="e">
        <f t="shared" si="69"/>
        <v>#REF!</v>
      </c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</row>
    <row r="217" spans="1:26" x14ac:dyDescent="0.2">
      <c r="A217" s="113" t="e">
        <f>'THE BOARD'!#REF!</f>
        <v>#REF!</v>
      </c>
      <c r="B217" s="113" t="e">
        <f>'THE BOARD'!#REF!</f>
        <v>#REF!</v>
      </c>
      <c r="C217" s="114" t="e">
        <f>'THE BOARD'!#REF!</f>
        <v>#REF!</v>
      </c>
      <c r="D217" s="115" t="e">
        <f>'THE BOARD'!#REF!</f>
        <v>#REF!</v>
      </c>
      <c r="E217" s="115" t="e">
        <f>'THE BOARD'!#REF!</f>
        <v>#REF!</v>
      </c>
      <c r="F217" s="115" t="e">
        <f>'THE BOARD'!#REF!</f>
        <v>#REF!</v>
      </c>
      <c r="G217" s="115" t="e">
        <f>'THE BOARD'!#REF!</f>
        <v>#REF!</v>
      </c>
      <c r="H217" s="115" t="e">
        <f>'THE BOARD'!#REF!</f>
        <v>#REF!</v>
      </c>
      <c r="I217" s="115"/>
      <c r="J217" s="115" t="e">
        <f>'THE BOARD'!#REF!</f>
        <v>#REF!</v>
      </c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</row>
    <row r="218" spans="1:26" x14ac:dyDescent="0.2">
      <c r="A218" s="113" t="e">
        <f>'THE BOARD'!#REF!</f>
        <v>#REF!</v>
      </c>
      <c r="B218" s="113" t="e">
        <f>'THE BOARD'!#REF!</f>
        <v>#REF!</v>
      </c>
      <c r="C218" s="114" t="e">
        <f>'THE BOARD'!#REF!</f>
        <v>#REF!</v>
      </c>
      <c r="D218" s="115" t="e">
        <f>'THE BOARD'!#REF!</f>
        <v>#REF!</v>
      </c>
      <c r="E218" s="115" t="e">
        <f>'THE BOARD'!#REF!</f>
        <v>#REF!</v>
      </c>
      <c r="F218" s="115" t="e">
        <f>'THE BOARD'!#REF!</f>
        <v>#REF!</v>
      </c>
      <c r="G218" s="115" t="e">
        <f>'THE BOARD'!#REF!</f>
        <v>#REF!</v>
      </c>
      <c r="H218" s="115" t="e">
        <f>'THE BOARD'!#REF!</f>
        <v>#REF!</v>
      </c>
      <c r="I218" s="115"/>
      <c r="J218" s="115" t="e">
        <f>'THE BOARD'!#REF!</f>
        <v>#REF!</v>
      </c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</row>
    <row r="219" spans="1:26" x14ac:dyDescent="0.2">
      <c r="A219" s="113" t="e">
        <f>'THE BOARD'!#REF!</f>
        <v>#REF!</v>
      </c>
      <c r="B219" s="113" t="e">
        <f>'THE BOARD'!#REF!</f>
        <v>#REF!</v>
      </c>
      <c r="C219" s="114" t="e">
        <f>'THE BOARD'!#REF!</f>
        <v>#REF!</v>
      </c>
      <c r="D219" s="115" t="e">
        <f>'THE BOARD'!#REF!</f>
        <v>#REF!</v>
      </c>
      <c r="E219" s="115" t="e">
        <f>'THE BOARD'!#REF!</f>
        <v>#REF!</v>
      </c>
      <c r="F219" s="115" t="e">
        <f>'THE BOARD'!#REF!</f>
        <v>#REF!</v>
      </c>
      <c r="G219" s="115" t="e">
        <f>'THE BOARD'!#REF!</f>
        <v>#REF!</v>
      </c>
      <c r="H219" s="115" t="e">
        <f>'THE BOARD'!#REF!</f>
        <v>#REF!</v>
      </c>
      <c r="I219" s="115"/>
      <c r="J219" s="115" t="e">
        <f>'THE BOARD'!#REF!</f>
        <v>#REF!</v>
      </c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</row>
    <row r="220" spans="1:26" x14ac:dyDescent="0.2">
      <c r="A220" s="113" t="e">
        <f>'THE BOARD'!#REF!</f>
        <v>#REF!</v>
      </c>
      <c r="B220" s="113" t="e">
        <f>'THE BOARD'!#REF!</f>
        <v>#REF!</v>
      </c>
      <c r="C220" s="114" t="e">
        <f>'THE BOARD'!#REF!</f>
        <v>#REF!</v>
      </c>
      <c r="D220" s="115" t="e">
        <f>'THE BOARD'!#REF!</f>
        <v>#REF!</v>
      </c>
      <c r="E220" s="115" t="e">
        <f>'THE BOARD'!#REF!</f>
        <v>#REF!</v>
      </c>
      <c r="F220" s="115" t="e">
        <f>'THE BOARD'!#REF!</f>
        <v>#REF!</v>
      </c>
      <c r="G220" s="115" t="e">
        <f>'THE BOARD'!#REF!</f>
        <v>#REF!</v>
      </c>
      <c r="H220" s="115" t="e">
        <f>'THE BOARD'!#REF!</f>
        <v>#REF!</v>
      </c>
      <c r="I220" s="115"/>
      <c r="J220" s="115" t="e">
        <f>'THE BOARD'!#REF!</f>
        <v>#REF!</v>
      </c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</row>
    <row r="221" spans="1:26" x14ac:dyDescent="0.2">
      <c r="A221" s="113" t="e">
        <f t="shared" ref="A221:H221" si="71">#REF!</f>
        <v>#REF!</v>
      </c>
      <c r="B221" s="113" t="e">
        <f t="shared" si="71"/>
        <v>#REF!</v>
      </c>
      <c r="C221" s="115" t="e">
        <f t="shared" si="71"/>
        <v>#REF!</v>
      </c>
      <c r="D221" s="115" t="e">
        <f t="shared" si="71"/>
        <v>#REF!</v>
      </c>
      <c r="E221" s="115" t="e">
        <f t="shared" si="71"/>
        <v>#REF!</v>
      </c>
      <c r="F221" s="115" t="e">
        <f t="shared" si="71"/>
        <v>#REF!</v>
      </c>
      <c r="G221" s="115" t="e">
        <f t="shared" si="71"/>
        <v>#REF!</v>
      </c>
      <c r="H221" s="115" t="e">
        <f t="shared" si="71"/>
        <v>#REF!</v>
      </c>
      <c r="I221" s="115"/>
      <c r="J221" s="115" t="e">
        <f>'THE BOARD'!#REF!</f>
        <v>#REF!</v>
      </c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</row>
    <row r="222" spans="1:26" x14ac:dyDescent="0.2">
      <c r="A222" s="113" t="e">
        <f t="shared" ref="A222:H222" si="72">#REF!</f>
        <v>#REF!</v>
      </c>
      <c r="B222" s="113" t="e">
        <f t="shared" si="72"/>
        <v>#REF!</v>
      </c>
      <c r="C222" s="115" t="e">
        <f t="shared" si="72"/>
        <v>#REF!</v>
      </c>
      <c r="D222" s="115" t="e">
        <f t="shared" si="72"/>
        <v>#REF!</v>
      </c>
      <c r="E222" s="115" t="e">
        <f t="shared" si="72"/>
        <v>#REF!</v>
      </c>
      <c r="F222" s="115" t="e">
        <f t="shared" si="72"/>
        <v>#REF!</v>
      </c>
      <c r="G222" s="115" t="e">
        <f t="shared" si="72"/>
        <v>#REF!</v>
      </c>
      <c r="H222" s="115" t="e">
        <f t="shared" si="72"/>
        <v>#REF!</v>
      </c>
      <c r="I222" s="115"/>
      <c r="J222" s="115" t="e">
        <f>'THE BOARD'!#REF!</f>
        <v>#REF!</v>
      </c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</row>
    <row r="223" spans="1:26" x14ac:dyDescent="0.2">
      <c r="A223" s="113" t="e">
        <f t="shared" ref="A223:H223" si="73">#REF!</f>
        <v>#REF!</v>
      </c>
      <c r="B223" s="113" t="e">
        <f t="shared" si="73"/>
        <v>#REF!</v>
      </c>
      <c r="C223" s="115" t="e">
        <f t="shared" si="73"/>
        <v>#REF!</v>
      </c>
      <c r="D223" s="115" t="e">
        <f t="shared" si="73"/>
        <v>#REF!</v>
      </c>
      <c r="E223" s="115" t="e">
        <f t="shared" si="73"/>
        <v>#REF!</v>
      </c>
      <c r="F223" s="115" t="e">
        <f t="shared" si="73"/>
        <v>#REF!</v>
      </c>
      <c r="G223" s="115" t="e">
        <f t="shared" si="73"/>
        <v>#REF!</v>
      </c>
      <c r="H223" s="115" t="e">
        <f t="shared" si="73"/>
        <v>#REF!</v>
      </c>
      <c r="I223" s="115"/>
      <c r="J223" s="115" t="e">
        <f>'THE BOARD'!#REF!</f>
        <v>#REF!</v>
      </c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</row>
    <row r="224" spans="1:26" x14ac:dyDescent="0.2">
      <c r="A224" s="113" t="e">
        <f>'THE BOARD'!#REF!</f>
        <v>#REF!</v>
      </c>
      <c r="B224" s="113" t="e">
        <f>'THE BOARD'!#REF!</f>
        <v>#REF!</v>
      </c>
      <c r="C224" s="114" t="e">
        <f>'THE BOARD'!#REF!</f>
        <v>#REF!</v>
      </c>
      <c r="D224" s="115" t="e">
        <f>'THE BOARD'!#REF!</f>
        <v>#REF!</v>
      </c>
      <c r="E224" s="115" t="e">
        <f>'THE BOARD'!#REF!</f>
        <v>#REF!</v>
      </c>
      <c r="F224" s="115" t="e">
        <f>'THE BOARD'!#REF!</f>
        <v>#REF!</v>
      </c>
      <c r="G224" s="115" t="e">
        <f>'THE BOARD'!#REF!</f>
        <v>#REF!</v>
      </c>
      <c r="H224" s="115" t="e">
        <f>'THE BOARD'!#REF!</f>
        <v>#REF!</v>
      </c>
      <c r="I224" s="115"/>
      <c r="J224" s="115" t="e">
        <f>#REF!</f>
        <v>#REF!</v>
      </c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</row>
    <row r="225" spans="1:26" x14ac:dyDescent="0.2">
      <c r="A225" s="113" t="e">
        <f>'THE BOARD'!#REF!</f>
        <v>#REF!</v>
      </c>
      <c r="B225" s="113" t="e">
        <f>'THE BOARD'!#REF!</f>
        <v>#REF!</v>
      </c>
      <c r="C225" s="118" t="e">
        <f>'THE BOARD'!#REF!</f>
        <v>#REF!</v>
      </c>
      <c r="D225" s="115" t="e">
        <f>'THE BOARD'!#REF!</f>
        <v>#REF!</v>
      </c>
      <c r="E225" s="115" t="e">
        <f>'THE BOARD'!#REF!</f>
        <v>#REF!</v>
      </c>
      <c r="F225" s="115" t="e">
        <f>'THE BOARD'!#REF!</f>
        <v>#REF!</v>
      </c>
      <c r="G225" s="115" t="e">
        <f>'THE BOARD'!#REF!</f>
        <v>#REF!</v>
      </c>
      <c r="H225" s="115" t="e">
        <f>'THE BOARD'!#REF!</f>
        <v>#REF!</v>
      </c>
      <c r="I225" s="115"/>
      <c r="J225" s="115" t="e">
        <f>'THE BOARD'!#REF!</f>
        <v>#REF!</v>
      </c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</row>
    <row r="226" spans="1:26" x14ac:dyDescent="0.2">
      <c r="A226" s="113" t="e">
        <f>'THE BOARD'!#REF!</f>
        <v>#REF!</v>
      </c>
      <c r="B226" s="113" t="e">
        <f>'THE BOARD'!#REF!</f>
        <v>#REF!</v>
      </c>
      <c r="C226" s="116" t="e">
        <f>'THE BOARD'!#REF!</f>
        <v>#REF!</v>
      </c>
      <c r="D226" s="115" t="e">
        <f>'THE BOARD'!#REF!</f>
        <v>#REF!</v>
      </c>
      <c r="E226" s="115" t="e">
        <f>'THE BOARD'!#REF!</f>
        <v>#REF!</v>
      </c>
      <c r="F226" s="115" t="e">
        <f>'THE BOARD'!#REF!</f>
        <v>#REF!</v>
      </c>
      <c r="G226" s="115" t="e">
        <f>'THE BOARD'!#REF!</f>
        <v>#REF!</v>
      </c>
      <c r="H226" s="115" t="e">
        <f>'THE BOARD'!#REF!</f>
        <v>#REF!</v>
      </c>
      <c r="I226" s="115"/>
      <c r="J226" s="115" t="e">
        <f>'THE BOARD'!#REF!</f>
        <v>#REF!</v>
      </c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</row>
    <row r="227" spans="1:26" x14ac:dyDescent="0.2">
      <c r="A227" s="113" t="e">
        <f>'THE BOARD'!#REF!</f>
        <v>#REF!</v>
      </c>
      <c r="B227" s="113" t="e">
        <f>'THE BOARD'!#REF!</f>
        <v>#REF!</v>
      </c>
      <c r="C227" s="114" t="e">
        <f>'THE BOARD'!#REF!</f>
        <v>#REF!</v>
      </c>
      <c r="D227" s="115" t="e">
        <f>'THE BOARD'!#REF!</f>
        <v>#REF!</v>
      </c>
      <c r="E227" s="115" t="e">
        <f>'THE BOARD'!#REF!</f>
        <v>#REF!</v>
      </c>
      <c r="F227" s="115" t="e">
        <f>'THE BOARD'!#REF!</f>
        <v>#REF!</v>
      </c>
      <c r="G227" s="115" t="e">
        <f>'THE BOARD'!#REF!</f>
        <v>#REF!</v>
      </c>
      <c r="H227" s="115" t="e">
        <f>'THE BOARD'!#REF!</f>
        <v>#REF!</v>
      </c>
      <c r="I227" s="115"/>
      <c r="J227" s="115" t="e">
        <f>'THE BOARD'!#REF!</f>
        <v>#REF!</v>
      </c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</row>
    <row r="228" spans="1:26" x14ac:dyDescent="0.2">
      <c r="A228" s="113" t="e">
        <f>'THE BOARD'!#REF!</f>
        <v>#REF!</v>
      </c>
      <c r="B228" s="113" t="e">
        <f>'THE BOARD'!#REF!</f>
        <v>#REF!</v>
      </c>
      <c r="C228" s="114" t="e">
        <f>'THE BOARD'!#REF!</f>
        <v>#REF!</v>
      </c>
      <c r="D228" s="115" t="e">
        <f>'THE BOARD'!#REF!</f>
        <v>#REF!</v>
      </c>
      <c r="E228" s="115" t="e">
        <f>'THE BOARD'!#REF!</f>
        <v>#REF!</v>
      </c>
      <c r="F228" s="115" t="e">
        <f>'THE BOARD'!#REF!</f>
        <v>#REF!</v>
      </c>
      <c r="G228" s="115" t="e">
        <f>'THE BOARD'!#REF!</f>
        <v>#REF!</v>
      </c>
      <c r="H228" s="115" t="e">
        <f>'THE BOARD'!#REF!</f>
        <v>#REF!</v>
      </c>
      <c r="I228" s="115"/>
      <c r="J228" s="115" t="e">
        <f>'THE BOARD'!#REF!</f>
        <v>#REF!</v>
      </c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</row>
    <row r="229" spans="1:26" x14ac:dyDescent="0.2">
      <c r="A229" s="113" t="e">
        <f>'THE BOARD'!#REF!</f>
        <v>#REF!</v>
      </c>
      <c r="B229" s="113" t="e">
        <f>'THE BOARD'!#REF!</f>
        <v>#REF!</v>
      </c>
      <c r="C229" s="116" t="e">
        <f>'THE BOARD'!#REF!</f>
        <v>#REF!</v>
      </c>
      <c r="D229" s="115" t="e">
        <f>'THE BOARD'!#REF!</f>
        <v>#REF!</v>
      </c>
      <c r="E229" s="115" t="e">
        <f>'THE BOARD'!#REF!</f>
        <v>#REF!</v>
      </c>
      <c r="F229" s="115" t="e">
        <f>'THE BOARD'!#REF!</f>
        <v>#REF!</v>
      </c>
      <c r="G229" s="115" t="e">
        <f>'THE BOARD'!#REF!</f>
        <v>#REF!</v>
      </c>
      <c r="H229" s="115" t="e">
        <f>'THE BOARD'!#REF!</f>
        <v>#REF!</v>
      </c>
      <c r="I229" s="115"/>
      <c r="J229" s="115" t="e">
        <f>#REF!</f>
        <v>#REF!</v>
      </c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</row>
    <row r="230" spans="1:26" x14ac:dyDescent="0.2">
      <c r="A230" s="113" t="e">
        <f>'THE BOARD'!#REF!</f>
        <v>#REF!</v>
      </c>
      <c r="B230" s="113" t="e">
        <f>'THE BOARD'!#REF!</f>
        <v>#REF!</v>
      </c>
      <c r="C230" s="114" t="e">
        <f>'THE BOARD'!#REF!</f>
        <v>#REF!</v>
      </c>
      <c r="D230" s="115" t="e">
        <f>'THE BOARD'!#REF!</f>
        <v>#REF!</v>
      </c>
      <c r="E230" s="115" t="e">
        <f>'THE BOARD'!#REF!</f>
        <v>#REF!</v>
      </c>
      <c r="F230" s="115" t="e">
        <f>'THE BOARD'!#REF!</f>
        <v>#REF!</v>
      </c>
      <c r="G230" s="115" t="e">
        <f>'THE BOARD'!#REF!</f>
        <v>#REF!</v>
      </c>
      <c r="H230" s="115" t="e">
        <f>'THE BOARD'!#REF!</f>
        <v>#REF!</v>
      </c>
      <c r="I230" s="115"/>
      <c r="J230" s="115" t="e">
        <f>'THE BOARD'!#REF!</f>
        <v>#REF!</v>
      </c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</row>
    <row r="231" spans="1:26" x14ac:dyDescent="0.2">
      <c r="A231" s="113" t="e">
        <f t="shared" ref="A231:H231" si="74">#REF!</f>
        <v>#REF!</v>
      </c>
      <c r="B231" s="113" t="e">
        <f t="shared" si="74"/>
        <v>#REF!</v>
      </c>
      <c r="C231" s="115" t="e">
        <f t="shared" si="74"/>
        <v>#REF!</v>
      </c>
      <c r="D231" s="115" t="e">
        <f t="shared" si="74"/>
        <v>#REF!</v>
      </c>
      <c r="E231" s="115" t="e">
        <f t="shared" si="74"/>
        <v>#REF!</v>
      </c>
      <c r="F231" s="115" t="e">
        <f t="shared" si="74"/>
        <v>#REF!</v>
      </c>
      <c r="G231" s="115" t="e">
        <f t="shared" si="74"/>
        <v>#REF!</v>
      </c>
      <c r="H231" s="115" t="e">
        <f t="shared" si="74"/>
        <v>#REF!</v>
      </c>
      <c r="I231" s="115"/>
      <c r="J231" s="115" t="e">
        <f>'THE BOARD'!#REF!</f>
        <v>#REF!</v>
      </c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</row>
    <row r="232" spans="1:26" x14ac:dyDescent="0.2">
      <c r="A232" s="113" t="e">
        <f>'THE BOARD'!#REF!</f>
        <v>#REF!</v>
      </c>
      <c r="B232" s="113" t="e">
        <f>'THE BOARD'!#REF!</f>
        <v>#REF!</v>
      </c>
      <c r="C232" s="114" t="e">
        <f>'THE BOARD'!#REF!</f>
        <v>#REF!</v>
      </c>
      <c r="D232" s="115" t="e">
        <f>'THE BOARD'!#REF!</f>
        <v>#REF!</v>
      </c>
      <c r="E232" s="115" t="e">
        <f>'THE BOARD'!#REF!</f>
        <v>#REF!</v>
      </c>
      <c r="F232" s="115" t="e">
        <f>'THE BOARD'!#REF!</f>
        <v>#REF!</v>
      </c>
      <c r="G232" s="115" t="e">
        <f>'THE BOARD'!#REF!</f>
        <v>#REF!</v>
      </c>
      <c r="H232" s="115" t="e">
        <f>'THE BOARD'!#REF!</f>
        <v>#REF!</v>
      </c>
      <c r="I232" s="115"/>
      <c r="J232" s="115" t="e">
        <f>'THE BOARD'!#REF!</f>
        <v>#REF!</v>
      </c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</row>
    <row r="233" spans="1:26" x14ac:dyDescent="0.2">
      <c r="A233" s="113" t="e">
        <f>'THE BOARD'!#REF!</f>
        <v>#REF!</v>
      </c>
      <c r="B233" s="113" t="e">
        <f>'THE BOARD'!#REF!</f>
        <v>#REF!</v>
      </c>
      <c r="C233" s="114" t="e">
        <f>'THE BOARD'!#REF!</f>
        <v>#REF!</v>
      </c>
      <c r="D233" s="115" t="e">
        <f>'THE BOARD'!#REF!</f>
        <v>#REF!</v>
      </c>
      <c r="E233" s="115" t="e">
        <f>'THE BOARD'!#REF!</f>
        <v>#REF!</v>
      </c>
      <c r="F233" s="115" t="e">
        <f>'THE BOARD'!#REF!</f>
        <v>#REF!</v>
      </c>
      <c r="G233" s="115" t="e">
        <f>'THE BOARD'!#REF!</f>
        <v>#REF!</v>
      </c>
      <c r="H233" s="115" t="e">
        <f>'THE BOARD'!#REF!</f>
        <v>#REF!</v>
      </c>
      <c r="I233" s="115"/>
      <c r="J233" s="115" t="e">
        <f>'THE BOARD'!#REF!</f>
        <v>#REF!</v>
      </c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</row>
    <row r="234" spans="1:26" x14ac:dyDescent="0.2">
      <c r="A234" s="113" t="e">
        <f>'THE BOARD'!#REF!</f>
        <v>#REF!</v>
      </c>
      <c r="B234" s="113" t="e">
        <f>'THE BOARD'!#REF!</f>
        <v>#REF!</v>
      </c>
      <c r="C234" s="114" t="e">
        <f>'THE BOARD'!#REF!</f>
        <v>#REF!</v>
      </c>
      <c r="D234" s="115" t="e">
        <f>'THE BOARD'!#REF!</f>
        <v>#REF!</v>
      </c>
      <c r="E234" s="115" t="e">
        <f>'THE BOARD'!#REF!</f>
        <v>#REF!</v>
      </c>
      <c r="F234" s="115" t="e">
        <f>'THE BOARD'!#REF!</f>
        <v>#REF!</v>
      </c>
      <c r="G234" s="115" t="e">
        <f>'THE BOARD'!#REF!</f>
        <v>#REF!</v>
      </c>
      <c r="H234" s="115" t="e">
        <f>'THE BOARD'!#REF!</f>
        <v>#REF!</v>
      </c>
      <c r="I234" s="115"/>
      <c r="J234" s="115" t="e">
        <f>'THE BOARD'!#REF!</f>
        <v>#REF!</v>
      </c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</row>
    <row r="235" spans="1:26" x14ac:dyDescent="0.2">
      <c r="A235" s="113" t="e">
        <f>'THE BOARD'!#REF!</f>
        <v>#REF!</v>
      </c>
      <c r="B235" s="113" t="e">
        <f>'THE BOARD'!#REF!</f>
        <v>#REF!</v>
      </c>
      <c r="C235" s="114" t="e">
        <f>'THE BOARD'!#REF!</f>
        <v>#REF!</v>
      </c>
      <c r="D235" s="115" t="e">
        <f>'THE BOARD'!#REF!</f>
        <v>#REF!</v>
      </c>
      <c r="E235" s="115" t="e">
        <f>'THE BOARD'!#REF!</f>
        <v>#REF!</v>
      </c>
      <c r="F235" s="115" t="e">
        <f>'THE BOARD'!#REF!</f>
        <v>#REF!</v>
      </c>
      <c r="G235" s="115" t="e">
        <f>'THE BOARD'!#REF!</f>
        <v>#REF!</v>
      </c>
      <c r="H235" s="115" t="e">
        <f>'THE BOARD'!#REF!</f>
        <v>#REF!</v>
      </c>
      <c r="I235" s="115"/>
      <c r="J235" s="115" t="e">
        <f>'THE BOARD'!#REF!</f>
        <v>#REF!</v>
      </c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</row>
    <row r="236" spans="1:26" x14ac:dyDescent="0.2">
      <c r="A236" s="113" t="e">
        <f t="shared" ref="A236:H236" si="75">#REF!</f>
        <v>#REF!</v>
      </c>
      <c r="B236" s="113" t="e">
        <f t="shared" si="75"/>
        <v>#REF!</v>
      </c>
      <c r="C236" s="115" t="e">
        <f t="shared" si="75"/>
        <v>#REF!</v>
      </c>
      <c r="D236" s="115" t="e">
        <f t="shared" si="75"/>
        <v>#REF!</v>
      </c>
      <c r="E236" s="115" t="e">
        <f t="shared" si="75"/>
        <v>#REF!</v>
      </c>
      <c r="F236" s="115" t="e">
        <f t="shared" si="75"/>
        <v>#REF!</v>
      </c>
      <c r="G236" s="115" t="e">
        <f t="shared" si="75"/>
        <v>#REF!</v>
      </c>
      <c r="H236" s="115" t="e">
        <f t="shared" si="75"/>
        <v>#REF!</v>
      </c>
      <c r="I236" s="115"/>
      <c r="J236" s="115" t="e">
        <f>'THE BOARD'!#REF!</f>
        <v>#REF!</v>
      </c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</row>
    <row r="237" spans="1:26" x14ac:dyDescent="0.2">
      <c r="A237" s="113" t="e">
        <f>'THE BOARD'!#REF!</f>
        <v>#REF!</v>
      </c>
      <c r="B237" s="113" t="e">
        <f>'THE BOARD'!#REF!</f>
        <v>#REF!</v>
      </c>
      <c r="C237" s="114" t="e">
        <f>'THE BOARD'!#REF!</f>
        <v>#REF!</v>
      </c>
      <c r="D237" s="115" t="e">
        <f>'THE BOARD'!#REF!</f>
        <v>#REF!</v>
      </c>
      <c r="E237" s="115" t="e">
        <f>'THE BOARD'!#REF!</f>
        <v>#REF!</v>
      </c>
      <c r="F237" s="115" t="e">
        <f>'THE BOARD'!#REF!</f>
        <v>#REF!</v>
      </c>
      <c r="G237" s="115" t="e">
        <f>'THE BOARD'!#REF!</f>
        <v>#REF!</v>
      </c>
      <c r="H237" s="115" t="e">
        <f>'THE BOARD'!#REF!</f>
        <v>#REF!</v>
      </c>
      <c r="I237" s="115"/>
      <c r="J237" s="115" t="e">
        <f>'THE BOARD'!#REF!</f>
        <v>#REF!</v>
      </c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</row>
    <row r="238" spans="1:26" x14ac:dyDescent="0.2">
      <c r="A238" s="113" t="e">
        <f>'THE BOARD'!#REF!</f>
        <v>#REF!</v>
      </c>
      <c r="B238" s="113" t="e">
        <f>'THE BOARD'!#REF!</f>
        <v>#REF!</v>
      </c>
      <c r="C238" s="114" t="e">
        <f>'THE BOARD'!#REF!</f>
        <v>#REF!</v>
      </c>
      <c r="D238" s="115" t="e">
        <f>'THE BOARD'!#REF!</f>
        <v>#REF!</v>
      </c>
      <c r="E238" s="115" t="e">
        <f>'THE BOARD'!#REF!</f>
        <v>#REF!</v>
      </c>
      <c r="F238" s="115" t="e">
        <f>'THE BOARD'!#REF!</f>
        <v>#REF!</v>
      </c>
      <c r="G238" s="115" t="e">
        <f>'THE BOARD'!#REF!</f>
        <v>#REF!</v>
      </c>
      <c r="H238" s="115" t="e">
        <f>'THE BOARD'!#REF!</f>
        <v>#REF!</v>
      </c>
      <c r="I238" s="115"/>
      <c r="J238" s="115" t="e">
        <f>'THE BOARD'!#REF!</f>
        <v>#REF!</v>
      </c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</row>
    <row r="239" spans="1:26" x14ac:dyDescent="0.2">
      <c r="A239" s="113" t="e">
        <f>'THE BOARD'!#REF!</f>
        <v>#REF!</v>
      </c>
      <c r="B239" s="113" t="e">
        <f>'THE BOARD'!#REF!</f>
        <v>#REF!</v>
      </c>
      <c r="C239" s="114" t="e">
        <f>'THE BOARD'!#REF!</f>
        <v>#REF!</v>
      </c>
      <c r="D239" s="115" t="e">
        <f>'THE BOARD'!#REF!</f>
        <v>#REF!</v>
      </c>
      <c r="E239" s="115" t="e">
        <f>'THE BOARD'!#REF!</f>
        <v>#REF!</v>
      </c>
      <c r="F239" s="115" t="e">
        <f>'THE BOARD'!#REF!</f>
        <v>#REF!</v>
      </c>
      <c r="G239" s="115" t="e">
        <f>'THE BOARD'!#REF!</f>
        <v>#REF!</v>
      </c>
      <c r="H239" s="115" t="e">
        <f>'THE BOARD'!#REF!</f>
        <v>#REF!</v>
      </c>
      <c r="I239" s="115"/>
      <c r="J239" s="115" t="e">
        <f>'THE BOARD'!#REF!</f>
        <v>#REF!</v>
      </c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</row>
    <row r="240" spans="1:26" x14ac:dyDescent="0.2">
      <c r="A240" s="113" t="e">
        <f>'THE BOARD'!#REF!</f>
        <v>#REF!</v>
      </c>
      <c r="B240" s="113" t="e">
        <f>'THE BOARD'!#REF!</f>
        <v>#REF!</v>
      </c>
      <c r="C240" s="116" t="e">
        <f>'THE BOARD'!#REF!</f>
        <v>#REF!</v>
      </c>
      <c r="D240" s="115" t="e">
        <f>'THE BOARD'!#REF!</f>
        <v>#REF!</v>
      </c>
      <c r="E240" s="115" t="e">
        <f>'THE BOARD'!#REF!</f>
        <v>#REF!</v>
      </c>
      <c r="F240" s="115" t="e">
        <f>'THE BOARD'!#REF!</f>
        <v>#REF!</v>
      </c>
      <c r="G240" s="115" t="e">
        <f>'THE BOARD'!#REF!</f>
        <v>#REF!</v>
      </c>
      <c r="H240" s="115" t="e">
        <f>'THE BOARD'!#REF!</f>
        <v>#REF!</v>
      </c>
      <c r="I240" s="115"/>
      <c r="J240" s="115" t="e">
        <f>'THE BOARD'!#REF!</f>
        <v>#REF!</v>
      </c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</row>
    <row r="241" spans="1:26" x14ac:dyDescent="0.2">
      <c r="A241" s="113" t="e">
        <f>'THE BOARD'!#REF!</f>
        <v>#REF!</v>
      </c>
      <c r="B241" s="113" t="e">
        <f>'THE BOARD'!#REF!</f>
        <v>#REF!</v>
      </c>
      <c r="C241" s="116" t="e">
        <f>'THE BOARD'!#REF!</f>
        <v>#REF!</v>
      </c>
      <c r="D241" s="115" t="e">
        <f>'THE BOARD'!#REF!</f>
        <v>#REF!</v>
      </c>
      <c r="E241" s="115" t="e">
        <f>'THE BOARD'!#REF!</f>
        <v>#REF!</v>
      </c>
      <c r="F241" s="115" t="e">
        <f>'THE BOARD'!#REF!</f>
        <v>#REF!</v>
      </c>
      <c r="G241" s="115" t="e">
        <f>'THE BOARD'!#REF!</f>
        <v>#REF!</v>
      </c>
      <c r="H241" s="115" t="e">
        <f>'THE BOARD'!#REF!</f>
        <v>#REF!</v>
      </c>
      <c r="I241" s="115"/>
      <c r="J241" s="115" t="e">
        <f>'THE BOARD'!#REF!</f>
        <v>#REF!</v>
      </c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</row>
    <row r="242" spans="1:26" x14ac:dyDescent="0.2">
      <c r="A242" s="113" t="e">
        <f>'THE BOARD'!#REF!</f>
        <v>#REF!</v>
      </c>
      <c r="B242" s="113" t="e">
        <f>'THE BOARD'!#REF!</f>
        <v>#REF!</v>
      </c>
      <c r="C242" s="114" t="e">
        <f>'THE BOARD'!#REF!</f>
        <v>#REF!</v>
      </c>
      <c r="D242" s="115" t="e">
        <f>'THE BOARD'!#REF!</f>
        <v>#REF!</v>
      </c>
      <c r="E242" s="115" t="e">
        <f>'THE BOARD'!#REF!</f>
        <v>#REF!</v>
      </c>
      <c r="F242" s="115" t="e">
        <f>'THE BOARD'!#REF!</f>
        <v>#REF!</v>
      </c>
      <c r="G242" s="115" t="e">
        <f>'THE BOARD'!#REF!</f>
        <v>#REF!</v>
      </c>
      <c r="H242" s="115" t="e">
        <f>'THE BOARD'!#REF!</f>
        <v>#REF!</v>
      </c>
      <c r="I242" s="115"/>
      <c r="J242" s="115" t="e">
        <f>'THE BOARD'!#REF!</f>
        <v>#REF!</v>
      </c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</row>
    <row r="243" spans="1:26" x14ac:dyDescent="0.2">
      <c r="A243" s="113" t="e">
        <f>'THE BOARD'!#REF!</f>
        <v>#REF!</v>
      </c>
      <c r="B243" s="113" t="e">
        <f>'THE BOARD'!#REF!</f>
        <v>#REF!</v>
      </c>
      <c r="C243" s="114" t="e">
        <f>'THE BOARD'!#REF!</f>
        <v>#REF!</v>
      </c>
      <c r="D243" s="115" t="e">
        <f>'THE BOARD'!#REF!</f>
        <v>#REF!</v>
      </c>
      <c r="E243" s="115" t="e">
        <f>'THE BOARD'!#REF!</f>
        <v>#REF!</v>
      </c>
      <c r="F243" s="115" t="e">
        <f>'THE BOARD'!#REF!</f>
        <v>#REF!</v>
      </c>
      <c r="G243" s="115" t="e">
        <f>'THE BOARD'!#REF!</f>
        <v>#REF!</v>
      </c>
      <c r="H243" s="115" t="e">
        <f>'THE BOARD'!#REF!</f>
        <v>#REF!</v>
      </c>
      <c r="I243" s="115"/>
      <c r="J243" s="115" t="e">
        <f>'THE BOARD'!#REF!</f>
        <v>#REF!</v>
      </c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</row>
    <row r="244" spans="1:26" x14ac:dyDescent="0.2">
      <c r="A244" s="113" t="e">
        <f>'THE BOARD'!#REF!</f>
        <v>#REF!</v>
      </c>
      <c r="B244" s="113" t="e">
        <f>'THE BOARD'!#REF!</f>
        <v>#REF!</v>
      </c>
      <c r="C244" s="114" t="e">
        <f>'THE BOARD'!#REF!</f>
        <v>#REF!</v>
      </c>
      <c r="D244" s="115" t="e">
        <f>'THE BOARD'!#REF!</f>
        <v>#REF!</v>
      </c>
      <c r="E244" s="115" t="e">
        <f>'THE BOARD'!#REF!</f>
        <v>#REF!</v>
      </c>
      <c r="F244" s="115" t="e">
        <f>'THE BOARD'!#REF!</f>
        <v>#REF!</v>
      </c>
      <c r="G244" s="115" t="e">
        <f>'THE BOARD'!#REF!</f>
        <v>#REF!</v>
      </c>
      <c r="H244" s="115" t="e">
        <f>'THE BOARD'!#REF!</f>
        <v>#REF!</v>
      </c>
      <c r="I244" s="115"/>
      <c r="J244" s="115" t="e">
        <f>'THE BOARD'!#REF!</f>
        <v>#REF!</v>
      </c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</row>
    <row r="245" spans="1:26" x14ac:dyDescent="0.2">
      <c r="A245" s="113" t="e">
        <f>'THE BOARD'!#REF!</f>
        <v>#REF!</v>
      </c>
      <c r="B245" s="113" t="e">
        <f>'THE BOARD'!#REF!</f>
        <v>#REF!</v>
      </c>
      <c r="C245" s="114" t="e">
        <f>'THE BOARD'!#REF!</f>
        <v>#REF!</v>
      </c>
      <c r="D245" s="115" t="e">
        <f>'THE BOARD'!#REF!</f>
        <v>#REF!</v>
      </c>
      <c r="E245" s="115" t="e">
        <f>'THE BOARD'!#REF!</f>
        <v>#REF!</v>
      </c>
      <c r="F245" s="115" t="e">
        <f>'THE BOARD'!#REF!</f>
        <v>#REF!</v>
      </c>
      <c r="G245" s="115" t="e">
        <f>'THE BOARD'!#REF!</f>
        <v>#REF!</v>
      </c>
      <c r="H245" s="115" t="e">
        <f>'THE BOARD'!#REF!</f>
        <v>#REF!</v>
      </c>
      <c r="I245" s="115"/>
      <c r="J245" s="115" t="e">
        <f>'THE BOARD'!#REF!</f>
        <v>#REF!</v>
      </c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</row>
    <row r="246" spans="1:26" x14ac:dyDescent="0.2">
      <c r="A246" s="113" t="e">
        <f>'THE BOARD'!#REF!</f>
        <v>#REF!</v>
      </c>
      <c r="B246" s="113" t="e">
        <f>'THE BOARD'!#REF!</f>
        <v>#REF!</v>
      </c>
      <c r="C246" s="114" t="e">
        <f>'THE BOARD'!#REF!</f>
        <v>#REF!</v>
      </c>
      <c r="D246" s="115" t="e">
        <f>'THE BOARD'!#REF!</f>
        <v>#REF!</v>
      </c>
      <c r="E246" s="115" t="e">
        <f>'THE BOARD'!#REF!</f>
        <v>#REF!</v>
      </c>
      <c r="F246" s="115" t="e">
        <f>'THE BOARD'!#REF!</f>
        <v>#REF!</v>
      </c>
      <c r="G246" s="115" t="e">
        <f>'THE BOARD'!#REF!</f>
        <v>#REF!</v>
      </c>
      <c r="H246" s="115" t="e">
        <f>'THE BOARD'!#REF!</f>
        <v>#REF!</v>
      </c>
      <c r="I246" s="115"/>
      <c r="J246" s="115" t="e">
        <f>'THE BOARD'!#REF!</f>
        <v>#REF!</v>
      </c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</row>
    <row r="247" spans="1:26" x14ac:dyDescent="0.2">
      <c r="A247" s="113" t="e">
        <f>'THE BOARD'!#REF!</f>
        <v>#REF!</v>
      </c>
      <c r="B247" s="113" t="e">
        <f>'THE BOARD'!#REF!</f>
        <v>#REF!</v>
      </c>
      <c r="C247" s="114" t="e">
        <f>'THE BOARD'!#REF!</f>
        <v>#REF!</v>
      </c>
      <c r="D247" s="115" t="e">
        <f>'THE BOARD'!#REF!</f>
        <v>#REF!</v>
      </c>
      <c r="E247" s="115" t="e">
        <f>'THE BOARD'!#REF!</f>
        <v>#REF!</v>
      </c>
      <c r="F247" s="115" t="e">
        <f>'THE BOARD'!#REF!</f>
        <v>#REF!</v>
      </c>
      <c r="G247" s="115" t="e">
        <f>'THE BOARD'!#REF!</f>
        <v>#REF!</v>
      </c>
      <c r="H247" s="115" t="e">
        <f>'THE BOARD'!#REF!</f>
        <v>#REF!</v>
      </c>
      <c r="I247" s="115"/>
      <c r="J247" s="115" t="e">
        <f>'THE BOARD'!#REF!</f>
        <v>#REF!</v>
      </c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</row>
    <row r="248" spans="1:26" x14ac:dyDescent="0.2">
      <c r="A248" s="113" t="e">
        <f>'THE BOARD'!#REF!</f>
        <v>#REF!</v>
      </c>
      <c r="B248" s="113" t="e">
        <f>'THE BOARD'!#REF!</f>
        <v>#REF!</v>
      </c>
      <c r="C248" s="114" t="e">
        <f>'THE BOARD'!#REF!</f>
        <v>#REF!</v>
      </c>
      <c r="D248" s="115" t="e">
        <f>'THE BOARD'!#REF!</f>
        <v>#REF!</v>
      </c>
      <c r="E248" s="115" t="e">
        <f>'THE BOARD'!#REF!</f>
        <v>#REF!</v>
      </c>
      <c r="F248" s="115" t="e">
        <f>'THE BOARD'!#REF!</f>
        <v>#REF!</v>
      </c>
      <c r="G248" s="115" t="e">
        <f>'THE BOARD'!#REF!</f>
        <v>#REF!</v>
      </c>
      <c r="H248" s="115" t="e">
        <f>'THE BOARD'!#REF!</f>
        <v>#REF!</v>
      </c>
      <c r="I248" s="115"/>
      <c r="J248" s="115" t="e">
        <f>'THE BOARD'!#REF!</f>
        <v>#REF!</v>
      </c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</row>
    <row r="249" spans="1:26" x14ac:dyDescent="0.2">
      <c r="A249" s="113" t="e">
        <f>'THE BOARD'!#REF!</f>
        <v>#REF!</v>
      </c>
      <c r="B249" s="113" t="e">
        <f>'THE BOARD'!#REF!</f>
        <v>#REF!</v>
      </c>
      <c r="C249" s="114" t="e">
        <f>'THE BOARD'!#REF!</f>
        <v>#REF!</v>
      </c>
      <c r="D249" s="115" t="e">
        <f>'THE BOARD'!#REF!</f>
        <v>#REF!</v>
      </c>
      <c r="E249" s="115" t="e">
        <f>'THE BOARD'!#REF!</f>
        <v>#REF!</v>
      </c>
      <c r="F249" s="115" t="e">
        <f>'THE BOARD'!#REF!</f>
        <v>#REF!</v>
      </c>
      <c r="G249" s="115" t="e">
        <f>'THE BOARD'!#REF!</f>
        <v>#REF!</v>
      </c>
      <c r="H249" s="115" t="e">
        <f>'THE BOARD'!#REF!</f>
        <v>#REF!</v>
      </c>
      <c r="I249" s="115"/>
      <c r="J249" s="115" t="e">
        <f>'THE BOARD'!#REF!</f>
        <v>#REF!</v>
      </c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</row>
    <row r="250" spans="1:26" x14ac:dyDescent="0.2">
      <c r="A250" s="113" t="e">
        <f>'THE BOARD'!#REF!</f>
        <v>#REF!</v>
      </c>
      <c r="B250" s="113" t="e">
        <f>'THE BOARD'!#REF!</f>
        <v>#REF!</v>
      </c>
      <c r="C250" s="114" t="e">
        <f>'THE BOARD'!#REF!</f>
        <v>#REF!</v>
      </c>
      <c r="D250" s="115" t="e">
        <f>'THE BOARD'!#REF!</f>
        <v>#REF!</v>
      </c>
      <c r="E250" s="115" t="e">
        <f>'THE BOARD'!#REF!</f>
        <v>#REF!</v>
      </c>
      <c r="F250" s="115" t="e">
        <f>'THE BOARD'!#REF!</f>
        <v>#REF!</v>
      </c>
      <c r="G250" s="115" t="e">
        <f>'THE BOARD'!#REF!</f>
        <v>#REF!</v>
      </c>
      <c r="H250" s="115" t="e">
        <f>'THE BOARD'!#REF!</f>
        <v>#REF!</v>
      </c>
      <c r="I250" s="115"/>
      <c r="J250" s="115">
        <f>'THE BOARD'!Q2</f>
        <v>0</v>
      </c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</row>
    <row r="251" spans="1:26" x14ac:dyDescent="0.2">
      <c r="A251" s="113" t="e">
        <f>'THE BOARD'!#REF!</f>
        <v>#REF!</v>
      </c>
      <c r="B251" s="113" t="e">
        <f>'THE BOARD'!#REF!</f>
        <v>#REF!</v>
      </c>
      <c r="C251" s="114" t="e">
        <f>'THE BOARD'!#REF!</f>
        <v>#REF!</v>
      </c>
      <c r="D251" s="115" t="e">
        <f>'THE BOARD'!#REF!</f>
        <v>#REF!</v>
      </c>
      <c r="E251" s="115" t="e">
        <f>'THE BOARD'!#REF!</f>
        <v>#REF!</v>
      </c>
      <c r="F251" s="115" t="e">
        <f>'THE BOARD'!#REF!</f>
        <v>#REF!</v>
      </c>
      <c r="G251" s="115" t="e">
        <f>'THE BOARD'!#REF!</f>
        <v>#REF!</v>
      </c>
      <c r="H251" s="115" t="e">
        <f>'THE BOARD'!#REF!</f>
        <v>#REF!</v>
      </c>
      <c r="I251" s="115"/>
      <c r="J251" s="115">
        <f>'THE BOARD'!Q3</f>
        <v>0</v>
      </c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</row>
    <row r="252" spans="1:26" x14ac:dyDescent="0.2">
      <c r="A252" s="113" t="e">
        <f>'THE BOARD'!#REF!</f>
        <v>#REF!</v>
      </c>
      <c r="B252" s="113" t="e">
        <f>'THE BOARD'!#REF!</f>
        <v>#REF!</v>
      </c>
      <c r="C252" s="114" t="e">
        <f>'THE BOARD'!#REF!</f>
        <v>#REF!</v>
      </c>
      <c r="D252" s="115" t="e">
        <f>'THE BOARD'!#REF!</f>
        <v>#REF!</v>
      </c>
      <c r="E252" s="115" t="e">
        <f>'THE BOARD'!#REF!</f>
        <v>#REF!</v>
      </c>
      <c r="F252" s="115" t="e">
        <f>'THE BOARD'!#REF!</f>
        <v>#REF!</v>
      </c>
      <c r="G252" s="115" t="e">
        <f>'THE BOARD'!#REF!</f>
        <v>#REF!</v>
      </c>
      <c r="H252" s="115" t="e">
        <f>'THE BOARD'!#REF!</f>
        <v>#REF!</v>
      </c>
      <c r="I252" s="115"/>
      <c r="J252" s="115">
        <f>'THE BOARD'!Q4</f>
        <v>0</v>
      </c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</row>
    <row r="253" spans="1:26" x14ac:dyDescent="0.2">
      <c r="A253" s="113" t="e">
        <f>'THE BOARD'!#REF!</f>
        <v>#REF!</v>
      </c>
      <c r="B253" s="113" t="e">
        <f>'THE BOARD'!#REF!</f>
        <v>#REF!</v>
      </c>
      <c r="C253" s="114" t="e">
        <f>'THE BOARD'!#REF!</f>
        <v>#REF!</v>
      </c>
      <c r="D253" s="115" t="e">
        <f>'THE BOARD'!#REF!</f>
        <v>#REF!</v>
      </c>
      <c r="E253" s="115" t="e">
        <f>'THE BOARD'!#REF!</f>
        <v>#REF!</v>
      </c>
      <c r="F253" s="115" t="e">
        <f>'THE BOARD'!#REF!</f>
        <v>#REF!</v>
      </c>
      <c r="G253" s="115" t="e">
        <f>'THE BOARD'!#REF!</f>
        <v>#REF!</v>
      </c>
      <c r="H253" s="115" t="e">
        <f>'THE BOARD'!#REF!</f>
        <v>#REF!</v>
      </c>
      <c r="I253" s="115"/>
      <c r="J253" s="115">
        <f>'THE BOARD'!Q5</f>
        <v>0</v>
      </c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</row>
    <row r="254" spans="1:26" x14ac:dyDescent="0.2">
      <c r="A254" s="113" t="e">
        <f>'THE BOARD'!#REF!</f>
        <v>#REF!</v>
      </c>
      <c r="B254" s="113" t="e">
        <f>'THE BOARD'!#REF!</f>
        <v>#REF!</v>
      </c>
      <c r="C254" s="114" t="e">
        <f>'THE BOARD'!#REF!</f>
        <v>#REF!</v>
      </c>
      <c r="D254" s="115" t="e">
        <f>'THE BOARD'!#REF!</f>
        <v>#REF!</v>
      </c>
      <c r="E254" s="115" t="e">
        <f>'THE BOARD'!#REF!</f>
        <v>#REF!</v>
      </c>
      <c r="F254" s="115" t="e">
        <f>'THE BOARD'!#REF!</f>
        <v>#REF!</v>
      </c>
      <c r="G254" s="115" t="e">
        <f>'THE BOARD'!#REF!</f>
        <v>#REF!</v>
      </c>
      <c r="H254" s="115" t="e">
        <f>'THE BOARD'!#REF!</f>
        <v>#REF!</v>
      </c>
      <c r="I254" s="115"/>
      <c r="J254" s="115">
        <f>'THE BOARD'!Q6</f>
        <v>0</v>
      </c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</row>
    <row r="255" spans="1:26" x14ac:dyDescent="0.2">
      <c r="A255" s="113" t="e">
        <f>'THE BOARD'!#REF!</f>
        <v>#REF!</v>
      </c>
      <c r="B255" s="119" t="e">
        <f>'THE BOARD'!#REF!</f>
        <v>#REF!</v>
      </c>
      <c r="C255" s="114" t="e">
        <f>'THE BOARD'!#REF!</f>
        <v>#REF!</v>
      </c>
      <c r="D255" s="115" t="e">
        <f>'THE BOARD'!#REF!</f>
        <v>#REF!</v>
      </c>
      <c r="E255" s="115" t="e">
        <f>'THE BOARD'!#REF!</f>
        <v>#REF!</v>
      </c>
      <c r="F255" s="115" t="e">
        <f>'THE BOARD'!#REF!</f>
        <v>#REF!</v>
      </c>
      <c r="G255" s="115" t="e">
        <f>'THE BOARD'!#REF!</f>
        <v>#REF!</v>
      </c>
      <c r="H255" s="115" t="e">
        <f>'THE BOARD'!#REF!</f>
        <v>#REF!</v>
      </c>
      <c r="I255" s="115"/>
      <c r="J255" s="115">
        <f>'THE BOARD'!Q7</f>
        <v>0</v>
      </c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</row>
    <row r="256" spans="1:26" x14ac:dyDescent="0.2">
      <c r="A256" s="113" t="e">
        <f>'THE BOARD'!#REF!</f>
        <v>#REF!</v>
      </c>
      <c r="B256" s="113" t="e">
        <f>'THE BOARD'!#REF!</f>
        <v>#REF!</v>
      </c>
      <c r="C256" s="114" t="e">
        <f>'THE BOARD'!#REF!</f>
        <v>#REF!</v>
      </c>
      <c r="D256" s="115" t="e">
        <f>'THE BOARD'!#REF!</f>
        <v>#REF!</v>
      </c>
      <c r="E256" s="115" t="e">
        <f>'THE BOARD'!#REF!</f>
        <v>#REF!</v>
      </c>
      <c r="F256" s="115" t="e">
        <f>'THE BOARD'!#REF!</f>
        <v>#REF!</v>
      </c>
      <c r="G256" s="115" t="e">
        <f>'THE BOARD'!#REF!</f>
        <v>#REF!</v>
      </c>
      <c r="H256" s="115" t="e">
        <f>'THE BOARD'!#REF!</f>
        <v>#REF!</v>
      </c>
      <c r="I256" s="115"/>
      <c r="J256" s="115">
        <f>'THE BOARD'!Q8</f>
        <v>0</v>
      </c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</row>
    <row r="257" spans="1:26" x14ac:dyDescent="0.2">
      <c r="A257" s="113" t="str">
        <f>'THE BOARD'!A2</f>
        <v>INDUSTRIAL</v>
      </c>
      <c r="B257" s="113" t="str">
        <f>'THE BOARD'!B2</f>
        <v>PO 19390 JOB 1120083 RAILS ONLY</v>
      </c>
      <c r="C257" s="114">
        <f>'THE BOARD'!D2</f>
        <v>45322</v>
      </c>
      <c r="D257" s="115">
        <f>'THE BOARD'!E2</f>
        <v>5</v>
      </c>
      <c r="E257" s="115">
        <f>'THE BOARD'!F2</f>
        <v>2</v>
      </c>
      <c r="F257" s="115">
        <f>'THE BOARD'!G2</f>
        <v>0</v>
      </c>
      <c r="G257" s="115">
        <f>'THE BOARD'!H2</f>
        <v>0</v>
      </c>
      <c r="H257" s="115">
        <f>'THE BOARD'!I2</f>
        <v>0</v>
      </c>
      <c r="I257" s="115"/>
      <c r="J257" s="115">
        <f>'THE BOARD'!Q9</f>
        <v>0</v>
      </c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</row>
    <row r="258" spans="1:26" x14ac:dyDescent="0.2">
      <c r="A258" s="113" t="str">
        <f>'THE BOARD'!A3</f>
        <v>RESERVE PAX</v>
      </c>
      <c r="B258" s="113" t="str">
        <f>'THE BOARD'!B3</f>
        <v>FEBRUARY</v>
      </c>
      <c r="C258" s="114">
        <f>'THE BOARD'!D3</f>
        <v>45323</v>
      </c>
      <c r="D258" s="115">
        <f>'THE BOARD'!E3</f>
        <v>0</v>
      </c>
      <c r="E258" s="115">
        <f>'THE BOARD'!F3</f>
        <v>0</v>
      </c>
      <c r="F258" s="115">
        <f>'THE BOARD'!G3</f>
        <v>0</v>
      </c>
      <c r="G258" s="115">
        <f>'THE BOARD'!H3</f>
        <v>0</v>
      </c>
      <c r="H258" s="115">
        <f>'THE BOARD'!I3</f>
        <v>0</v>
      </c>
      <c r="I258" s="115"/>
      <c r="J258" s="115">
        <f>'THE BOARD'!Q10</f>
        <v>0</v>
      </c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</row>
    <row r="259" spans="1:26" x14ac:dyDescent="0.2">
      <c r="A259" s="113" t="str">
        <f>'THE BOARD'!A4</f>
        <v>PAX</v>
      </c>
      <c r="B259" s="113" t="str">
        <f>'THE BOARD'!B4</f>
        <v>246-102</v>
      </c>
      <c r="C259" s="114">
        <f>'THE BOARD'!D4</f>
        <v>45324</v>
      </c>
      <c r="D259" s="115">
        <f>'THE BOARD'!E4</f>
        <v>6</v>
      </c>
      <c r="E259" s="115" t="str">
        <f>'THE BOARD'!F4</f>
        <v xml:space="preserve"> </v>
      </c>
      <c r="F259" s="115">
        <f>'THE BOARD'!G4</f>
        <v>0</v>
      </c>
      <c r="G259" s="115">
        <f>'THE BOARD'!H4</f>
        <v>1</v>
      </c>
      <c r="H259" s="115">
        <f>'THE BOARD'!I4</f>
        <v>0</v>
      </c>
      <c r="I259" s="115"/>
      <c r="J259" s="115">
        <f>'THE BOARD'!Q11</f>
        <v>0</v>
      </c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</row>
    <row r="260" spans="1:26" x14ac:dyDescent="0.2">
      <c r="A260" s="113" t="str">
        <f>'THE BOARD'!A5</f>
        <v>PAX</v>
      </c>
      <c r="B260" s="113" t="str">
        <f>'THE BOARD'!B5</f>
        <v>246-209</v>
      </c>
      <c r="C260" s="118">
        <f>'THE BOARD'!D5</f>
        <v>45324</v>
      </c>
      <c r="D260" s="115">
        <f>'THE BOARD'!E5</f>
        <v>5</v>
      </c>
      <c r="E260" s="115">
        <f>'THE BOARD'!F5</f>
        <v>2</v>
      </c>
      <c r="F260" s="115">
        <f>'THE BOARD'!G5</f>
        <v>2</v>
      </c>
      <c r="G260" s="115">
        <f>'THE BOARD'!H5</f>
        <v>0</v>
      </c>
      <c r="H260" s="115">
        <f>'THE BOARD'!I5</f>
        <v>0</v>
      </c>
      <c r="I260" s="115"/>
      <c r="J260" s="115">
        <f>'THE BOARD'!Q12</f>
        <v>0</v>
      </c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</row>
    <row r="261" spans="1:26" x14ac:dyDescent="0.2">
      <c r="A261" s="113" t="str">
        <f>'THE BOARD'!A6</f>
        <v>PAX</v>
      </c>
      <c r="B261" s="113" t="str">
        <f>'THE BOARD'!B6</f>
        <v>246-210</v>
      </c>
      <c r="C261" s="118">
        <f>'THE BOARD'!D6</f>
        <v>45324</v>
      </c>
      <c r="D261" s="115">
        <f>'THE BOARD'!E6</f>
        <v>5</v>
      </c>
      <c r="E261" s="115">
        <f>'THE BOARD'!F6</f>
        <v>2</v>
      </c>
      <c r="F261" s="115">
        <f>'THE BOARD'!G6</f>
        <v>2</v>
      </c>
      <c r="G261" s="115">
        <f>'THE BOARD'!H6</f>
        <v>0</v>
      </c>
      <c r="H261" s="115">
        <f>'THE BOARD'!I6</f>
        <v>0</v>
      </c>
      <c r="I261" s="115"/>
      <c r="J261" s="115">
        <f>'THE BOARD'!Q13</f>
        <v>0</v>
      </c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</row>
    <row r="262" spans="1:26" x14ac:dyDescent="0.2">
      <c r="A262" s="113" t="str">
        <f>'THE BOARD'!A7</f>
        <v>PAX</v>
      </c>
      <c r="B262" s="113" t="str">
        <f>'THE BOARD'!B7</f>
        <v>246-103</v>
      </c>
      <c r="C262" s="114">
        <f>'THE BOARD'!D7</f>
        <v>45324</v>
      </c>
      <c r="D262" s="115">
        <f>'THE BOARD'!E7</f>
        <v>7</v>
      </c>
      <c r="E262" s="115">
        <f>'THE BOARD'!F7</f>
        <v>4</v>
      </c>
      <c r="F262" s="115">
        <f>'THE BOARD'!G7</f>
        <v>4</v>
      </c>
      <c r="G262" s="115">
        <f>'THE BOARD'!H7</f>
        <v>0</v>
      </c>
      <c r="H262" s="115">
        <f>'THE BOARD'!I7</f>
        <v>0</v>
      </c>
      <c r="I262" s="115"/>
      <c r="J262" s="115">
        <f>'THE BOARD'!Q14</f>
        <v>0</v>
      </c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</row>
    <row r="263" spans="1:26" x14ac:dyDescent="0.2">
      <c r="A263" s="113" t="str">
        <f>'THE BOARD'!A8</f>
        <v>PAX</v>
      </c>
      <c r="B263" s="113" t="str">
        <f>'THE BOARD'!B8</f>
        <v>246-82</v>
      </c>
      <c r="C263" s="114">
        <f>'THE BOARD'!D8</f>
        <v>45324</v>
      </c>
      <c r="D263" s="115">
        <f>'THE BOARD'!E8</f>
        <v>20</v>
      </c>
      <c r="E263" s="115">
        <f>'THE BOARD'!F8</f>
        <v>4</v>
      </c>
      <c r="F263" s="115">
        <f>'THE BOARD'!G8</f>
        <v>4</v>
      </c>
      <c r="G263" s="115">
        <f>'THE BOARD'!H8</f>
        <v>2</v>
      </c>
      <c r="H263" s="115">
        <f>'THE BOARD'!I8</f>
        <v>1</v>
      </c>
      <c r="I263" s="115"/>
      <c r="J263" s="115">
        <f>'THE BOARD'!Q15</f>
        <v>0</v>
      </c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</row>
    <row r="264" spans="1:26" x14ac:dyDescent="0.2">
      <c r="A264" s="113" t="str">
        <f>'THE BOARD'!A9</f>
        <v>PAX</v>
      </c>
      <c r="B264" s="113" t="str">
        <f>'THE BOARD'!B9</f>
        <v>246-94</v>
      </c>
      <c r="C264" s="114">
        <f>'THE BOARD'!D9</f>
        <v>45324</v>
      </c>
      <c r="D264" s="115">
        <f>'THE BOARD'!E9</f>
        <v>18</v>
      </c>
      <c r="E264" s="115">
        <f>'THE BOARD'!F9</f>
        <v>8</v>
      </c>
      <c r="F264" s="115">
        <f>'THE BOARD'!G9</f>
        <v>8</v>
      </c>
      <c r="G264" s="115">
        <f>'THE BOARD'!H9</f>
        <v>3</v>
      </c>
      <c r="H264" s="115">
        <f>'THE BOARD'!I9</f>
        <v>0</v>
      </c>
      <c r="I264" s="115"/>
      <c r="J264" s="115">
        <f>'THE BOARD'!Q16</f>
        <v>0</v>
      </c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</row>
    <row r="265" spans="1:26" x14ac:dyDescent="0.2">
      <c r="A265" s="113" t="str">
        <f>'THE BOARD'!A10</f>
        <v>PAX</v>
      </c>
      <c r="B265" s="113" t="str">
        <f>'THE BOARD'!B10</f>
        <v>246-224M</v>
      </c>
      <c r="C265" s="114">
        <f>'THE BOARD'!D10</f>
        <v>45324</v>
      </c>
      <c r="D265" s="115">
        <f>'THE BOARD'!E10</f>
        <v>89</v>
      </c>
      <c r="E265" s="115">
        <f>'THE BOARD'!F10</f>
        <v>0</v>
      </c>
      <c r="F265" s="115">
        <f>'THE BOARD'!G10</f>
        <v>0</v>
      </c>
      <c r="G265" s="115">
        <f>'THE BOARD'!H10</f>
        <v>0</v>
      </c>
      <c r="H265" s="115">
        <f>'THE BOARD'!I10</f>
        <v>28</v>
      </c>
      <c r="I265" s="115"/>
      <c r="J265" s="115">
        <f>'THE BOARD'!Q17</f>
        <v>0</v>
      </c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</row>
    <row r="266" spans="1:26" x14ac:dyDescent="0.2">
      <c r="A266" s="113" t="str">
        <f>'THE BOARD'!A11</f>
        <v>PAX</v>
      </c>
      <c r="B266" s="113" t="str">
        <f>'THE BOARD'!B11</f>
        <v>246-113</v>
      </c>
      <c r="C266" s="118">
        <f>'THE BOARD'!D11</f>
        <v>45324</v>
      </c>
      <c r="D266" s="115">
        <f>'THE BOARD'!E11</f>
        <v>50</v>
      </c>
      <c r="E266" s="115">
        <f>'THE BOARD'!F11</f>
        <v>16</v>
      </c>
      <c r="F266" s="115">
        <f>'THE BOARD'!G11</f>
        <v>16</v>
      </c>
      <c r="G266" s="115">
        <f>'THE BOARD'!H11</f>
        <v>4</v>
      </c>
      <c r="H266" s="115">
        <f>'THE BOARD'!I11</f>
        <v>0</v>
      </c>
      <c r="I266" s="115"/>
      <c r="J266" s="115">
        <f>'THE BOARD'!Q18</f>
        <v>0</v>
      </c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</row>
    <row r="267" spans="1:26" x14ac:dyDescent="0.2">
      <c r="A267" s="113" t="str">
        <f>'THE BOARD'!A12</f>
        <v>PAX</v>
      </c>
      <c r="B267" s="113" t="str">
        <f>'THE BOARD'!B12</f>
        <v>246-226</v>
      </c>
      <c r="C267" s="118">
        <f>'THE BOARD'!D12</f>
        <v>45324</v>
      </c>
      <c r="D267" s="115">
        <f>'THE BOARD'!E12</f>
        <v>12</v>
      </c>
      <c r="E267" s="115">
        <f>'THE BOARD'!F12</f>
        <v>4</v>
      </c>
      <c r="F267" s="115">
        <f>'THE BOARD'!G12</f>
        <v>4</v>
      </c>
      <c r="G267" s="115">
        <f>'THE BOARD'!H12</f>
        <v>1</v>
      </c>
      <c r="H267" s="115">
        <f>'THE BOARD'!I12</f>
        <v>0</v>
      </c>
      <c r="I267" s="115"/>
      <c r="J267" s="115">
        <f>'THE BOARD'!Q19</f>
        <v>0</v>
      </c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</row>
    <row r="268" spans="1:26" x14ac:dyDescent="0.2">
      <c r="A268" s="113" t="str">
        <f>'THE BOARD'!A13</f>
        <v>PAX</v>
      </c>
      <c r="B268" s="113" t="str">
        <f>'THE BOARD'!B13</f>
        <v>246-27</v>
      </c>
      <c r="C268" s="118">
        <f>'THE BOARD'!D13</f>
        <v>45324</v>
      </c>
      <c r="D268" s="115">
        <f>'THE BOARD'!E13</f>
        <v>34</v>
      </c>
      <c r="E268" s="115">
        <f>'THE BOARD'!F13</f>
        <v>8</v>
      </c>
      <c r="F268" s="115">
        <f>'THE BOARD'!G13</f>
        <v>6</v>
      </c>
      <c r="G268" s="115">
        <f>'THE BOARD'!H13</f>
        <v>2</v>
      </c>
      <c r="H268" s="115">
        <f>'THE BOARD'!I13</f>
        <v>0</v>
      </c>
      <c r="I268" s="115"/>
      <c r="J268" s="115">
        <f>'THE BOARD'!Q20</f>
        <v>0</v>
      </c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</row>
    <row r="269" spans="1:26" x14ac:dyDescent="0.2">
      <c r="A269" s="113" t="str">
        <f>'THE BOARD'!A14</f>
        <v>PAX</v>
      </c>
      <c r="B269" s="113" t="str">
        <f>'THE BOARD'!B14</f>
        <v>246-88</v>
      </c>
      <c r="C269" s="114">
        <f>'THE BOARD'!D14</f>
        <v>45324</v>
      </c>
      <c r="D269" s="115">
        <f>'THE BOARD'!E14</f>
        <v>8</v>
      </c>
      <c r="E269" s="115">
        <f>'THE BOARD'!F14</f>
        <v>10</v>
      </c>
      <c r="F269" s="115">
        <f>'THE BOARD'!G14</f>
        <v>10</v>
      </c>
      <c r="G269" s="115">
        <f>'THE BOARD'!H14</f>
        <v>0</v>
      </c>
      <c r="H269" s="115">
        <f>'THE BOARD'!I14</f>
        <v>0</v>
      </c>
      <c r="I269" s="115"/>
      <c r="J269" s="115">
        <f>'THE BOARD'!Q21</f>
        <v>0</v>
      </c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</row>
    <row r="270" spans="1:26" x14ac:dyDescent="0.2">
      <c r="A270" s="113" t="str">
        <f>'THE BOARD'!A15</f>
        <v>INDUSTRIAL</v>
      </c>
      <c r="B270" s="113" t="str">
        <f>'THE BOARD'!B15</f>
        <v>PO 19384, JOB 61214920</v>
      </c>
      <c r="C270" s="114">
        <f>'THE BOARD'!D15</f>
        <v>45324</v>
      </c>
      <c r="D270" s="115">
        <f>'THE BOARD'!E15</f>
        <v>7</v>
      </c>
      <c r="E270" s="115">
        <f>'THE BOARD'!F15</f>
        <v>0</v>
      </c>
      <c r="F270" s="115">
        <f>'THE BOARD'!G15</f>
        <v>0</v>
      </c>
      <c r="G270" s="115">
        <f>'THE BOARD'!H15</f>
        <v>0</v>
      </c>
      <c r="H270" s="115">
        <f>'THE BOARD'!I15</f>
        <v>0</v>
      </c>
      <c r="I270" s="115"/>
      <c r="J270" s="115">
        <f>'THE BOARD'!Q23</f>
        <v>0</v>
      </c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</row>
    <row r="271" spans="1:26" x14ac:dyDescent="0.2">
      <c r="A271" s="113" t="str">
        <f>'THE BOARD'!A16</f>
        <v>PAX</v>
      </c>
      <c r="B271" s="113" t="str">
        <f>'THE BOARD'!B16</f>
        <v>246-186</v>
      </c>
      <c r="C271" s="116">
        <f>'THE BOARD'!D16</f>
        <v>45331</v>
      </c>
      <c r="D271" s="115">
        <f>'THE BOARD'!E16</f>
        <v>24</v>
      </c>
      <c r="E271" s="115">
        <f>'THE BOARD'!F16</f>
        <v>0</v>
      </c>
      <c r="F271" s="115">
        <f>'THE BOARD'!G16</f>
        <v>0</v>
      </c>
      <c r="G271" s="115">
        <f>'THE BOARD'!H16</f>
        <v>7</v>
      </c>
      <c r="H271" s="115">
        <f>'THE BOARD'!I16</f>
        <v>0</v>
      </c>
      <c r="I271" s="115"/>
      <c r="J271" s="115">
        <f>'THE BOARD'!Q24</f>
        <v>0</v>
      </c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</row>
    <row r="272" spans="1:26" x14ac:dyDescent="0.2">
      <c r="A272" s="113" t="str">
        <f>'THE BOARD'!A17</f>
        <v>PAX</v>
      </c>
      <c r="B272" s="113" t="str">
        <f>'THE BOARD'!B17</f>
        <v>246-218</v>
      </c>
      <c r="C272" s="116">
        <f>'THE BOARD'!D17</f>
        <v>45331</v>
      </c>
      <c r="D272" s="115">
        <f>'THE BOARD'!E17</f>
        <v>0</v>
      </c>
      <c r="E272" s="115">
        <f>'THE BOARD'!F17</f>
        <v>4</v>
      </c>
      <c r="F272" s="115">
        <f>'THE BOARD'!G17</f>
        <v>4</v>
      </c>
      <c r="G272" s="115">
        <f>'THE BOARD'!H17</f>
        <v>0</v>
      </c>
      <c r="H272" s="115">
        <f>'THE BOARD'!I17</f>
        <v>0</v>
      </c>
      <c r="I272" s="115"/>
      <c r="J272" s="115">
        <f>'THE BOARD'!Q25</f>
        <v>0</v>
      </c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</row>
    <row r="273" spans="1:26" x14ac:dyDescent="0.2">
      <c r="A273" s="113" t="str">
        <f>'THE BOARD'!A18</f>
        <v>PAX</v>
      </c>
      <c r="B273" s="113" t="str">
        <f>'THE BOARD'!B18</f>
        <v>246-79M</v>
      </c>
      <c r="C273" s="116">
        <f>'THE BOARD'!D18</f>
        <v>45331</v>
      </c>
      <c r="D273" s="115">
        <f>'THE BOARD'!E18</f>
        <v>20</v>
      </c>
      <c r="E273" s="115">
        <f>'THE BOARD'!F18</f>
        <v>0</v>
      </c>
      <c r="F273" s="115">
        <f>'THE BOARD'!G18</f>
        <v>0</v>
      </c>
      <c r="G273" s="115">
        <f>'THE BOARD'!H18</f>
        <v>1</v>
      </c>
      <c r="H273" s="115">
        <f>'THE BOARD'!I18</f>
        <v>0</v>
      </c>
      <c r="I273" s="115"/>
      <c r="J273" s="115">
        <f>'THE BOARD'!Q26</f>
        <v>0</v>
      </c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</row>
    <row r="274" spans="1:26" x14ac:dyDescent="0.2">
      <c r="A274" s="113" t="str">
        <f>'THE BOARD'!A19</f>
        <v>SOUTHLAND</v>
      </c>
      <c r="B274" s="113" t="str">
        <f>'THE BOARD'!B19</f>
        <v>L216</v>
      </c>
      <c r="C274" s="116">
        <f>'THE BOARD'!D19</f>
        <v>45331</v>
      </c>
      <c r="D274" s="115">
        <f>'THE BOARD'!E19</f>
        <v>37</v>
      </c>
      <c r="E274" s="115">
        <f>'THE BOARD'!F19</f>
        <v>8</v>
      </c>
      <c r="F274" s="115">
        <f>'THE BOARD'!G19</f>
        <v>8</v>
      </c>
      <c r="G274" s="115">
        <f>'THE BOARD'!H19</f>
        <v>3</v>
      </c>
      <c r="H274" s="115">
        <f>'THE BOARD'!I19</f>
        <v>0</v>
      </c>
      <c r="I274" s="115"/>
      <c r="J274" s="115">
        <f>'THE BOARD'!Q27</f>
        <v>0</v>
      </c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</row>
    <row r="275" spans="1:26" x14ac:dyDescent="0.2">
      <c r="A275" s="113" t="str">
        <f>'THE BOARD'!A20</f>
        <v>SOUTHLAND</v>
      </c>
      <c r="B275" s="113" t="str">
        <f>'THE BOARD'!B20</f>
        <v>L217</v>
      </c>
      <c r="C275" s="116">
        <f>'THE BOARD'!D20</f>
        <v>45331</v>
      </c>
      <c r="D275" s="115">
        <f>'THE BOARD'!E20</f>
        <v>35</v>
      </c>
      <c r="E275" s="115">
        <f>'THE BOARD'!F20</f>
        <v>8</v>
      </c>
      <c r="F275" s="115">
        <f>'THE BOARD'!G20</f>
        <v>8</v>
      </c>
      <c r="G275" s="115">
        <f>'THE BOARD'!H20</f>
        <v>3</v>
      </c>
      <c r="H275" s="115">
        <f>'THE BOARD'!I20</f>
        <v>0</v>
      </c>
      <c r="I275" s="115"/>
      <c r="J275" s="115">
        <f>'THE BOARD'!Q28</f>
        <v>0</v>
      </c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</row>
    <row r="276" spans="1:26" x14ac:dyDescent="0.2">
      <c r="A276" s="113" t="str">
        <f>'THE BOARD'!A44</f>
        <v>PAX</v>
      </c>
      <c r="B276" s="115" t="str">
        <f>'THE BOARD'!B44</f>
        <v>246-14CM</v>
      </c>
      <c r="C276" s="116">
        <f>'THE BOARD'!D21</f>
        <v>45331</v>
      </c>
      <c r="D276" s="115">
        <f>'THE BOARD'!E21</f>
        <v>2</v>
      </c>
      <c r="E276" s="115">
        <f>'THE BOARD'!F21</f>
        <v>2</v>
      </c>
      <c r="F276" s="115">
        <f>'THE BOARD'!G21</f>
        <v>2</v>
      </c>
      <c r="G276" s="115">
        <f>'THE BOARD'!H21</f>
        <v>0</v>
      </c>
      <c r="H276" s="115">
        <f>'THE BOARD'!I21</f>
        <v>0</v>
      </c>
      <c r="I276" s="115"/>
      <c r="J276" s="115">
        <f>'THE BOARD'!Q29</f>
        <v>0</v>
      </c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</row>
    <row r="277" spans="1:26" x14ac:dyDescent="0.2">
      <c r="A277" s="113" t="str">
        <f>'THE BOARD'!A45</f>
        <v>PAX</v>
      </c>
      <c r="B277" s="115" t="str">
        <f>'THE BOARD'!B45</f>
        <v>246-14DM</v>
      </c>
      <c r="C277" s="116">
        <f>'THE BOARD'!D23</f>
        <v>45331</v>
      </c>
      <c r="D277" s="115">
        <f>'THE BOARD'!E23</f>
        <v>20</v>
      </c>
      <c r="E277" s="115">
        <f>'THE BOARD'!F23</f>
        <v>6</v>
      </c>
      <c r="F277" s="115">
        <f>'THE BOARD'!G23</f>
        <v>8</v>
      </c>
      <c r="G277" s="115">
        <f>'THE BOARD'!H23</f>
        <v>2</v>
      </c>
      <c r="H277" s="115">
        <f>'THE BOARD'!I23</f>
        <v>0</v>
      </c>
      <c r="I277" s="115"/>
      <c r="J277" s="115">
        <f>'THE BOARD'!Q30</f>
        <v>0</v>
      </c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</row>
    <row r="278" spans="1:26" x14ac:dyDescent="0.2">
      <c r="A278" s="113" t="str">
        <f>'THE BOARD'!A46</f>
        <v>PAX</v>
      </c>
      <c r="B278" s="115" t="str">
        <f>'THE BOARD'!B46</f>
        <v>246-14EM</v>
      </c>
      <c r="C278" s="116">
        <f>'THE BOARD'!D24</f>
        <v>45331</v>
      </c>
      <c r="D278" s="115">
        <f>'THE BOARD'!E24</f>
        <v>20</v>
      </c>
      <c r="E278" s="115">
        <f>'THE BOARD'!F24</f>
        <v>6</v>
      </c>
      <c r="F278" s="115">
        <f>'THE BOARD'!G24</f>
        <v>6</v>
      </c>
      <c r="G278" s="115">
        <f>'THE BOARD'!H24</f>
        <v>2</v>
      </c>
      <c r="H278" s="115">
        <f>'THE BOARD'!I24</f>
        <v>2</v>
      </c>
      <c r="I278" s="115"/>
      <c r="J278" s="115">
        <f>'THE BOARD'!Q32</f>
        <v>0</v>
      </c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</row>
    <row r="279" spans="1:26" x14ac:dyDescent="0.2">
      <c r="A279" s="113" t="str">
        <f>'THE BOARD'!A47</f>
        <v>LAPEYRE</v>
      </c>
      <c r="B279" s="115" t="str">
        <f>'THE BOARD'!B47</f>
        <v>AVONDALE STAIR 4 PAINT</v>
      </c>
      <c r="C279" s="116">
        <f>'THE BOARD'!D25</f>
        <v>45331</v>
      </c>
      <c r="D279" s="115">
        <f>'THE BOARD'!E25</f>
        <v>30</v>
      </c>
      <c r="E279" s="115">
        <f>'THE BOARD'!F25</f>
        <v>8</v>
      </c>
      <c r="F279" s="115">
        <f>'THE BOARD'!G25</f>
        <v>8</v>
      </c>
      <c r="G279" s="115">
        <f>'THE BOARD'!H25</f>
        <v>2</v>
      </c>
      <c r="H279" s="115">
        <f>'THE BOARD'!I25</f>
        <v>0</v>
      </c>
      <c r="I279" s="115"/>
      <c r="J279" s="115">
        <f>'THE BOARD'!Q33</f>
        <v>0</v>
      </c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</row>
    <row r="280" spans="1:26" x14ac:dyDescent="0.2">
      <c r="A280" s="113" t="str">
        <f>'THE BOARD'!A48</f>
        <v>LAPEYRE</v>
      </c>
      <c r="B280" s="115" t="str">
        <f>'THE BOARD'!B48</f>
        <v>AVONDALE STAIR A REBUILT STAIRS</v>
      </c>
      <c r="C280" s="114">
        <f>'THE BOARD'!D26</f>
        <v>45331</v>
      </c>
      <c r="D280" s="115">
        <f>'THE BOARD'!E26</f>
        <v>13</v>
      </c>
      <c r="E280" s="115">
        <f>'THE BOARD'!F26</f>
        <v>0</v>
      </c>
      <c r="F280" s="115">
        <f>'THE BOARD'!G26</f>
        <v>0</v>
      </c>
      <c r="G280" s="115">
        <f>'THE BOARD'!H26</f>
        <v>1</v>
      </c>
      <c r="H280" s="115">
        <f>'THE BOARD'!I26</f>
        <v>4</v>
      </c>
      <c r="I280" s="115"/>
      <c r="J280" s="115">
        <f>'THE BOARD'!Q34</f>
        <v>0</v>
      </c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</row>
    <row r="281" spans="1:26" x14ac:dyDescent="0.2">
      <c r="A281" s="113" t="str">
        <f>'THE BOARD'!A49</f>
        <v>STRUCTURAL STEEL</v>
      </c>
      <c r="B281" s="115" t="str">
        <f>'THE BOARD'!B49</f>
        <v>3233G LADDERS (2ND SET) PO F21742</v>
      </c>
      <c r="C281" s="114">
        <f>'THE BOARD'!D27</f>
        <v>45331</v>
      </c>
      <c r="D281" s="115">
        <f>'THE BOARD'!E27</f>
        <v>0</v>
      </c>
      <c r="E281" s="115">
        <f>'THE BOARD'!F27</f>
        <v>5</v>
      </c>
      <c r="F281" s="115">
        <f>'THE BOARD'!G27</f>
        <v>0</v>
      </c>
      <c r="G281" s="115">
        <f>'THE BOARD'!H27</f>
        <v>0</v>
      </c>
      <c r="H281" s="115">
        <f>'THE BOARD'!I27</f>
        <v>0</v>
      </c>
      <c r="I281" s="115"/>
      <c r="J281" s="115">
        <f>'THE BOARD'!Q35</f>
        <v>0</v>
      </c>
      <c r="K281" s="112"/>
      <c r="L281" s="112"/>
      <c r="M281" s="112"/>
      <c r="N281" s="112"/>
      <c r="O281" s="112"/>
      <c r="P281" s="112"/>
      <c r="Q281" s="112"/>
      <c r="R281" s="112"/>
      <c r="S281" s="112"/>
      <c r="T281" s="112"/>
      <c r="U281" s="112"/>
      <c r="V281" s="112"/>
      <c r="W281" s="112"/>
      <c r="X281" s="112"/>
      <c r="Y281" s="112"/>
      <c r="Z281" s="112"/>
    </row>
    <row r="282" spans="1:26" x14ac:dyDescent="0.2">
      <c r="A282" s="113" t="str">
        <f>'THE BOARD'!A50</f>
        <v>PAX</v>
      </c>
      <c r="B282" s="115" t="str">
        <f>'THE BOARD'!B50</f>
        <v>318-3M</v>
      </c>
      <c r="C282" s="114">
        <f>'THE BOARD'!D28</f>
        <v>45338</v>
      </c>
      <c r="D282" s="115">
        <f>'THE BOARD'!E28</f>
        <v>16</v>
      </c>
      <c r="E282" s="115" t="str">
        <f>'THE BOARD'!F28</f>
        <v xml:space="preserve"> </v>
      </c>
      <c r="F282" s="115">
        <f>'THE BOARD'!G28</f>
        <v>0</v>
      </c>
      <c r="G282" s="115">
        <f>'THE BOARD'!H28</f>
        <v>2</v>
      </c>
      <c r="H282" s="115">
        <f>'THE BOARD'!I28</f>
        <v>0</v>
      </c>
      <c r="I282" s="115"/>
      <c r="J282" s="115">
        <f>'THE BOARD'!Q36</f>
        <v>0</v>
      </c>
      <c r="K282" s="112"/>
      <c r="L282" s="112"/>
      <c r="M282" s="112"/>
      <c r="N282" s="112"/>
      <c r="O282" s="112"/>
      <c r="P282" s="112"/>
      <c r="Q282" s="112"/>
      <c r="R282" s="112"/>
      <c r="S282" s="112"/>
      <c r="T282" s="112"/>
      <c r="U282" s="112"/>
      <c r="V282" s="112"/>
      <c r="W282" s="112"/>
      <c r="X282" s="112"/>
      <c r="Y282" s="112"/>
      <c r="Z282" s="112"/>
    </row>
    <row r="283" spans="1:26" x14ac:dyDescent="0.2">
      <c r="A283" s="113" t="str">
        <f>'THE BOARD'!A51</f>
        <v>Turner</v>
      </c>
      <c r="B283" s="115" t="str">
        <f>'THE BOARD'!B51</f>
        <v>PEABODY 4</v>
      </c>
      <c r="C283" s="114">
        <f>'THE BOARD'!D29</f>
        <v>45338</v>
      </c>
      <c r="D283" s="115">
        <f>'THE BOARD'!E29</f>
        <v>35</v>
      </c>
      <c r="E283" s="115">
        <f>'THE BOARD'!F29</f>
        <v>8</v>
      </c>
      <c r="F283" s="115">
        <f>'THE BOARD'!G29</f>
        <v>8</v>
      </c>
      <c r="G283" s="115">
        <f>'THE BOARD'!H29</f>
        <v>3</v>
      </c>
      <c r="H283" s="115">
        <f>'THE BOARD'!I29</f>
        <v>0</v>
      </c>
      <c r="I283" s="115"/>
      <c r="J283" s="115">
        <f>'THE BOARD'!Q37</f>
        <v>0</v>
      </c>
      <c r="K283" s="112"/>
      <c r="L283" s="112"/>
      <c r="M283" s="112"/>
      <c r="N283" s="112"/>
      <c r="O283" s="112"/>
      <c r="P283" s="112"/>
      <c r="Q283" s="112"/>
      <c r="R283" s="112"/>
      <c r="S283" s="112"/>
      <c r="T283" s="112"/>
      <c r="U283" s="112"/>
      <c r="V283" s="112"/>
      <c r="W283" s="112"/>
      <c r="X283" s="112"/>
      <c r="Y283" s="112"/>
      <c r="Z283" s="112"/>
    </row>
    <row r="284" spans="1:26" x14ac:dyDescent="0.2">
      <c r="A284" s="113" t="e">
        <f>'THE BOARD'!#REF!</f>
        <v>#REF!</v>
      </c>
      <c r="B284" s="115" t="e">
        <f>'THE BOARD'!#REF!</f>
        <v>#REF!</v>
      </c>
      <c r="C284" s="118">
        <f>'THE BOARD'!D30</f>
        <v>45338</v>
      </c>
      <c r="D284" s="115" t="str">
        <f>'THE BOARD'!E30</f>
        <v xml:space="preserve"> </v>
      </c>
      <c r="E284" s="115" t="str">
        <f>'THE BOARD'!F30</f>
        <v xml:space="preserve"> </v>
      </c>
      <c r="F284" s="115" t="str">
        <f>'THE BOARD'!G30</f>
        <v xml:space="preserve"> </v>
      </c>
      <c r="G284" s="115" t="str">
        <f>'THE BOARD'!H30</f>
        <v xml:space="preserve"> </v>
      </c>
      <c r="H284" s="115">
        <f>'THE BOARD'!I30</f>
        <v>12</v>
      </c>
      <c r="I284" s="115"/>
      <c r="J284" s="115">
        <f>'THE BOARD'!Q38</f>
        <v>0</v>
      </c>
      <c r="K284" s="112"/>
      <c r="L284" s="112"/>
      <c r="M284" s="112"/>
      <c r="N284" s="112"/>
      <c r="O284" s="112"/>
      <c r="P284" s="112"/>
      <c r="Q284" s="112"/>
      <c r="R284" s="112"/>
      <c r="S284" s="112"/>
      <c r="T284" s="112"/>
      <c r="U284" s="112"/>
      <c r="V284" s="112"/>
      <c r="W284" s="112"/>
      <c r="X284" s="112"/>
      <c r="Y284" s="112"/>
      <c r="Z284" s="112"/>
    </row>
    <row r="285" spans="1:26" x14ac:dyDescent="0.2">
      <c r="A285" s="113" t="str">
        <f>'THE BOARD'!A52</f>
        <v>PAX</v>
      </c>
      <c r="B285" s="115" t="str">
        <f>'THE BOARD'!B52</f>
        <v>246-15M</v>
      </c>
      <c r="C285" s="114">
        <f>'THE BOARD'!D32</f>
        <v>45338</v>
      </c>
      <c r="D285" s="115">
        <f>'THE BOARD'!E32</f>
        <v>37</v>
      </c>
      <c r="E285" s="115">
        <f>'THE BOARD'!F32</f>
        <v>8</v>
      </c>
      <c r="F285" s="115">
        <f>'THE BOARD'!G32</f>
        <v>8</v>
      </c>
      <c r="G285" s="115">
        <f>'THE BOARD'!H32</f>
        <v>3</v>
      </c>
      <c r="H285" s="115">
        <f>'THE BOARD'!I32</f>
        <v>0</v>
      </c>
      <c r="I285" s="115"/>
      <c r="J285" s="115">
        <f>'THE BOARD'!Q39</f>
        <v>0</v>
      </c>
      <c r="K285" s="112"/>
      <c r="L285" s="112"/>
      <c r="M285" s="112"/>
      <c r="N285" s="112"/>
      <c r="O285" s="112"/>
      <c r="P285" s="112"/>
      <c r="Q285" s="112"/>
      <c r="R285" s="112"/>
      <c r="S285" s="112"/>
      <c r="T285" s="112"/>
      <c r="U285" s="112"/>
      <c r="V285" s="112"/>
      <c r="W285" s="112"/>
      <c r="X285" s="112"/>
      <c r="Y285" s="112"/>
      <c r="Z285" s="112"/>
    </row>
    <row r="286" spans="1:26" x14ac:dyDescent="0.2">
      <c r="A286" s="113" t="str">
        <f>'THE BOARD'!A53</f>
        <v xml:space="preserve">SOUTHLAND </v>
      </c>
      <c r="B286" s="115" t="str">
        <f>'THE BOARD'!B53</f>
        <v>P208 REVISION HR 5664</v>
      </c>
      <c r="C286" s="114">
        <f>'THE BOARD'!D33</f>
        <v>45338</v>
      </c>
      <c r="D286" s="115">
        <f>'THE BOARD'!E33</f>
        <v>33</v>
      </c>
      <c r="E286" s="115">
        <f>'THE BOARD'!F33</f>
        <v>8</v>
      </c>
      <c r="F286" s="115">
        <f>'THE BOARD'!G33</f>
        <v>8</v>
      </c>
      <c r="G286" s="115">
        <f>'THE BOARD'!H33</f>
        <v>3</v>
      </c>
      <c r="H286" s="115">
        <f>'THE BOARD'!I33</f>
        <v>0</v>
      </c>
      <c r="I286" s="115"/>
      <c r="J286" s="115">
        <f>'THE BOARD'!Q40</f>
        <v>0</v>
      </c>
      <c r="K286" s="112"/>
      <c r="L286" s="112"/>
      <c r="M286" s="112"/>
      <c r="N286" s="112"/>
      <c r="O286" s="112"/>
      <c r="P286" s="112"/>
      <c r="Q286" s="112"/>
      <c r="R286" s="112"/>
      <c r="S286" s="112"/>
      <c r="T286" s="112"/>
      <c r="U286" s="112"/>
      <c r="V286" s="112"/>
      <c r="W286" s="112"/>
      <c r="X286" s="112"/>
      <c r="Y286" s="112"/>
      <c r="Z286" s="112"/>
    </row>
    <row r="287" spans="1:26" x14ac:dyDescent="0.2">
      <c r="A287" s="113" t="str">
        <f>'THE BOARD'!A54</f>
        <v>PAX</v>
      </c>
      <c r="B287" s="115" t="str">
        <f>'THE BOARD'!B54</f>
        <v>277-1M.1</v>
      </c>
      <c r="C287" s="114">
        <f>'THE BOARD'!D34</f>
        <v>45341</v>
      </c>
      <c r="D287" s="115">
        <f>'THE BOARD'!E34</f>
        <v>0</v>
      </c>
      <c r="E287" s="115">
        <f>'THE BOARD'!F34</f>
        <v>0</v>
      </c>
      <c r="F287" s="115">
        <f>'THE BOARD'!G34</f>
        <v>0</v>
      </c>
      <c r="G287" s="115">
        <f>'THE BOARD'!H34</f>
        <v>0</v>
      </c>
      <c r="H287" s="115">
        <f>'THE BOARD'!I34</f>
        <v>0</v>
      </c>
      <c r="I287" s="115"/>
      <c r="J287" s="115">
        <f>'THE BOARD'!Q41</f>
        <v>0</v>
      </c>
      <c r="K287" s="112"/>
      <c r="L287" s="112"/>
      <c r="M287" s="112"/>
      <c r="N287" s="112"/>
      <c r="O287" s="112"/>
      <c r="P287" s="112"/>
      <c r="Q287" s="112"/>
      <c r="R287" s="112"/>
      <c r="S287" s="112"/>
      <c r="T287" s="112"/>
      <c r="U287" s="112"/>
      <c r="V287" s="112"/>
      <c r="W287" s="112"/>
      <c r="X287" s="112"/>
      <c r="Y287" s="112"/>
      <c r="Z287" s="112"/>
    </row>
    <row r="288" spans="1:26" x14ac:dyDescent="0.2">
      <c r="A288" s="113">
        <f>'THE BOARD'!A55</f>
        <v>0</v>
      </c>
      <c r="B288" s="115">
        <f>'THE BOARD'!B55</f>
        <v>0</v>
      </c>
      <c r="C288" s="114">
        <f>'THE BOARD'!D35</f>
        <v>45345</v>
      </c>
      <c r="D288" s="115">
        <f>'THE BOARD'!E35</f>
        <v>333</v>
      </c>
      <c r="E288" s="115">
        <f>'THE BOARD'!F35</f>
        <v>12</v>
      </c>
      <c r="F288" s="115">
        <f>'THE BOARD'!G35</f>
        <v>12</v>
      </c>
      <c r="G288" s="115">
        <f>'THE BOARD'!H35</f>
        <v>17</v>
      </c>
      <c r="H288" s="115">
        <f>'THE BOARD'!I35</f>
        <v>6</v>
      </c>
      <c r="I288" s="115"/>
      <c r="J288" s="115">
        <f>'THE BOARD'!Q42</f>
        <v>0</v>
      </c>
      <c r="K288" s="112"/>
      <c r="L288" s="112"/>
      <c r="M288" s="112"/>
      <c r="N288" s="112"/>
      <c r="O288" s="112"/>
      <c r="P288" s="112"/>
      <c r="Q288" s="112"/>
      <c r="R288" s="112"/>
      <c r="S288" s="112"/>
      <c r="T288" s="112"/>
      <c r="U288" s="112"/>
      <c r="V288" s="112"/>
      <c r="W288" s="112"/>
      <c r="X288" s="112"/>
      <c r="Y288" s="112"/>
      <c r="Z288" s="112"/>
    </row>
    <row r="289" spans="1:26" x14ac:dyDescent="0.2">
      <c r="A289" s="113">
        <f>'THE BOARD'!A56</f>
        <v>0</v>
      </c>
      <c r="B289" s="115">
        <f>'THE BOARD'!B56</f>
        <v>0</v>
      </c>
      <c r="C289" s="118">
        <f>'THE BOARD'!D36</f>
        <v>45352</v>
      </c>
      <c r="D289" s="115">
        <f>'THE BOARD'!E36</f>
        <v>6</v>
      </c>
      <c r="E289" s="115">
        <f>'THE BOARD'!F36</f>
        <v>0</v>
      </c>
      <c r="F289" s="115">
        <f>'THE BOARD'!G36</f>
        <v>0</v>
      </c>
      <c r="G289" s="115">
        <f>'THE BOARD'!H36</f>
        <v>1</v>
      </c>
      <c r="H289" s="115">
        <f>'THE BOARD'!I36</f>
        <v>0</v>
      </c>
      <c r="I289" s="115"/>
      <c r="J289" s="115">
        <f>'THE BOARD'!Q43</f>
        <v>0</v>
      </c>
      <c r="K289" s="112"/>
      <c r="L289" s="112"/>
      <c r="M289" s="112"/>
      <c r="N289" s="112"/>
      <c r="O289" s="112"/>
      <c r="P289" s="112"/>
      <c r="Q289" s="112"/>
      <c r="R289" s="112"/>
      <c r="S289" s="112"/>
      <c r="T289" s="112"/>
      <c r="U289" s="112"/>
      <c r="V289" s="112"/>
      <c r="W289" s="112"/>
      <c r="X289" s="112"/>
      <c r="Y289" s="112"/>
      <c r="Z289" s="112"/>
    </row>
    <row r="290" spans="1:26" x14ac:dyDescent="0.2">
      <c r="A290" s="113">
        <f>'THE BOARD'!A57</f>
        <v>0</v>
      </c>
      <c r="B290" s="115">
        <f>'THE BOARD'!B57</f>
        <v>0</v>
      </c>
      <c r="C290" s="114">
        <f>'THE BOARD'!D37</f>
        <v>45352</v>
      </c>
      <c r="D290" s="115">
        <f>'THE BOARD'!E37</f>
        <v>0</v>
      </c>
      <c r="E290" s="115">
        <f>'THE BOARD'!F37</f>
        <v>47</v>
      </c>
      <c r="F290" s="115">
        <f>'THE BOARD'!G37</f>
        <v>0</v>
      </c>
      <c r="G290" s="115">
        <f>'THE BOARD'!H37</f>
        <v>0</v>
      </c>
      <c r="H290" s="115">
        <f>'THE BOARD'!I37</f>
        <v>0</v>
      </c>
      <c r="I290" s="115"/>
      <c r="J290" s="115">
        <f>'THE BOARD'!Q44</f>
        <v>0</v>
      </c>
      <c r="K290" s="112"/>
      <c r="L290" s="112"/>
      <c r="M290" s="112"/>
      <c r="N290" s="112"/>
      <c r="O290" s="112"/>
      <c r="P290" s="112"/>
      <c r="Q290" s="112"/>
      <c r="R290" s="112"/>
      <c r="S290" s="112"/>
      <c r="T290" s="112"/>
      <c r="U290" s="112"/>
      <c r="V290" s="112"/>
      <c r="W290" s="112"/>
      <c r="X290" s="112"/>
      <c r="Y290" s="112"/>
      <c r="Z290" s="112"/>
    </row>
    <row r="291" spans="1:26" x14ac:dyDescent="0.2">
      <c r="A291" s="113">
        <f>'THE BOARD'!A58</f>
        <v>0</v>
      </c>
      <c r="B291" s="115">
        <f>'THE BOARD'!B58</f>
        <v>0</v>
      </c>
      <c r="C291" s="118">
        <f>'THE BOARD'!D38</f>
        <v>45352</v>
      </c>
      <c r="D291" s="115">
        <f>'THE BOARD'!E38</f>
        <v>30</v>
      </c>
      <c r="E291" s="115">
        <f>'THE BOARD'!F38</f>
        <v>8</v>
      </c>
      <c r="F291" s="115">
        <f>'THE BOARD'!G38</f>
        <v>8</v>
      </c>
      <c r="G291" s="115">
        <f>'THE BOARD'!H38</f>
        <v>2</v>
      </c>
      <c r="H291" s="115" t="str">
        <f>'THE BOARD'!I38</f>
        <v xml:space="preserve"> </v>
      </c>
      <c r="I291" s="115"/>
      <c r="J291" s="115">
        <f>'THE BOARD'!Q45</f>
        <v>0</v>
      </c>
      <c r="K291" s="112"/>
      <c r="L291" s="112"/>
      <c r="M291" s="112"/>
      <c r="N291" s="112"/>
      <c r="O291" s="112"/>
      <c r="P291" s="112"/>
      <c r="Q291" s="112"/>
      <c r="R291" s="112"/>
      <c r="S291" s="112"/>
      <c r="T291" s="112"/>
      <c r="U291" s="112"/>
      <c r="V291" s="112"/>
      <c r="W291" s="112"/>
      <c r="X291" s="112"/>
      <c r="Y291" s="112"/>
      <c r="Z291" s="112"/>
    </row>
    <row r="292" spans="1:26" x14ac:dyDescent="0.2">
      <c r="A292" s="113">
        <f>'THE BOARD'!A59</f>
        <v>0</v>
      </c>
      <c r="B292" s="115">
        <f>'THE BOARD'!B59</f>
        <v>0</v>
      </c>
      <c r="C292" s="115"/>
      <c r="D292" s="115"/>
      <c r="E292" s="115"/>
      <c r="F292" s="115"/>
      <c r="G292" s="115"/>
      <c r="H292" s="115"/>
      <c r="I292" s="115"/>
      <c r="J292" s="115"/>
      <c r="K292" s="112"/>
      <c r="L292" s="112"/>
      <c r="M292" s="112"/>
      <c r="N292" s="112"/>
      <c r="O292" s="112"/>
      <c r="P292" s="112"/>
      <c r="Q292" s="112"/>
      <c r="R292" s="112"/>
      <c r="S292" s="112"/>
      <c r="T292" s="112"/>
      <c r="U292" s="112"/>
      <c r="V292" s="112"/>
      <c r="W292" s="112"/>
      <c r="X292" s="112"/>
      <c r="Y292" s="112"/>
      <c r="Z292" s="112"/>
    </row>
    <row r="293" spans="1:26" x14ac:dyDescent="0.2">
      <c r="A293" s="113">
        <f>'THE BOARD'!A60</f>
        <v>0</v>
      </c>
      <c r="B293" s="115">
        <f>'THE BOARD'!B60</f>
        <v>0</v>
      </c>
      <c r="C293" s="115"/>
      <c r="D293" s="115"/>
      <c r="E293" s="115"/>
      <c r="F293" s="115"/>
      <c r="G293" s="115"/>
      <c r="H293" s="115"/>
      <c r="I293" s="115"/>
      <c r="J293" s="115"/>
      <c r="K293" s="112"/>
      <c r="L293" s="112"/>
      <c r="M293" s="112"/>
      <c r="N293" s="112"/>
      <c r="O293" s="112"/>
      <c r="P293" s="112"/>
      <c r="Q293" s="112"/>
      <c r="R293" s="112"/>
      <c r="S293" s="112"/>
      <c r="T293" s="112"/>
      <c r="U293" s="112"/>
      <c r="V293" s="112"/>
      <c r="W293" s="112"/>
      <c r="X293" s="112"/>
      <c r="Y293" s="112"/>
      <c r="Z293" s="112"/>
    </row>
    <row r="294" spans="1:26" x14ac:dyDescent="0.2">
      <c r="A294" s="113">
        <f>'THE BOARD'!A61</f>
        <v>0</v>
      </c>
      <c r="B294" s="115">
        <f>'THE BOARD'!B61</f>
        <v>0</v>
      </c>
      <c r="C294" s="115"/>
      <c r="D294" s="115"/>
      <c r="E294" s="115"/>
      <c r="F294" s="115"/>
      <c r="G294" s="115"/>
      <c r="H294" s="115"/>
      <c r="I294" s="115"/>
      <c r="J294" s="115"/>
      <c r="K294" s="112"/>
      <c r="L294" s="112"/>
      <c r="M294" s="112"/>
      <c r="N294" s="112"/>
      <c r="O294" s="112"/>
      <c r="P294" s="112"/>
      <c r="Q294" s="112"/>
      <c r="R294" s="112"/>
      <c r="S294" s="112"/>
      <c r="T294" s="112"/>
      <c r="U294" s="112"/>
      <c r="V294" s="112"/>
      <c r="W294" s="112"/>
      <c r="X294" s="112"/>
      <c r="Y294" s="112"/>
      <c r="Z294" s="112"/>
    </row>
    <row r="295" spans="1:26" x14ac:dyDescent="0.2">
      <c r="A295" s="113">
        <f>'THE BOARD'!A62</f>
        <v>0</v>
      </c>
      <c r="B295" s="115">
        <f>'THE BOARD'!B62</f>
        <v>0</v>
      </c>
      <c r="C295" s="115"/>
      <c r="D295" s="115"/>
      <c r="E295" s="115"/>
      <c r="F295" s="115"/>
      <c r="G295" s="115"/>
      <c r="H295" s="115"/>
      <c r="I295" s="115"/>
      <c r="J295" s="115"/>
      <c r="K295" s="112"/>
      <c r="L295" s="112"/>
      <c r="M295" s="112"/>
      <c r="N295" s="112"/>
      <c r="O295" s="112"/>
      <c r="P295" s="112"/>
      <c r="Q295" s="112"/>
      <c r="R295" s="112"/>
      <c r="S295" s="112"/>
      <c r="T295" s="112"/>
      <c r="U295" s="112"/>
      <c r="V295" s="112"/>
      <c r="W295" s="112"/>
      <c r="X295" s="112"/>
      <c r="Y295" s="112"/>
      <c r="Z295" s="112"/>
    </row>
    <row r="296" spans="1:26" x14ac:dyDescent="0.2">
      <c r="A296" s="113">
        <f>'THE BOARD'!A63</f>
        <v>0</v>
      </c>
      <c r="B296" s="115">
        <f>'THE BOARD'!B63</f>
        <v>0</v>
      </c>
      <c r="C296" s="115"/>
      <c r="D296" s="115"/>
      <c r="E296" s="115"/>
      <c r="F296" s="115"/>
      <c r="G296" s="115"/>
      <c r="H296" s="115"/>
      <c r="I296" s="115"/>
      <c r="J296" s="115"/>
      <c r="K296" s="112"/>
      <c r="L296" s="112"/>
      <c r="M296" s="112"/>
      <c r="N296" s="112"/>
      <c r="O296" s="112"/>
      <c r="P296" s="112"/>
      <c r="Q296" s="112"/>
      <c r="R296" s="112"/>
      <c r="S296" s="112"/>
      <c r="T296" s="112"/>
      <c r="U296" s="112"/>
      <c r="V296" s="112"/>
      <c r="W296" s="112"/>
      <c r="X296" s="112"/>
      <c r="Y296" s="112"/>
      <c r="Z296" s="112"/>
    </row>
    <row r="297" spans="1:26" x14ac:dyDescent="0.2">
      <c r="A297" s="113">
        <f>'THE BOARD'!A64</f>
        <v>0</v>
      </c>
      <c r="B297" s="115">
        <f>'THE BOARD'!B64</f>
        <v>0</v>
      </c>
      <c r="C297" s="115"/>
      <c r="D297" s="115"/>
      <c r="E297" s="115"/>
      <c r="F297" s="115"/>
      <c r="G297" s="115"/>
      <c r="H297" s="115"/>
      <c r="I297" s="115"/>
      <c r="J297" s="115"/>
      <c r="K297" s="112"/>
      <c r="L297" s="112"/>
      <c r="M297" s="112"/>
      <c r="N297" s="112"/>
      <c r="O297" s="112"/>
      <c r="P297" s="112"/>
      <c r="Q297" s="112"/>
      <c r="R297" s="112"/>
      <c r="S297" s="112"/>
      <c r="T297" s="112"/>
      <c r="U297" s="112"/>
      <c r="V297" s="112"/>
      <c r="W297" s="112"/>
      <c r="X297" s="112"/>
      <c r="Y297" s="112"/>
      <c r="Z297" s="112"/>
    </row>
    <row r="298" spans="1:26" x14ac:dyDescent="0.2">
      <c r="A298" s="113">
        <f>'THE BOARD'!A65</f>
        <v>0</v>
      </c>
      <c r="B298" s="115">
        <f>'THE BOARD'!B65</f>
        <v>0</v>
      </c>
      <c r="C298" s="115"/>
      <c r="D298" s="115"/>
      <c r="E298" s="115"/>
      <c r="F298" s="115"/>
      <c r="G298" s="115"/>
      <c r="H298" s="115"/>
      <c r="I298" s="115"/>
      <c r="J298" s="115"/>
      <c r="K298" s="112"/>
      <c r="L298" s="112"/>
      <c r="M298" s="112"/>
      <c r="N298" s="112"/>
      <c r="O298" s="112"/>
      <c r="P298" s="112"/>
      <c r="Q298" s="112"/>
      <c r="R298" s="112"/>
      <c r="S298" s="112"/>
      <c r="T298" s="112"/>
      <c r="U298" s="112"/>
      <c r="V298" s="112"/>
      <c r="W298" s="112"/>
      <c r="X298" s="112"/>
      <c r="Y298" s="112"/>
      <c r="Z298" s="112"/>
    </row>
    <row r="299" spans="1:26" x14ac:dyDescent="0.2">
      <c r="A299" s="113">
        <f>'THE BOARD'!A66</f>
        <v>0</v>
      </c>
      <c r="B299" s="115">
        <f>'THE BOARD'!B66</f>
        <v>0</v>
      </c>
      <c r="C299" s="115"/>
      <c r="D299" s="115"/>
      <c r="E299" s="115"/>
      <c r="F299" s="115"/>
      <c r="G299" s="115"/>
      <c r="H299" s="115"/>
      <c r="I299" s="115"/>
      <c r="J299" s="115"/>
      <c r="K299" s="112"/>
      <c r="L299" s="112"/>
      <c r="M299" s="112"/>
      <c r="N299" s="112"/>
      <c r="O299" s="112"/>
      <c r="P299" s="112"/>
      <c r="Q299" s="112"/>
      <c r="R299" s="112"/>
      <c r="S299" s="112"/>
      <c r="T299" s="112"/>
      <c r="U299" s="112"/>
      <c r="V299" s="112"/>
      <c r="W299" s="112"/>
      <c r="X299" s="112"/>
      <c r="Y299" s="112"/>
      <c r="Z299" s="112"/>
    </row>
    <row r="300" spans="1:26" x14ac:dyDescent="0.2">
      <c r="A300" s="113">
        <f>'THE BOARD'!A67</f>
        <v>0</v>
      </c>
      <c r="B300" s="115">
        <f>'THE BOARD'!B67</f>
        <v>0</v>
      </c>
      <c r="C300" s="115"/>
      <c r="D300" s="115"/>
      <c r="E300" s="115"/>
      <c r="F300" s="115"/>
      <c r="G300" s="115"/>
      <c r="H300" s="115"/>
      <c r="I300" s="115"/>
      <c r="J300" s="115"/>
      <c r="K300" s="112"/>
      <c r="L300" s="112"/>
      <c r="M300" s="112"/>
      <c r="N300" s="112"/>
      <c r="O300" s="112"/>
      <c r="P300" s="112"/>
      <c r="Q300" s="112"/>
      <c r="R300" s="112"/>
      <c r="S300" s="112"/>
      <c r="T300" s="112"/>
      <c r="U300" s="112"/>
      <c r="V300" s="112"/>
      <c r="W300" s="112"/>
      <c r="X300" s="112"/>
      <c r="Y300" s="112"/>
      <c r="Z300" s="112"/>
    </row>
    <row r="301" spans="1:26" x14ac:dyDescent="0.2">
      <c r="A301" s="113">
        <f>'THE BOARD'!A68</f>
        <v>0</v>
      </c>
      <c r="B301" s="115">
        <f>'THE BOARD'!B68</f>
        <v>0</v>
      </c>
      <c r="C301" s="115"/>
      <c r="D301" s="115"/>
      <c r="E301" s="115"/>
      <c r="F301" s="115"/>
      <c r="G301" s="115"/>
      <c r="H301" s="115"/>
      <c r="I301" s="115"/>
      <c r="J301" s="115"/>
      <c r="K301" s="112"/>
      <c r="L301" s="112"/>
      <c r="M301" s="112"/>
      <c r="N301" s="112"/>
      <c r="O301" s="112"/>
      <c r="P301" s="112"/>
      <c r="Q301" s="112"/>
      <c r="R301" s="112"/>
      <c r="S301" s="112"/>
      <c r="T301" s="112"/>
      <c r="U301" s="112"/>
      <c r="V301" s="112"/>
      <c r="W301" s="112"/>
      <c r="X301" s="112"/>
      <c r="Y301" s="112"/>
      <c r="Z301" s="112"/>
    </row>
    <row r="302" spans="1:26" x14ac:dyDescent="0.2">
      <c r="A302" s="113">
        <f>'THE BOARD'!A69</f>
        <v>0</v>
      </c>
      <c r="B302" s="115">
        <f>'THE BOARD'!B69</f>
        <v>0</v>
      </c>
      <c r="C302" s="115"/>
      <c r="D302" s="115"/>
      <c r="E302" s="115"/>
      <c r="F302" s="115"/>
      <c r="G302" s="115"/>
      <c r="H302" s="115"/>
      <c r="I302" s="115"/>
      <c r="J302" s="115"/>
      <c r="K302" s="112"/>
      <c r="L302" s="112"/>
      <c r="M302" s="112"/>
      <c r="N302" s="112"/>
      <c r="O302" s="112"/>
      <c r="P302" s="112"/>
      <c r="Q302" s="112"/>
      <c r="R302" s="112"/>
      <c r="S302" s="112"/>
      <c r="T302" s="112"/>
      <c r="U302" s="112"/>
      <c r="V302" s="112"/>
      <c r="W302" s="112"/>
      <c r="X302" s="112"/>
      <c r="Y302" s="112"/>
      <c r="Z302" s="112"/>
    </row>
    <row r="303" spans="1:26" x14ac:dyDescent="0.2">
      <c r="A303" s="113">
        <f>'THE BOARD'!A70</f>
        <v>0</v>
      </c>
      <c r="B303" s="115">
        <f>'THE BOARD'!B70</f>
        <v>0</v>
      </c>
      <c r="C303" s="115"/>
      <c r="D303" s="115"/>
      <c r="E303" s="115"/>
      <c r="F303" s="115"/>
      <c r="G303" s="115"/>
      <c r="H303" s="115"/>
      <c r="I303" s="115"/>
      <c r="J303" s="115"/>
      <c r="K303" s="112"/>
      <c r="L303" s="112"/>
      <c r="M303" s="112"/>
      <c r="N303" s="112"/>
      <c r="O303" s="112"/>
      <c r="P303" s="112"/>
      <c r="Q303" s="112"/>
      <c r="R303" s="112"/>
      <c r="S303" s="112"/>
      <c r="T303" s="112"/>
      <c r="U303" s="112"/>
      <c r="V303" s="112"/>
      <c r="W303" s="112"/>
      <c r="X303" s="112"/>
      <c r="Y303" s="112"/>
      <c r="Z303" s="112"/>
    </row>
    <row r="304" spans="1:26" x14ac:dyDescent="0.2">
      <c r="A304" s="113">
        <f>'THE BOARD'!A71</f>
        <v>0</v>
      </c>
      <c r="B304" s="115">
        <f>'THE BOARD'!B71</f>
        <v>0</v>
      </c>
      <c r="C304" s="115"/>
      <c r="D304" s="115"/>
      <c r="E304" s="115"/>
      <c r="F304" s="115"/>
      <c r="G304" s="115"/>
      <c r="H304" s="115"/>
      <c r="I304" s="115"/>
      <c r="J304" s="115"/>
      <c r="K304" s="112"/>
      <c r="L304" s="112"/>
      <c r="M304" s="112"/>
      <c r="N304" s="112"/>
      <c r="O304" s="112"/>
      <c r="P304" s="112"/>
      <c r="Q304" s="112"/>
      <c r="R304" s="112"/>
      <c r="S304" s="112"/>
      <c r="T304" s="112"/>
      <c r="U304" s="112"/>
      <c r="V304" s="112"/>
      <c r="W304" s="112"/>
      <c r="X304" s="112"/>
      <c r="Y304" s="112"/>
      <c r="Z304" s="112"/>
    </row>
    <row r="305" spans="1:26" x14ac:dyDescent="0.2">
      <c r="A305" s="113">
        <f>'THE BOARD'!A72</f>
        <v>0</v>
      </c>
      <c r="B305" s="115">
        <f>'THE BOARD'!B72</f>
        <v>0</v>
      </c>
      <c r="C305" s="115"/>
      <c r="D305" s="115"/>
      <c r="E305" s="115"/>
      <c r="F305" s="115"/>
      <c r="G305" s="115"/>
      <c r="H305" s="115"/>
      <c r="I305" s="115"/>
      <c r="J305" s="115"/>
      <c r="K305" s="112"/>
      <c r="L305" s="112"/>
      <c r="M305" s="112"/>
      <c r="N305" s="112"/>
      <c r="O305" s="112"/>
      <c r="P305" s="112"/>
      <c r="Q305" s="112"/>
      <c r="R305" s="112"/>
      <c r="S305" s="112"/>
      <c r="T305" s="112"/>
      <c r="U305" s="112"/>
      <c r="V305" s="112"/>
      <c r="W305" s="112"/>
      <c r="X305" s="112"/>
      <c r="Y305" s="112"/>
      <c r="Z305" s="112"/>
    </row>
    <row r="306" spans="1:26" x14ac:dyDescent="0.2">
      <c r="A306" s="113">
        <f>'THE BOARD'!A73</f>
        <v>0</v>
      </c>
      <c r="B306" s="115">
        <f>'THE BOARD'!B73</f>
        <v>0</v>
      </c>
      <c r="C306" s="115"/>
      <c r="D306" s="115"/>
      <c r="E306" s="115"/>
      <c r="F306" s="115"/>
      <c r="G306" s="115"/>
      <c r="H306" s="115"/>
      <c r="I306" s="115"/>
      <c r="J306" s="115"/>
      <c r="K306" s="112"/>
      <c r="L306" s="112"/>
      <c r="M306" s="112"/>
      <c r="N306" s="112"/>
      <c r="O306" s="112"/>
      <c r="P306" s="112"/>
      <c r="Q306" s="112"/>
      <c r="R306" s="112"/>
      <c r="S306" s="112"/>
      <c r="T306" s="112"/>
      <c r="U306" s="112"/>
      <c r="V306" s="112"/>
      <c r="W306" s="112"/>
      <c r="X306" s="112"/>
      <c r="Y306" s="112"/>
      <c r="Z306" s="112"/>
    </row>
    <row r="307" spans="1:26" x14ac:dyDescent="0.2">
      <c r="A307" s="113">
        <f>'THE BOARD'!A74</f>
        <v>0</v>
      </c>
      <c r="B307" s="115">
        <f>'THE BOARD'!B74</f>
        <v>0</v>
      </c>
      <c r="C307" s="115"/>
      <c r="D307" s="115"/>
      <c r="E307" s="115"/>
      <c r="F307" s="115"/>
      <c r="G307" s="115"/>
      <c r="H307" s="115"/>
      <c r="I307" s="115"/>
      <c r="J307" s="115"/>
      <c r="K307" s="112"/>
      <c r="L307" s="112"/>
      <c r="M307" s="112"/>
      <c r="N307" s="112"/>
      <c r="O307" s="112"/>
      <c r="P307" s="112"/>
      <c r="Q307" s="112"/>
      <c r="R307" s="112"/>
      <c r="S307" s="112"/>
      <c r="T307" s="112"/>
      <c r="U307" s="112"/>
      <c r="V307" s="112"/>
      <c r="W307" s="112"/>
      <c r="X307" s="112"/>
      <c r="Y307" s="112"/>
      <c r="Z307" s="112"/>
    </row>
    <row r="308" spans="1:26" x14ac:dyDescent="0.2">
      <c r="A308" s="113">
        <f>'THE BOARD'!A75</f>
        <v>0</v>
      </c>
      <c r="B308" s="115">
        <f>'THE BOARD'!B75</f>
        <v>0</v>
      </c>
      <c r="C308" s="115"/>
      <c r="D308" s="115"/>
      <c r="E308" s="115"/>
      <c r="F308" s="115"/>
      <c r="G308" s="115"/>
      <c r="H308" s="115"/>
      <c r="I308" s="115"/>
      <c r="J308" s="115"/>
      <c r="K308" s="112"/>
      <c r="L308" s="112"/>
      <c r="M308" s="112"/>
      <c r="N308" s="112"/>
      <c r="O308" s="112"/>
      <c r="P308" s="112"/>
      <c r="Q308" s="112"/>
      <c r="R308" s="112"/>
      <c r="S308" s="112"/>
      <c r="T308" s="112"/>
      <c r="U308" s="112"/>
      <c r="V308" s="112"/>
      <c r="W308" s="112"/>
      <c r="X308" s="112"/>
      <c r="Y308" s="112"/>
      <c r="Z308" s="112"/>
    </row>
    <row r="309" spans="1:26" x14ac:dyDescent="0.2">
      <c r="A309" s="113">
        <f>'THE BOARD'!A76</f>
        <v>0</v>
      </c>
      <c r="B309" s="115">
        <f>'THE BOARD'!B76</f>
        <v>0</v>
      </c>
      <c r="C309" s="115"/>
      <c r="D309" s="115"/>
      <c r="E309" s="115"/>
      <c r="F309" s="115"/>
      <c r="G309" s="115"/>
      <c r="H309" s="115"/>
      <c r="I309" s="115"/>
      <c r="J309" s="115"/>
      <c r="K309" s="112"/>
      <c r="L309" s="112"/>
      <c r="M309" s="112"/>
      <c r="N309" s="112"/>
      <c r="O309" s="112"/>
      <c r="P309" s="112"/>
      <c r="Q309" s="112"/>
      <c r="R309" s="112"/>
      <c r="S309" s="112"/>
      <c r="T309" s="112"/>
      <c r="U309" s="112"/>
      <c r="V309" s="112"/>
      <c r="W309" s="112"/>
      <c r="X309" s="112"/>
      <c r="Y309" s="112"/>
      <c r="Z309" s="112"/>
    </row>
    <row r="310" spans="1:26" x14ac:dyDescent="0.2">
      <c r="A310" s="113">
        <f>'THE BOARD'!A77</f>
        <v>0</v>
      </c>
      <c r="B310" s="115">
        <f>'THE BOARD'!B77</f>
        <v>0</v>
      </c>
      <c r="C310" s="115"/>
      <c r="D310" s="115"/>
      <c r="E310" s="115"/>
      <c r="F310" s="115"/>
      <c r="G310" s="115"/>
      <c r="H310" s="115"/>
      <c r="I310" s="115"/>
      <c r="J310" s="115"/>
      <c r="K310" s="112"/>
      <c r="L310" s="112"/>
      <c r="M310" s="112"/>
      <c r="N310" s="112"/>
      <c r="O310" s="112"/>
      <c r="P310" s="112"/>
      <c r="Q310" s="112"/>
      <c r="R310" s="112"/>
      <c r="S310" s="112"/>
      <c r="T310" s="112"/>
      <c r="U310" s="112"/>
      <c r="V310" s="112"/>
      <c r="W310" s="112"/>
      <c r="X310" s="112"/>
      <c r="Y310" s="112"/>
      <c r="Z310" s="112"/>
    </row>
    <row r="311" spans="1:26" x14ac:dyDescent="0.2">
      <c r="A311" s="113">
        <f>'THE BOARD'!A78</f>
        <v>0</v>
      </c>
      <c r="B311" s="115">
        <f>'THE BOARD'!B78</f>
        <v>0</v>
      </c>
      <c r="C311" s="115"/>
      <c r="D311" s="115"/>
      <c r="E311" s="115"/>
      <c r="F311" s="115"/>
      <c r="G311" s="115"/>
      <c r="H311" s="115"/>
      <c r="I311" s="115"/>
      <c r="J311" s="115"/>
      <c r="K311" s="112"/>
      <c r="L311" s="112"/>
      <c r="M311" s="112"/>
      <c r="N311" s="112"/>
      <c r="O311" s="112"/>
      <c r="P311" s="112"/>
      <c r="Q311" s="112"/>
      <c r="R311" s="112"/>
      <c r="S311" s="112"/>
      <c r="T311" s="112"/>
      <c r="U311" s="112"/>
      <c r="V311" s="112"/>
      <c r="W311" s="112"/>
      <c r="X311" s="112"/>
      <c r="Y311" s="112"/>
      <c r="Z311" s="112"/>
    </row>
    <row r="312" spans="1:26" x14ac:dyDescent="0.2">
      <c r="A312" s="113">
        <f>'THE BOARD'!A79</f>
        <v>0</v>
      </c>
      <c r="B312" s="115">
        <f>'THE BOARD'!B79</f>
        <v>0</v>
      </c>
      <c r="C312" s="115"/>
      <c r="D312" s="115"/>
      <c r="E312" s="115"/>
      <c r="F312" s="115"/>
      <c r="G312" s="115"/>
      <c r="H312" s="115"/>
      <c r="I312" s="115"/>
      <c r="J312" s="115"/>
      <c r="K312" s="112"/>
      <c r="L312" s="112"/>
      <c r="M312" s="112"/>
      <c r="N312" s="112"/>
      <c r="O312" s="112"/>
      <c r="P312" s="112"/>
      <c r="Q312" s="112"/>
      <c r="R312" s="112"/>
      <c r="S312" s="112"/>
      <c r="T312" s="112"/>
      <c r="U312" s="112"/>
      <c r="V312" s="112"/>
      <c r="W312" s="112"/>
      <c r="X312" s="112"/>
      <c r="Y312" s="112"/>
      <c r="Z312" s="112"/>
    </row>
    <row r="313" spans="1:26" x14ac:dyDescent="0.2">
      <c r="A313" s="113">
        <f>'THE BOARD'!A80</f>
        <v>0</v>
      </c>
      <c r="B313" s="115">
        <f>'THE BOARD'!B80</f>
        <v>0</v>
      </c>
      <c r="C313" s="115"/>
      <c r="D313" s="115"/>
      <c r="E313" s="115"/>
      <c r="F313" s="115"/>
      <c r="G313" s="115"/>
      <c r="H313" s="115"/>
      <c r="I313" s="115"/>
      <c r="J313" s="115"/>
      <c r="K313" s="112"/>
      <c r="L313" s="112"/>
      <c r="M313" s="112"/>
      <c r="N313" s="112"/>
      <c r="O313" s="112"/>
      <c r="P313" s="112"/>
      <c r="Q313" s="112"/>
      <c r="R313" s="112"/>
      <c r="S313" s="112"/>
      <c r="T313" s="112"/>
      <c r="U313" s="112"/>
      <c r="V313" s="112"/>
      <c r="W313" s="112"/>
      <c r="X313" s="112"/>
      <c r="Y313" s="112"/>
      <c r="Z313" s="112"/>
    </row>
    <row r="314" spans="1:26" x14ac:dyDescent="0.2">
      <c r="A314" s="113">
        <f>'THE BOARD'!A81</f>
        <v>0</v>
      </c>
      <c r="B314" s="115">
        <f>'THE BOARD'!B81</f>
        <v>0</v>
      </c>
      <c r="C314" s="115"/>
      <c r="D314" s="115"/>
      <c r="E314" s="115"/>
      <c r="F314" s="115"/>
      <c r="G314" s="115"/>
      <c r="H314" s="115"/>
      <c r="I314" s="115"/>
      <c r="J314" s="115"/>
      <c r="K314" s="112"/>
      <c r="L314" s="112"/>
      <c r="M314" s="112"/>
      <c r="N314" s="112"/>
      <c r="O314" s="112"/>
      <c r="P314" s="112"/>
      <c r="Q314" s="112"/>
      <c r="R314" s="112"/>
      <c r="S314" s="112"/>
      <c r="T314" s="112"/>
      <c r="U314" s="112"/>
      <c r="V314" s="112"/>
      <c r="W314" s="112"/>
      <c r="X314" s="112"/>
      <c r="Y314" s="112"/>
      <c r="Z314" s="112"/>
    </row>
    <row r="315" spans="1:26" x14ac:dyDescent="0.2">
      <c r="A315" s="113">
        <f>'THE BOARD'!A82</f>
        <v>0</v>
      </c>
      <c r="B315" s="115">
        <f>'THE BOARD'!B82</f>
        <v>0</v>
      </c>
      <c r="C315" s="115"/>
      <c r="D315" s="115"/>
      <c r="E315" s="115"/>
      <c r="F315" s="115"/>
      <c r="G315" s="115"/>
      <c r="H315" s="115"/>
      <c r="I315" s="115"/>
      <c r="J315" s="115"/>
      <c r="K315" s="112"/>
      <c r="L315" s="112"/>
      <c r="M315" s="112"/>
      <c r="N315" s="112"/>
      <c r="O315" s="112"/>
      <c r="P315" s="112"/>
      <c r="Q315" s="112"/>
      <c r="R315" s="112"/>
      <c r="S315" s="112"/>
      <c r="T315" s="112"/>
      <c r="U315" s="112"/>
      <c r="V315" s="112"/>
      <c r="W315" s="112"/>
      <c r="X315" s="112"/>
      <c r="Y315" s="112"/>
      <c r="Z315" s="112"/>
    </row>
    <row r="316" spans="1:26" x14ac:dyDescent="0.2">
      <c r="A316" s="113">
        <f>'THE BOARD'!A83</f>
        <v>0</v>
      </c>
      <c r="B316" s="115">
        <f>'THE BOARD'!B83</f>
        <v>0</v>
      </c>
      <c r="C316" s="115"/>
      <c r="D316" s="115"/>
      <c r="E316" s="115"/>
      <c r="F316" s="115"/>
      <c r="G316" s="115"/>
      <c r="H316" s="115"/>
      <c r="I316" s="115"/>
      <c r="J316" s="115"/>
      <c r="K316" s="112"/>
      <c r="L316" s="112"/>
      <c r="M316" s="112"/>
      <c r="N316" s="112"/>
      <c r="O316" s="112"/>
      <c r="P316" s="112"/>
      <c r="Q316" s="112"/>
      <c r="R316" s="112"/>
      <c r="S316" s="112"/>
      <c r="T316" s="112"/>
      <c r="U316" s="112"/>
      <c r="V316" s="112"/>
      <c r="W316" s="112"/>
      <c r="X316" s="112"/>
      <c r="Y316" s="112"/>
      <c r="Z316" s="112"/>
    </row>
    <row r="317" spans="1:26" x14ac:dyDescent="0.2">
      <c r="A317" s="113">
        <f>'THE BOARD'!A84</f>
        <v>0</v>
      </c>
      <c r="B317" s="115">
        <f>'THE BOARD'!B84</f>
        <v>0</v>
      </c>
      <c r="C317" s="115"/>
      <c r="D317" s="115"/>
      <c r="E317" s="115"/>
      <c r="F317" s="115"/>
      <c r="G317" s="115"/>
      <c r="H317" s="115"/>
      <c r="I317" s="115"/>
      <c r="J317" s="115"/>
      <c r="K317" s="112"/>
      <c r="L317" s="112"/>
      <c r="M317" s="112"/>
      <c r="N317" s="112"/>
      <c r="O317" s="112"/>
      <c r="P317" s="112"/>
      <c r="Q317" s="112"/>
      <c r="R317" s="112"/>
      <c r="S317" s="112"/>
      <c r="T317" s="112"/>
      <c r="U317" s="112"/>
      <c r="V317" s="112"/>
      <c r="W317" s="112"/>
      <c r="X317" s="112"/>
      <c r="Y317" s="112"/>
      <c r="Z317" s="112"/>
    </row>
    <row r="318" spans="1:26" x14ac:dyDescent="0.2">
      <c r="A318" s="113">
        <f>'THE BOARD'!A85</f>
        <v>0</v>
      </c>
      <c r="B318" s="115">
        <f>'THE BOARD'!B85</f>
        <v>0</v>
      </c>
      <c r="C318" s="115"/>
      <c r="D318" s="115"/>
      <c r="E318" s="115"/>
      <c r="F318" s="115"/>
      <c r="G318" s="115"/>
      <c r="H318" s="115"/>
      <c r="I318" s="115"/>
      <c r="J318" s="115"/>
      <c r="K318" s="112"/>
      <c r="L318" s="112"/>
      <c r="M318" s="112"/>
      <c r="N318" s="112"/>
      <c r="O318" s="112"/>
      <c r="P318" s="112"/>
      <c r="Q318" s="112"/>
      <c r="R318" s="112"/>
      <c r="S318" s="112"/>
      <c r="T318" s="112"/>
      <c r="U318" s="112"/>
      <c r="V318" s="112"/>
      <c r="W318" s="112"/>
      <c r="X318" s="112"/>
      <c r="Y318" s="112"/>
      <c r="Z318" s="112"/>
    </row>
    <row r="319" spans="1:26" x14ac:dyDescent="0.2">
      <c r="A319" s="113">
        <f>'THE BOARD'!A86</f>
        <v>0</v>
      </c>
      <c r="B319" s="115">
        <f>'THE BOARD'!B86</f>
        <v>0</v>
      </c>
      <c r="C319" s="115"/>
      <c r="D319" s="115"/>
      <c r="E319" s="115"/>
      <c r="F319" s="115"/>
      <c r="G319" s="115"/>
      <c r="H319" s="115"/>
      <c r="I319" s="115"/>
      <c r="J319" s="115"/>
      <c r="K319" s="112"/>
      <c r="L319" s="112"/>
      <c r="M319" s="112"/>
      <c r="N319" s="112"/>
      <c r="O319" s="112"/>
      <c r="P319" s="112"/>
      <c r="Q319" s="112"/>
      <c r="R319" s="112"/>
      <c r="S319" s="112"/>
      <c r="T319" s="112"/>
      <c r="U319" s="112"/>
      <c r="V319" s="112"/>
      <c r="W319" s="112"/>
      <c r="X319" s="112"/>
      <c r="Y319" s="112"/>
      <c r="Z319" s="112"/>
    </row>
    <row r="320" spans="1:26" x14ac:dyDescent="0.2">
      <c r="A320" s="113">
        <f>'THE BOARD'!A87</f>
        <v>0</v>
      </c>
      <c r="B320" s="115">
        <f>'THE BOARD'!B87</f>
        <v>0</v>
      </c>
      <c r="C320" s="115"/>
      <c r="D320" s="115"/>
      <c r="E320" s="115"/>
      <c r="F320" s="115"/>
      <c r="G320" s="115"/>
      <c r="H320" s="115"/>
      <c r="I320" s="115"/>
      <c r="J320" s="115"/>
      <c r="K320" s="112"/>
      <c r="L320" s="112"/>
      <c r="M320" s="112"/>
      <c r="N320" s="112"/>
      <c r="O320" s="112"/>
      <c r="P320" s="112"/>
      <c r="Q320" s="112"/>
      <c r="R320" s="112"/>
      <c r="S320" s="112"/>
      <c r="T320" s="112"/>
      <c r="U320" s="112"/>
      <c r="V320" s="112"/>
      <c r="W320" s="112"/>
      <c r="X320" s="112"/>
      <c r="Y320" s="112"/>
      <c r="Z320" s="112"/>
    </row>
    <row r="321" spans="1:26" x14ac:dyDescent="0.2">
      <c r="A321" s="113">
        <f>'THE BOARD'!A88</f>
        <v>0</v>
      </c>
      <c r="B321" s="115">
        <f>'THE BOARD'!B88</f>
        <v>0</v>
      </c>
      <c r="C321" s="115"/>
      <c r="D321" s="115"/>
      <c r="E321" s="115"/>
      <c r="F321" s="115"/>
      <c r="G321" s="115"/>
      <c r="H321" s="115"/>
      <c r="I321" s="115"/>
      <c r="J321" s="115"/>
      <c r="K321" s="112"/>
      <c r="L321" s="112"/>
      <c r="M321" s="112"/>
      <c r="N321" s="112"/>
      <c r="O321" s="112"/>
      <c r="P321" s="112"/>
      <c r="Q321" s="112"/>
      <c r="R321" s="112"/>
      <c r="S321" s="112"/>
      <c r="T321" s="112"/>
      <c r="U321" s="112"/>
      <c r="V321" s="112"/>
      <c r="W321" s="112"/>
      <c r="X321" s="112"/>
      <c r="Y321" s="112"/>
      <c r="Z321" s="112"/>
    </row>
    <row r="322" spans="1:26" x14ac:dyDescent="0.2">
      <c r="A322" s="113">
        <f>'THE BOARD'!A89</f>
        <v>0</v>
      </c>
      <c r="B322" s="115">
        <f>'THE BOARD'!B89</f>
        <v>0</v>
      </c>
      <c r="C322" s="115"/>
      <c r="D322" s="115"/>
      <c r="E322" s="115"/>
      <c r="F322" s="115"/>
      <c r="G322" s="115"/>
      <c r="H322" s="115"/>
      <c r="I322" s="115"/>
      <c r="J322" s="115"/>
      <c r="K322" s="112"/>
      <c r="L322" s="112"/>
      <c r="M322" s="112"/>
      <c r="N322" s="112"/>
      <c r="O322" s="112"/>
      <c r="P322" s="112"/>
      <c r="Q322" s="112"/>
      <c r="R322" s="112"/>
      <c r="S322" s="112"/>
      <c r="T322" s="112"/>
      <c r="U322" s="112"/>
      <c r="V322" s="112"/>
      <c r="W322" s="112"/>
      <c r="X322" s="112"/>
      <c r="Y322" s="112"/>
      <c r="Z322" s="112"/>
    </row>
    <row r="323" spans="1:26" x14ac:dyDescent="0.2">
      <c r="A323" s="113">
        <f>'THE BOARD'!A90</f>
        <v>0</v>
      </c>
      <c r="B323" s="115">
        <f>'THE BOARD'!B90</f>
        <v>0</v>
      </c>
      <c r="C323" s="115"/>
      <c r="D323" s="115"/>
      <c r="E323" s="115"/>
      <c r="F323" s="115"/>
      <c r="G323" s="115"/>
      <c r="H323" s="115"/>
      <c r="I323" s="115"/>
      <c r="J323" s="115"/>
      <c r="K323" s="112"/>
      <c r="L323" s="112"/>
      <c r="M323" s="112"/>
      <c r="N323" s="112"/>
      <c r="O323" s="112"/>
      <c r="P323" s="112"/>
      <c r="Q323" s="112"/>
      <c r="R323" s="112"/>
      <c r="S323" s="112"/>
      <c r="T323" s="112"/>
      <c r="U323" s="112"/>
      <c r="V323" s="112"/>
      <c r="W323" s="112"/>
      <c r="X323" s="112"/>
      <c r="Y323" s="112"/>
      <c r="Z323" s="112"/>
    </row>
    <row r="324" spans="1:26" x14ac:dyDescent="0.2">
      <c r="A324" s="113">
        <f>'THE BOARD'!A91</f>
        <v>0</v>
      </c>
      <c r="B324" s="115">
        <f>'THE BOARD'!B91</f>
        <v>0</v>
      </c>
      <c r="C324" s="115"/>
      <c r="D324" s="115"/>
      <c r="E324" s="115"/>
      <c r="F324" s="115"/>
      <c r="G324" s="115"/>
      <c r="H324" s="115"/>
      <c r="I324" s="115"/>
      <c r="J324" s="115"/>
      <c r="K324" s="112"/>
      <c r="L324" s="112"/>
      <c r="M324" s="112"/>
      <c r="N324" s="112"/>
      <c r="O324" s="112"/>
      <c r="P324" s="112"/>
      <c r="Q324" s="112"/>
      <c r="R324" s="112"/>
      <c r="S324" s="112"/>
      <c r="T324" s="112"/>
      <c r="U324" s="112"/>
      <c r="V324" s="112"/>
      <c r="W324" s="112"/>
      <c r="X324" s="112"/>
      <c r="Y324" s="112"/>
      <c r="Z324" s="112"/>
    </row>
    <row r="325" spans="1:26" x14ac:dyDescent="0.2">
      <c r="A325" s="113">
        <f>'THE BOARD'!A92</f>
        <v>0</v>
      </c>
      <c r="B325" s="115">
        <f>'THE BOARD'!B92</f>
        <v>0</v>
      </c>
      <c r="C325" s="115"/>
      <c r="D325" s="115"/>
      <c r="E325" s="115"/>
      <c r="F325" s="115"/>
      <c r="G325" s="115"/>
      <c r="H325" s="115"/>
      <c r="I325" s="115"/>
      <c r="J325" s="115"/>
      <c r="K325" s="112"/>
      <c r="L325" s="112"/>
      <c r="M325" s="112"/>
      <c r="N325" s="112"/>
      <c r="O325" s="112"/>
      <c r="P325" s="112"/>
      <c r="Q325" s="112"/>
      <c r="R325" s="112"/>
      <c r="S325" s="112"/>
      <c r="T325" s="112"/>
      <c r="U325" s="112"/>
      <c r="V325" s="112"/>
      <c r="W325" s="112"/>
      <c r="X325" s="112"/>
      <c r="Y325" s="112"/>
      <c r="Z325" s="112"/>
    </row>
    <row r="326" spans="1:26" x14ac:dyDescent="0.2">
      <c r="A326" s="113">
        <f>'THE BOARD'!A93</f>
        <v>0</v>
      </c>
      <c r="B326" s="115">
        <f>'THE BOARD'!B93</f>
        <v>0</v>
      </c>
      <c r="C326" s="115"/>
      <c r="D326" s="115"/>
      <c r="E326" s="115"/>
      <c r="F326" s="115"/>
      <c r="G326" s="115"/>
      <c r="H326" s="115"/>
      <c r="I326" s="115"/>
      <c r="J326" s="115"/>
      <c r="K326" s="112"/>
      <c r="L326" s="112"/>
      <c r="M326" s="112"/>
      <c r="N326" s="112"/>
      <c r="O326" s="112"/>
      <c r="P326" s="112"/>
      <c r="Q326" s="112"/>
      <c r="R326" s="112"/>
      <c r="S326" s="112"/>
      <c r="T326" s="112"/>
      <c r="U326" s="112"/>
      <c r="V326" s="112"/>
      <c r="W326" s="112"/>
      <c r="X326" s="112"/>
      <c r="Y326" s="112"/>
      <c r="Z326" s="112"/>
    </row>
    <row r="327" spans="1:26" x14ac:dyDescent="0.2">
      <c r="A327" s="113">
        <f>'THE BOARD'!A94</f>
        <v>0</v>
      </c>
      <c r="B327" s="115">
        <f>'THE BOARD'!B94</f>
        <v>0</v>
      </c>
      <c r="C327" s="115"/>
      <c r="D327" s="115"/>
      <c r="E327" s="115"/>
      <c r="F327" s="115"/>
      <c r="G327" s="115"/>
      <c r="H327" s="115"/>
      <c r="I327" s="115"/>
      <c r="J327" s="115"/>
      <c r="K327" s="112"/>
      <c r="L327" s="112"/>
      <c r="M327" s="112"/>
      <c r="N327" s="112"/>
      <c r="O327" s="112"/>
      <c r="P327" s="112"/>
      <c r="Q327" s="112"/>
      <c r="R327" s="112"/>
      <c r="S327" s="112"/>
      <c r="T327" s="112"/>
      <c r="U327" s="112"/>
      <c r="V327" s="112"/>
      <c r="W327" s="112"/>
      <c r="X327" s="112"/>
      <c r="Y327" s="112"/>
      <c r="Z327" s="112"/>
    </row>
    <row r="328" spans="1:26" x14ac:dyDescent="0.2">
      <c r="A328" s="113">
        <f>'THE BOARD'!A95</f>
        <v>0</v>
      </c>
      <c r="B328" s="115">
        <f>'THE BOARD'!B95</f>
        <v>0</v>
      </c>
      <c r="C328" s="115"/>
      <c r="D328" s="115"/>
      <c r="E328" s="115"/>
      <c r="F328" s="115"/>
      <c r="G328" s="115"/>
      <c r="H328" s="115"/>
      <c r="I328" s="115"/>
      <c r="J328" s="115"/>
      <c r="K328" s="112"/>
      <c r="L328" s="112"/>
      <c r="M328" s="112"/>
      <c r="N328" s="112"/>
      <c r="O328" s="112"/>
      <c r="P328" s="112"/>
      <c r="Q328" s="112"/>
      <c r="R328" s="112"/>
      <c r="S328" s="112"/>
      <c r="T328" s="112"/>
      <c r="U328" s="112"/>
      <c r="V328" s="112"/>
      <c r="W328" s="112"/>
      <c r="X328" s="112"/>
      <c r="Y328" s="112"/>
      <c r="Z328" s="112"/>
    </row>
    <row r="329" spans="1:26" x14ac:dyDescent="0.2">
      <c r="A329" s="113">
        <f>'THE BOARD'!A96</f>
        <v>0</v>
      </c>
      <c r="B329" s="115">
        <f>'THE BOARD'!B96</f>
        <v>0</v>
      </c>
      <c r="C329" s="115"/>
      <c r="D329" s="115"/>
      <c r="E329" s="115"/>
      <c r="F329" s="115"/>
      <c r="G329" s="115"/>
      <c r="H329" s="115"/>
      <c r="I329" s="115"/>
      <c r="J329" s="115"/>
      <c r="K329" s="112"/>
      <c r="L329" s="112"/>
      <c r="M329" s="112"/>
      <c r="N329" s="112"/>
      <c r="O329" s="112"/>
      <c r="P329" s="112"/>
      <c r="Q329" s="112"/>
      <c r="R329" s="112"/>
      <c r="S329" s="112"/>
      <c r="T329" s="112"/>
      <c r="U329" s="112"/>
      <c r="V329" s="112"/>
      <c r="W329" s="112"/>
      <c r="X329" s="112"/>
      <c r="Y329" s="112"/>
      <c r="Z329" s="112"/>
    </row>
    <row r="330" spans="1:26" x14ac:dyDescent="0.2">
      <c r="A330" s="113">
        <f>'THE BOARD'!A97</f>
        <v>0</v>
      </c>
      <c r="B330" s="115">
        <f>'THE BOARD'!B97</f>
        <v>0</v>
      </c>
      <c r="C330" s="115"/>
      <c r="D330" s="115"/>
      <c r="E330" s="115"/>
      <c r="F330" s="115"/>
      <c r="G330" s="115"/>
      <c r="H330" s="115"/>
      <c r="I330" s="115"/>
      <c r="J330" s="115"/>
      <c r="K330" s="112"/>
      <c r="L330" s="112"/>
      <c r="M330" s="112"/>
      <c r="N330" s="112"/>
      <c r="O330" s="112"/>
      <c r="P330" s="112"/>
      <c r="Q330" s="112"/>
      <c r="R330" s="112"/>
      <c r="S330" s="112"/>
      <c r="T330" s="112"/>
      <c r="U330" s="112"/>
      <c r="V330" s="112"/>
      <c r="W330" s="112"/>
      <c r="X330" s="112"/>
      <c r="Y330" s="112"/>
      <c r="Z330" s="112"/>
    </row>
    <row r="331" spans="1:26" x14ac:dyDescent="0.2">
      <c r="A331" s="113">
        <f>'THE BOARD'!A98</f>
        <v>0</v>
      </c>
      <c r="B331" s="115">
        <f>'THE BOARD'!B98</f>
        <v>0</v>
      </c>
      <c r="C331" s="115"/>
      <c r="D331" s="115"/>
      <c r="E331" s="115"/>
      <c r="F331" s="115"/>
      <c r="G331" s="115"/>
      <c r="H331" s="115"/>
      <c r="I331" s="115"/>
      <c r="J331" s="115"/>
      <c r="K331" s="112"/>
      <c r="L331" s="112"/>
      <c r="M331" s="112"/>
      <c r="N331" s="112"/>
      <c r="O331" s="112"/>
      <c r="P331" s="112"/>
      <c r="Q331" s="112"/>
      <c r="R331" s="112"/>
      <c r="S331" s="112"/>
      <c r="T331" s="112"/>
      <c r="U331" s="112"/>
      <c r="V331" s="112"/>
      <c r="W331" s="112"/>
      <c r="X331" s="112"/>
      <c r="Y331" s="112"/>
      <c r="Z331" s="112"/>
    </row>
    <row r="332" spans="1:26" x14ac:dyDescent="0.2">
      <c r="A332" s="113">
        <f>'THE BOARD'!A99</f>
        <v>0</v>
      </c>
      <c r="B332" s="115">
        <f>'THE BOARD'!B99</f>
        <v>0</v>
      </c>
      <c r="C332" s="115"/>
      <c r="D332" s="115"/>
      <c r="E332" s="115"/>
      <c r="F332" s="115"/>
      <c r="G332" s="115"/>
      <c r="H332" s="115"/>
      <c r="I332" s="115"/>
      <c r="J332" s="115"/>
      <c r="K332" s="112"/>
      <c r="L332" s="112"/>
      <c r="M332" s="112"/>
      <c r="N332" s="112"/>
      <c r="O332" s="112"/>
      <c r="P332" s="112"/>
      <c r="Q332" s="112"/>
      <c r="R332" s="112"/>
      <c r="S332" s="112"/>
      <c r="T332" s="112"/>
      <c r="U332" s="112"/>
      <c r="V332" s="112"/>
      <c r="W332" s="112"/>
      <c r="X332" s="112"/>
      <c r="Y332" s="112"/>
      <c r="Z332" s="112"/>
    </row>
    <row r="333" spans="1:26" x14ac:dyDescent="0.2">
      <c r="A333" s="113">
        <f>'THE BOARD'!A100</f>
        <v>0</v>
      </c>
      <c r="B333" s="115">
        <f>'THE BOARD'!B100</f>
        <v>0</v>
      </c>
      <c r="C333" s="115"/>
      <c r="D333" s="115"/>
      <c r="E333" s="115"/>
      <c r="F333" s="115"/>
      <c r="G333" s="115"/>
      <c r="H333" s="115"/>
      <c r="I333" s="115"/>
      <c r="J333" s="115"/>
      <c r="K333" s="112"/>
      <c r="L333" s="112"/>
      <c r="M333" s="112"/>
      <c r="N333" s="112"/>
      <c r="O333" s="112"/>
      <c r="P333" s="112"/>
      <c r="Q333" s="112"/>
      <c r="R333" s="112"/>
      <c r="S333" s="112"/>
      <c r="T333" s="112"/>
      <c r="U333" s="112"/>
      <c r="V333" s="112"/>
      <c r="W333" s="112"/>
      <c r="X333" s="112"/>
      <c r="Y333" s="112"/>
      <c r="Z333" s="112"/>
    </row>
    <row r="334" spans="1:26" x14ac:dyDescent="0.2">
      <c r="A334" s="113">
        <f>'THE BOARD'!A101</f>
        <v>0</v>
      </c>
      <c r="B334" s="115">
        <f>'THE BOARD'!B101</f>
        <v>0</v>
      </c>
      <c r="C334" s="115"/>
      <c r="D334" s="115"/>
      <c r="E334" s="115"/>
      <c r="F334" s="115"/>
      <c r="G334" s="115"/>
      <c r="H334" s="115"/>
      <c r="I334" s="115"/>
      <c r="J334" s="115"/>
      <c r="K334" s="112"/>
      <c r="L334" s="112"/>
      <c r="M334" s="112"/>
      <c r="N334" s="112"/>
      <c r="O334" s="112"/>
      <c r="P334" s="112"/>
      <c r="Q334" s="112"/>
      <c r="R334" s="112"/>
      <c r="S334" s="112"/>
      <c r="T334" s="112"/>
      <c r="U334" s="112"/>
      <c r="V334" s="112"/>
      <c r="W334" s="112"/>
      <c r="X334" s="112"/>
      <c r="Y334" s="112"/>
      <c r="Z334" s="112"/>
    </row>
    <row r="335" spans="1:26" x14ac:dyDescent="0.2">
      <c r="A335" s="113">
        <f>'THE BOARD'!A102</f>
        <v>0</v>
      </c>
      <c r="B335" s="115">
        <f>'THE BOARD'!B102</f>
        <v>0</v>
      </c>
      <c r="C335" s="115"/>
      <c r="D335" s="115"/>
      <c r="E335" s="115"/>
      <c r="F335" s="115"/>
      <c r="G335" s="115"/>
      <c r="H335" s="115"/>
      <c r="I335" s="115"/>
      <c r="J335" s="115"/>
      <c r="K335" s="112"/>
      <c r="L335" s="112"/>
      <c r="M335" s="112"/>
      <c r="N335" s="112"/>
      <c r="O335" s="112"/>
      <c r="P335" s="112"/>
      <c r="Q335" s="112"/>
      <c r="R335" s="112"/>
      <c r="S335" s="112"/>
      <c r="T335" s="112"/>
      <c r="U335" s="112"/>
      <c r="V335" s="112"/>
      <c r="W335" s="112"/>
      <c r="X335" s="112"/>
      <c r="Y335" s="112"/>
      <c r="Z335" s="112"/>
    </row>
    <row r="336" spans="1:26" x14ac:dyDescent="0.2">
      <c r="A336" s="113">
        <f>'THE BOARD'!A103</f>
        <v>0</v>
      </c>
      <c r="B336" s="115">
        <f>'THE BOARD'!B103</f>
        <v>0</v>
      </c>
      <c r="C336" s="115"/>
      <c r="D336" s="115"/>
      <c r="E336" s="115"/>
      <c r="F336" s="115"/>
      <c r="G336" s="115"/>
      <c r="H336" s="115"/>
      <c r="I336" s="115"/>
      <c r="J336" s="115"/>
      <c r="K336" s="112"/>
      <c r="L336" s="112"/>
      <c r="M336" s="112"/>
      <c r="N336" s="112"/>
      <c r="O336" s="112"/>
      <c r="P336" s="112"/>
      <c r="Q336" s="112"/>
      <c r="R336" s="112"/>
      <c r="S336" s="112"/>
      <c r="T336" s="112"/>
      <c r="U336" s="112"/>
      <c r="V336" s="112"/>
      <c r="W336" s="112"/>
      <c r="X336" s="112"/>
      <c r="Y336" s="112"/>
      <c r="Z336" s="112"/>
    </row>
    <row r="337" spans="1:26" x14ac:dyDescent="0.2">
      <c r="A337" s="113">
        <f>'THE BOARD'!A104</f>
        <v>0</v>
      </c>
      <c r="B337" s="115">
        <f>'THE BOARD'!B104</f>
        <v>0</v>
      </c>
      <c r="C337" s="115"/>
      <c r="D337" s="115"/>
      <c r="E337" s="115"/>
      <c r="F337" s="115"/>
      <c r="G337" s="115"/>
      <c r="H337" s="115"/>
      <c r="I337" s="115"/>
      <c r="J337" s="115"/>
      <c r="K337" s="112"/>
      <c r="L337" s="112"/>
      <c r="M337" s="112"/>
      <c r="N337" s="112"/>
      <c r="O337" s="112"/>
      <c r="P337" s="112"/>
      <c r="Q337" s="112"/>
      <c r="R337" s="112"/>
      <c r="S337" s="112"/>
      <c r="T337" s="112"/>
      <c r="U337" s="112"/>
      <c r="V337" s="112"/>
      <c r="W337" s="112"/>
      <c r="X337" s="112"/>
      <c r="Y337" s="112"/>
      <c r="Z337" s="112"/>
    </row>
    <row r="338" spans="1:26" x14ac:dyDescent="0.2">
      <c r="A338" s="113">
        <f>'THE BOARD'!A105</f>
        <v>0</v>
      </c>
      <c r="B338" s="115">
        <f>'THE BOARD'!B105</f>
        <v>0</v>
      </c>
      <c r="C338" s="115"/>
      <c r="D338" s="115"/>
      <c r="E338" s="115"/>
      <c r="F338" s="115"/>
      <c r="G338" s="115"/>
      <c r="H338" s="115"/>
      <c r="I338" s="115"/>
      <c r="J338" s="115"/>
      <c r="K338" s="112"/>
      <c r="L338" s="112"/>
      <c r="M338" s="112"/>
      <c r="N338" s="112"/>
      <c r="O338" s="112"/>
      <c r="P338" s="112"/>
      <c r="Q338" s="112"/>
      <c r="R338" s="112"/>
      <c r="S338" s="112"/>
      <c r="T338" s="112"/>
      <c r="U338" s="112"/>
      <c r="V338" s="112"/>
      <c r="W338" s="112"/>
      <c r="X338" s="112"/>
      <c r="Y338" s="112"/>
      <c r="Z338" s="112"/>
    </row>
    <row r="339" spans="1:26" x14ac:dyDescent="0.2">
      <c r="A339" s="113">
        <f>'THE BOARD'!A106</f>
        <v>0</v>
      </c>
      <c r="B339" s="115">
        <f>'THE BOARD'!B106</f>
        <v>0</v>
      </c>
      <c r="C339" s="115"/>
      <c r="D339" s="115"/>
      <c r="E339" s="115"/>
      <c r="F339" s="115"/>
      <c r="G339" s="115"/>
      <c r="H339" s="115"/>
      <c r="I339" s="115"/>
      <c r="J339" s="115"/>
      <c r="K339" s="112"/>
      <c r="L339" s="112"/>
      <c r="M339" s="112"/>
      <c r="N339" s="112"/>
      <c r="O339" s="112"/>
      <c r="P339" s="112"/>
      <c r="Q339" s="112"/>
      <c r="R339" s="112"/>
      <c r="S339" s="112"/>
      <c r="T339" s="112"/>
      <c r="U339" s="112"/>
      <c r="V339" s="112"/>
      <c r="W339" s="112"/>
      <c r="X339" s="112"/>
      <c r="Y339" s="112"/>
      <c r="Z339" s="112"/>
    </row>
    <row r="340" spans="1:26" x14ac:dyDescent="0.2">
      <c r="A340" s="113">
        <f>'THE BOARD'!A107</f>
        <v>0</v>
      </c>
      <c r="B340" s="115">
        <f>'THE BOARD'!B107</f>
        <v>0</v>
      </c>
      <c r="C340" s="115"/>
      <c r="D340" s="115"/>
      <c r="E340" s="115"/>
      <c r="F340" s="115"/>
      <c r="G340" s="115"/>
      <c r="H340" s="115"/>
      <c r="I340" s="115"/>
      <c r="J340" s="115"/>
      <c r="K340" s="112"/>
      <c r="L340" s="112"/>
      <c r="M340" s="112"/>
      <c r="N340" s="112"/>
      <c r="O340" s="112"/>
      <c r="P340" s="112"/>
      <c r="Q340" s="112"/>
      <c r="R340" s="112"/>
      <c r="S340" s="112"/>
      <c r="T340" s="112"/>
      <c r="U340" s="112"/>
      <c r="V340" s="112"/>
      <c r="W340" s="112"/>
      <c r="X340" s="112"/>
      <c r="Y340" s="112"/>
      <c r="Z340" s="112"/>
    </row>
    <row r="341" spans="1:26" x14ac:dyDescent="0.2">
      <c r="A341" s="113">
        <f>'THE BOARD'!A108</f>
        <v>0</v>
      </c>
      <c r="B341" s="115">
        <f>'THE BOARD'!B108</f>
        <v>0</v>
      </c>
      <c r="C341" s="115"/>
      <c r="D341" s="115"/>
      <c r="E341" s="115"/>
      <c r="F341" s="115"/>
      <c r="G341" s="115"/>
      <c r="H341" s="115"/>
      <c r="I341" s="115"/>
      <c r="J341" s="115"/>
      <c r="K341" s="112"/>
      <c r="L341" s="112"/>
      <c r="M341" s="112"/>
      <c r="N341" s="112"/>
      <c r="O341" s="112"/>
      <c r="P341" s="112"/>
      <c r="Q341" s="112"/>
      <c r="R341" s="112"/>
      <c r="S341" s="112"/>
      <c r="T341" s="112"/>
      <c r="U341" s="112"/>
      <c r="V341" s="112"/>
      <c r="W341" s="112"/>
      <c r="X341" s="112"/>
      <c r="Y341" s="112"/>
      <c r="Z341" s="112"/>
    </row>
    <row r="342" spans="1:26" x14ac:dyDescent="0.2">
      <c r="A342" s="113">
        <f>'THE BOARD'!A109</f>
        <v>0</v>
      </c>
      <c r="B342" s="115">
        <f>'THE BOARD'!B109</f>
        <v>0</v>
      </c>
      <c r="C342" s="115"/>
      <c r="D342" s="115"/>
      <c r="E342" s="115"/>
      <c r="F342" s="115"/>
      <c r="G342" s="115"/>
      <c r="H342" s="115"/>
      <c r="I342" s="115"/>
      <c r="J342" s="115"/>
      <c r="K342" s="112"/>
      <c r="L342" s="112"/>
      <c r="M342" s="112"/>
      <c r="N342" s="112"/>
      <c r="O342" s="112"/>
      <c r="P342" s="112"/>
      <c r="Q342" s="112"/>
      <c r="R342" s="112"/>
      <c r="S342" s="112"/>
      <c r="T342" s="112"/>
      <c r="U342" s="112"/>
      <c r="V342" s="112"/>
      <c r="W342" s="112"/>
      <c r="X342" s="112"/>
      <c r="Y342" s="112"/>
      <c r="Z342" s="112"/>
    </row>
    <row r="343" spans="1:26" x14ac:dyDescent="0.2">
      <c r="A343" s="113">
        <f>'THE BOARD'!A110</f>
        <v>0</v>
      </c>
      <c r="B343" s="115">
        <f>'THE BOARD'!B110</f>
        <v>0</v>
      </c>
      <c r="C343" s="115"/>
      <c r="D343" s="115"/>
      <c r="E343" s="115"/>
      <c r="F343" s="115"/>
      <c r="G343" s="115"/>
      <c r="H343" s="115"/>
      <c r="I343" s="115"/>
      <c r="J343" s="115"/>
      <c r="K343" s="112"/>
      <c r="L343" s="112"/>
      <c r="M343" s="112"/>
      <c r="N343" s="112"/>
      <c r="O343" s="112"/>
      <c r="P343" s="112"/>
      <c r="Q343" s="112"/>
      <c r="R343" s="112"/>
      <c r="S343" s="112"/>
      <c r="T343" s="112"/>
      <c r="U343" s="112"/>
      <c r="V343" s="112"/>
      <c r="W343" s="112"/>
      <c r="X343" s="112"/>
      <c r="Y343" s="112"/>
      <c r="Z343" s="112"/>
    </row>
    <row r="344" spans="1:26" x14ac:dyDescent="0.2">
      <c r="A344" s="113">
        <f>'THE BOARD'!A111</f>
        <v>0</v>
      </c>
      <c r="B344" s="115">
        <f>'THE BOARD'!B111</f>
        <v>0</v>
      </c>
      <c r="C344" s="115"/>
      <c r="D344" s="115"/>
      <c r="E344" s="115"/>
      <c r="F344" s="115"/>
      <c r="G344" s="115"/>
      <c r="H344" s="115"/>
      <c r="I344" s="115"/>
      <c r="J344" s="115"/>
      <c r="K344" s="112"/>
      <c r="L344" s="112"/>
      <c r="M344" s="112"/>
      <c r="N344" s="112"/>
      <c r="O344" s="112"/>
      <c r="P344" s="112"/>
      <c r="Q344" s="112"/>
      <c r="R344" s="112"/>
      <c r="S344" s="112"/>
      <c r="T344" s="112"/>
      <c r="U344" s="112"/>
      <c r="V344" s="112"/>
      <c r="W344" s="112"/>
      <c r="X344" s="112"/>
      <c r="Y344" s="112"/>
      <c r="Z344" s="112"/>
    </row>
    <row r="345" spans="1:26" x14ac:dyDescent="0.2">
      <c r="A345" s="113">
        <f>'THE BOARD'!A112</f>
        <v>0</v>
      </c>
      <c r="B345" s="115">
        <f>'THE BOARD'!B112</f>
        <v>0</v>
      </c>
      <c r="C345" s="115"/>
      <c r="D345" s="115"/>
      <c r="E345" s="115"/>
      <c r="F345" s="115"/>
      <c r="G345" s="115"/>
      <c r="H345" s="115"/>
      <c r="I345" s="115"/>
      <c r="J345" s="115"/>
      <c r="K345" s="112"/>
      <c r="L345" s="112"/>
      <c r="M345" s="112"/>
      <c r="N345" s="112"/>
      <c r="O345" s="112"/>
      <c r="P345" s="112"/>
      <c r="Q345" s="112"/>
      <c r="R345" s="112"/>
      <c r="S345" s="112"/>
      <c r="T345" s="112"/>
      <c r="U345" s="112"/>
      <c r="V345" s="112"/>
      <c r="W345" s="112"/>
      <c r="X345" s="112"/>
      <c r="Y345" s="112"/>
      <c r="Z345" s="112"/>
    </row>
    <row r="346" spans="1:26" x14ac:dyDescent="0.2">
      <c r="A346" s="113">
        <f>'THE BOARD'!A113</f>
        <v>0</v>
      </c>
      <c r="B346" s="115">
        <f>'THE BOARD'!B113</f>
        <v>0</v>
      </c>
      <c r="C346" s="115"/>
      <c r="D346" s="115"/>
      <c r="E346" s="115"/>
      <c r="F346" s="115"/>
      <c r="G346" s="115"/>
      <c r="H346" s="115"/>
      <c r="I346" s="115"/>
      <c r="J346" s="115"/>
      <c r="K346" s="112"/>
      <c r="L346" s="112"/>
      <c r="M346" s="112"/>
      <c r="N346" s="112"/>
      <c r="O346" s="112"/>
      <c r="P346" s="112"/>
      <c r="Q346" s="112"/>
      <c r="R346" s="112"/>
      <c r="S346" s="112"/>
      <c r="T346" s="112"/>
      <c r="U346" s="112"/>
      <c r="V346" s="112"/>
      <c r="W346" s="112"/>
      <c r="X346" s="112"/>
      <c r="Y346" s="112"/>
      <c r="Z346" s="112"/>
    </row>
    <row r="347" spans="1:26" x14ac:dyDescent="0.2">
      <c r="A347" s="113">
        <f>'THE BOARD'!A114</f>
        <v>0</v>
      </c>
      <c r="B347" s="115">
        <f>'THE BOARD'!B114</f>
        <v>0</v>
      </c>
      <c r="C347" s="115"/>
      <c r="D347" s="115"/>
      <c r="E347" s="115"/>
      <c r="F347" s="115"/>
      <c r="G347" s="115"/>
      <c r="H347" s="115"/>
      <c r="I347" s="115"/>
      <c r="J347" s="115"/>
      <c r="K347" s="112"/>
      <c r="L347" s="112"/>
      <c r="M347" s="112"/>
      <c r="N347" s="112"/>
      <c r="O347" s="112"/>
      <c r="P347" s="112"/>
      <c r="Q347" s="112"/>
      <c r="R347" s="112"/>
      <c r="S347" s="112"/>
      <c r="T347" s="112"/>
      <c r="U347" s="112"/>
      <c r="V347" s="112"/>
      <c r="W347" s="112"/>
      <c r="X347" s="112"/>
      <c r="Y347" s="112"/>
      <c r="Z347" s="112"/>
    </row>
    <row r="348" spans="1:26" x14ac:dyDescent="0.2">
      <c r="A348" s="113">
        <f>'THE BOARD'!A115</f>
        <v>0</v>
      </c>
      <c r="B348" s="115">
        <f>'THE BOARD'!B115</f>
        <v>0</v>
      </c>
      <c r="C348" s="115"/>
      <c r="D348" s="115"/>
      <c r="E348" s="115"/>
      <c r="F348" s="115"/>
      <c r="G348" s="115"/>
      <c r="H348" s="115"/>
      <c r="I348" s="115"/>
      <c r="J348" s="115"/>
      <c r="K348" s="112"/>
      <c r="L348" s="112"/>
      <c r="M348" s="112"/>
      <c r="N348" s="112"/>
      <c r="O348" s="112"/>
      <c r="P348" s="112"/>
      <c r="Q348" s="112"/>
      <c r="R348" s="112"/>
      <c r="S348" s="112"/>
      <c r="T348" s="112"/>
      <c r="U348" s="112"/>
      <c r="V348" s="112"/>
      <c r="W348" s="112"/>
      <c r="X348" s="112"/>
      <c r="Y348" s="112"/>
      <c r="Z348" s="112"/>
    </row>
    <row r="349" spans="1:26" x14ac:dyDescent="0.2">
      <c r="A349" s="113">
        <f>'THE BOARD'!A116</f>
        <v>0</v>
      </c>
      <c r="B349" s="115">
        <f>'THE BOARD'!B116</f>
        <v>0</v>
      </c>
      <c r="C349" s="115"/>
      <c r="D349" s="115"/>
      <c r="E349" s="115"/>
      <c r="F349" s="115"/>
      <c r="G349" s="115"/>
      <c r="H349" s="115"/>
      <c r="I349" s="115"/>
      <c r="J349" s="115"/>
      <c r="K349" s="112"/>
      <c r="L349" s="112"/>
      <c r="M349" s="112"/>
      <c r="N349" s="112"/>
      <c r="O349" s="112"/>
      <c r="P349" s="112"/>
      <c r="Q349" s="112"/>
      <c r="R349" s="112"/>
      <c r="S349" s="112"/>
      <c r="T349" s="112"/>
      <c r="U349" s="112"/>
      <c r="V349" s="112"/>
      <c r="W349" s="112"/>
      <c r="X349" s="112"/>
      <c r="Y349" s="112"/>
      <c r="Z349" s="112"/>
    </row>
    <row r="350" spans="1:26" x14ac:dyDescent="0.2">
      <c r="A350" s="113">
        <f>'THE BOARD'!A117</f>
        <v>0</v>
      </c>
      <c r="B350" s="115">
        <f>'THE BOARD'!B117</f>
        <v>0</v>
      </c>
      <c r="C350" s="115"/>
      <c r="D350" s="115"/>
      <c r="E350" s="115"/>
      <c r="F350" s="115"/>
      <c r="G350" s="115"/>
      <c r="H350" s="115"/>
      <c r="I350" s="115"/>
      <c r="J350" s="115"/>
      <c r="K350" s="112"/>
      <c r="L350" s="112"/>
      <c r="M350" s="112"/>
      <c r="N350" s="112"/>
      <c r="O350" s="112"/>
      <c r="P350" s="112"/>
      <c r="Q350" s="112"/>
      <c r="R350" s="112"/>
      <c r="S350" s="112"/>
      <c r="T350" s="112"/>
      <c r="U350" s="112"/>
      <c r="V350" s="112"/>
      <c r="W350" s="112"/>
      <c r="X350" s="112"/>
      <c r="Y350" s="112"/>
      <c r="Z350" s="112"/>
    </row>
    <row r="351" spans="1:26" x14ac:dyDescent="0.2">
      <c r="A351" s="113">
        <f>'THE BOARD'!A118</f>
        <v>0</v>
      </c>
      <c r="B351" s="115">
        <f>'THE BOARD'!B118</f>
        <v>0</v>
      </c>
      <c r="C351" s="115"/>
      <c r="D351" s="115"/>
      <c r="E351" s="115"/>
      <c r="F351" s="115"/>
      <c r="G351" s="115"/>
      <c r="H351" s="115"/>
      <c r="I351" s="115"/>
      <c r="J351" s="115"/>
      <c r="K351" s="112"/>
      <c r="L351" s="112"/>
      <c r="M351" s="112"/>
      <c r="N351" s="112"/>
      <c r="O351" s="112"/>
      <c r="P351" s="112"/>
      <c r="Q351" s="112"/>
      <c r="R351" s="112"/>
      <c r="S351" s="112"/>
      <c r="T351" s="112"/>
      <c r="U351" s="112"/>
      <c r="V351" s="112"/>
      <c r="W351" s="112"/>
      <c r="X351" s="112"/>
      <c r="Y351" s="112"/>
      <c r="Z351" s="112"/>
    </row>
    <row r="352" spans="1:26" x14ac:dyDescent="0.2">
      <c r="A352" s="113">
        <f>'THE BOARD'!A119</f>
        <v>0</v>
      </c>
      <c r="B352" s="115">
        <f>'THE BOARD'!B119</f>
        <v>0</v>
      </c>
      <c r="C352" s="115"/>
      <c r="D352" s="115"/>
      <c r="E352" s="115"/>
      <c r="F352" s="115"/>
      <c r="G352" s="115"/>
      <c r="H352" s="115"/>
      <c r="I352" s="115"/>
      <c r="J352" s="115"/>
      <c r="K352" s="112"/>
      <c r="L352" s="112"/>
      <c r="M352" s="112"/>
      <c r="N352" s="112"/>
      <c r="O352" s="112"/>
      <c r="P352" s="112"/>
      <c r="Q352" s="112"/>
      <c r="R352" s="112"/>
      <c r="S352" s="112"/>
      <c r="T352" s="112"/>
      <c r="U352" s="112"/>
      <c r="V352" s="112"/>
      <c r="W352" s="112"/>
      <c r="X352" s="112"/>
      <c r="Y352" s="112"/>
      <c r="Z352" s="112"/>
    </row>
    <row r="353" spans="1:26" x14ac:dyDescent="0.2">
      <c r="A353" s="113">
        <f>'THE BOARD'!A120</f>
        <v>0</v>
      </c>
      <c r="B353" s="115">
        <f>'THE BOARD'!B120</f>
        <v>0</v>
      </c>
      <c r="C353" s="115"/>
      <c r="D353" s="115"/>
      <c r="E353" s="115"/>
      <c r="F353" s="115"/>
      <c r="G353" s="115"/>
      <c r="H353" s="115"/>
      <c r="I353" s="115"/>
      <c r="J353" s="115"/>
      <c r="K353" s="112"/>
      <c r="L353" s="112"/>
      <c r="M353" s="112"/>
      <c r="N353" s="112"/>
      <c r="O353" s="112"/>
      <c r="P353" s="112"/>
      <c r="Q353" s="112"/>
      <c r="R353" s="112"/>
      <c r="S353" s="112"/>
      <c r="T353" s="112"/>
      <c r="U353" s="112"/>
      <c r="V353" s="112"/>
      <c r="W353" s="112"/>
      <c r="X353" s="112"/>
      <c r="Y353" s="112"/>
      <c r="Z353" s="112"/>
    </row>
    <row r="354" spans="1:26" x14ac:dyDescent="0.2">
      <c r="A354" s="113">
        <f>'THE BOARD'!A121</f>
        <v>0</v>
      </c>
      <c r="B354" s="115">
        <f>'THE BOARD'!B121</f>
        <v>0</v>
      </c>
      <c r="C354" s="115"/>
      <c r="D354" s="115"/>
      <c r="E354" s="115"/>
      <c r="F354" s="115"/>
      <c r="G354" s="115"/>
      <c r="H354" s="115"/>
      <c r="I354" s="115"/>
      <c r="J354" s="115"/>
      <c r="K354" s="112"/>
      <c r="L354" s="112"/>
      <c r="M354" s="112"/>
      <c r="N354" s="112"/>
      <c r="O354" s="112"/>
      <c r="P354" s="112"/>
      <c r="Q354" s="112"/>
      <c r="R354" s="112"/>
      <c r="S354" s="112"/>
      <c r="T354" s="112"/>
      <c r="U354" s="112"/>
      <c r="V354" s="112"/>
      <c r="W354" s="112"/>
      <c r="X354" s="112"/>
      <c r="Y354" s="112"/>
      <c r="Z354" s="112"/>
    </row>
    <row r="355" spans="1:26" x14ac:dyDescent="0.2">
      <c r="A355" s="113">
        <f>'THE BOARD'!A122</f>
        <v>0</v>
      </c>
      <c r="B355" s="115">
        <f>'THE BOARD'!B122</f>
        <v>0</v>
      </c>
      <c r="C355" s="115"/>
      <c r="D355" s="115"/>
      <c r="E355" s="115"/>
      <c r="F355" s="115"/>
      <c r="G355" s="115"/>
      <c r="H355" s="115"/>
      <c r="I355" s="115"/>
      <c r="J355" s="115"/>
      <c r="K355" s="112"/>
      <c r="L355" s="112"/>
      <c r="M355" s="112"/>
      <c r="N355" s="112"/>
      <c r="O355" s="112"/>
      <c r="P355" s="112"/>
      <c r="Q355" s="112"/>
      <c r="R355" s="112"/>
      <c r="S355" s="112"/>
      <c r="T355" s="112"/>
      <c r="U355" s="112"/>
      <c r="V355" s="112"/>
      <c r="W355" s="112"/>
      <c r="X355" s="112"/>
      <c r="Y355" s="112"/>
      <c r="Z355" s="112"/>
    </row>
    <row r="356" spans="1:26" x14ac:dyDescent="0.2">
      <c r="A356" s="113">
        <f>'THE BOARD'!A123</f>
        <v>0</v>
      </c>
      <c r="B356" s="115">
        <f>'THE BOARD'!B123</f>
        <v>0</v>
      </c>
      <c r="C356" s="115"/>
      <c r="D356" s="115"/>
      <c r="E356" s="115"/>
      <c r="F356" s="115"/>
      <c r="G356" s="115"/>
      <c r="H356" s="115"/>
      <c r="I356" s="115"/>
      <c r="J356" s="115"/>
      <c r="K356" s="112"/>
      <c r="L356" s="112"/>
      <c r="M356" s="112"/>
      <c r="N356" s="112"/>
      <c r="O356" s="112"/>
      <c r="P356" s="112"/>
      <c r="Q356" s="112"/>
      <c r="R356" s="112"/>
      <c r="S356" s="112"/>
      <c r="T356" s="112"/>
      <c r="U356" s="112"/>
      <c r="V356" s="112"/>
      <c r="W356" s="112"/>
      <c r="X356" s="112"/>
      <c r="Y356" s="112"/>
      <c r="Z356" s="112"/>
    </row>
    <row r="357" spans="1:26" x14ac:dyDescent="0.2">
      <c r="A357" s="113">
        <f>'THE BOARD'!A124</f>
        <v>0</v>
      </c>
      <c r="B357" s="115">
        <f>'THE BOARD'!B124</f>
        <v>0</v>
      </c>
      <c r="C357" s="115"/>
      <c r="D357" s="115"/>
      <c r="E357" s="115"/>
      <c r="F357" s="115"/>
      <c r="G357" s="115"/>
      <c r="H357" s="115"/>
      <c r="I357" s="115"/>
      <c r="J357" s="115"/>
      <c r="K357" s="112"/>
      <c r="L357" s="112"/>
      <c r="M357" s="112"/>
      <c r="N357" s="112"/>
      <c r="O357" s="112"/>
      <c r="P357" s="112"/>
      <c r="Q357" s="112"/>
      <c r="R357" s="112"/>
      <c r="S357" s="112"/>
      <c r="T357" s="112"/>
      <c r="U357" s="112"/>
      <c r="V357" s="112"/>
      <c r="W357" s="112"/>
      <c r="X357" s="112"/>
      <c r="Y357" s="112"/>
      <c r="Z357" s="112"/>
    </row>
    <row r="358" spans="1:26" x14ac:dyDescent="0.2">
      <c r="A358" s="113">
        <f>'THE BOARD'!A125</f>
        <v>0</v>
      </c>
      <c r="B358" s="115">
        <f>'THE BOARD'!B125</f>
        <v>0</v>
      </c>
      <c r="C358" s="115"/>
      <c r="D358" s="115"/>
      <c r="E358" s="115"/>
      <c r="F358" s="115"/>
      <c r="G358" s="115"/>
      <c r="H358" s="115"/>
      <c r="I358" s="115"/>
      <c r="J358" s="115"/>
      <c r="K358" s="112"/>
      <c r="L358" s="112"/>
      <c r="M358" s="112"/>
      <c r="N358" s="112"/>
      <c r="O358" s="112"/>
      <c r="P358" s="112"/>
      <c r="Q358" s="112"/>
      <c r="R358" s="112"/>
      <c r="S358" s="112"/>
      <c r="T358" s="112"/>
      <c r="U358" s="112"/>
      <c r="V358" s="112"/>
      <c r="W358" s="112"/>
      <c r="X358" s="112"/>
      <c r="Y358" s="112"/>
      <c r="Z358" s="112"/>
    </row>
    <row r="359" spans="1:26" x14ac:dyDescent="0.2">
      <c r="A359" s="113">
        <f>'THE BOARD'!A126</f>
        <v>0</v>
      </c>
      <c r="B359" s="115">
        <f>'THE BOARD'!B126</f>
        <v>0</v>
      </c>
      <c r="C359" s="115"/>
      <c r="D359" s="115"/>
      <c r="E359" s="115"/>
      <c r="F359" s="115"/>
      <c r="G359" s="115"/>
      <c r="H359" s="115"/>
      <c r="I359" s="115"/>
      <c r="J359" s="115"/>
      <c r="K359" s="112"/>
      <c r="L359" s="112"/>
      <c r="M359" s="112"/>
      <c r="N359" s="112"/>
      <c r="O359" s="112"/>
      <c r="P359" s="112"/>
      <c r="Q359" s="112"/>
      <c r="R359" s="112"/>
      <c r="S359" s="112"/>
      <c r="T359" s="112"/>
      <c r="U359" s="112"/>
      <c r="V359" s="112"/>
      <c r="W359" s="112"/>
      <c r="X359" s="112"/>
      <c r="Y359" s="112"/>
      <c r="Z359" s="112"/>
    </row>
    <row r="360" spans="1:26" x14ac:dyDescent="0.2">
      <c r="A360" s="113">
        <f>'THE BOARD'!A127</f>
        <v>0</v>
      </c>
      <c r="B360" s="115">
        <f>'THE BOARD'!B127</f>
        <v>0</v>
      </c>
      <c r="C360" s="115"/>
      <c r="D360" s="115"/>
      <c r="E360" s="115"/>
      <c r="F360" s="115"/>
      <c r="G360" s="115"/>
      <c r="H360" s="115"/>
      <c r="I360" s="115"/>
      <c r="J360" s="115"/>
      <c r="K360" s="112"/>
      <c r="L360" s="112"/>
      <c r="M360" s="112"/>
      <c r="N360" s="112"/>
      <c r="O360" s="112"/>
      <c r="P360" s="112"/>
      <c r="Q360" s="112"/>
      <c r="R360" s="112"/>
      <c r="S360" s="112"/>
      <c r="T360" s="112"/>
      <c r="U360" s="112"/>
      <c r="V360" s="112"/>
      <c r="W360" s="112"/>
      <c r="X360" s="112"/>
      <c r="Y360" s="112"/>
      <c r="Z360" s="112"/>
    </row>
    <row r="361" spans="1:26" x14ac:dyDescent="0.2">
      <c r="A361" s="113">
        <f>'THE BOARD'!A128</f>
        <v>0</v>
      </c>
      <c r="B361" s="115">
        <f>'THE BOARD'!B128</f>
        <v>0</v>
      </c>
      <c r="C361" s="115"/>
      <c r="D361" s="115"/>
      <c r="E361" s="115"/>
      <c r="F361" s="115"/>
      <c r="G361" s="115"/>
      <c r="H361" s="115"/>
      <c r="I361" s="115"/>
      <c r="J361" s="115"/>
      <c r="K361" s="112"/>
      <c r="L361" s="112"/>
      <c r="M361" s="112"/>
      <c r="N361" s="112"/>
      <c r="O361" s="112"/>
      <c r="P361" s="112"/>
      <c r="Q361" s="112"/>
      <c r="R361" s="112"/>
      <c r="S361" s="112"/>
      <c r="T361" s="112"/>
      <c r="U361" s="112"/>
      <c r="V361" s="112"/>
      <c r="W361" s="112"/>
      <c r="X361" s="112"/>
      <c r="Y361" s="112"/>
      <c r="Z361" s="112"/>
    </row>
    <row r="362" spans="1:26" x14ac:dyDescent="0.2">
      <c r="A362" s="113">
        <f>'THE BOARD'!A129</f>
        <v>0</v>
      </c>
      <c r="B362" s="115">
        <f>'THE BOARD'!B129</f>
        <v>0</v>
      </c>
      <c r="C362" s="115"/>
      <c r="D362" s="115"/>
      <c r="E362" s="115"/>
      <c r="F362" s="115"/>
      <c r="G362" s="115"/>
      <c r="H362" s="115"/>
      <c r="I362" s="115"/>
      <c r="J362" s="115"/>
      <c r="K362" s="112"/>
      <c r="L362" s="112"/>
      <c r="M362" s="112"/>
      <c r="N362" s="112"/>
      <c r="O362" s="112"/>
      <c r="P362" s="112"/>
      <c r="Q362" s="112"/>
      <c r="R362" s="112"/>
      <c r="S362" s="112"/>
      <c r="T362" s="112"/>
      <c r="U362" s="112"/>
      <c r="V362" s="112"/>
      <c r="W362" s="112"/>
      <c r="X362" s="112"/>
      <c r="Y362" s="112"/>
      <c r="Z362" s="112"/>
    </row>
    <row r="363" spans="1:26" x14ac:dyDescent="0.2">
      <c r="A363" s="113">
        <f>'THE BOARD'!A130</f>
        <v>0</v>
      </c>
      <c r="B363" s="115">
        <f>'THE BOARD'!B130</f>
        <v>0</v>
      </c>
      <c r="C363" s="115"/>
      <c r="D363" s="115"/>
      <c r="E363" s="115"/>
      <c r="F363" s="115"/>
      <c r="G363" s="115"/>
      <c r="H363" s="115"/>
      <c r="I363" s="115"/>
      <c r="J363" s="115"/>
      <c r="K363" s="112"/>
      <c r="L363" s="112"/>
      <c r="M363" s="112"/>
      <c r="N363" s="112"/>
      <c r="O363" s="112"/>
      <c r="P363" s="112"/>
      <c r="Q363" s="112"/>
      <c r="R363" s="112"/>
      <c r="S363" s="112"/>
      <c r="T363" s="112"/>
      <c r="U363" s="112"/>
      <c r="V363" s="112"/>
      <c r="W363" s="112"/>
      <c r="X363" s="112"/>
      <c r="Y363" s="112"/>
      <c r="Z363" s="112"/>
    </row>
    <row r="364" spans="1:26" x14ac:dyDescent="0.2">
      <c r="A364" s="113">
        <f>'THE BOARD'!A131</f>
        <v>0</v>
      </c>
      <c r="B364" s="115">
        <f>'THE BOARD'!B131</f>
        <v>0</v>
      </c>
      <c r="C364" s="115"/>
      <c r="D364" s="115"/>
      <c r="E364" s="115"/>
      <c r="F364" s="115"/>
      <c r="G364" s="115"/>
      <c r="H364" s="115"/>
      <c r="I364" s="115"/>
      <c r="J364" s="115"/>
      <c r="K364" s="112"/>
      <c r="L364" s="112"/>
      <c r="M364" s="112"/>
      <c r="N364" s="112"/>
      <c r="O364" s="112"/>
      <c r="P364" s="112"/>
      <c r="Q364" s="112"/>
      <c r="R364" s="112"/>
      <c r="S364" s="112"/>
      <c r="T364" s="112"/>
      <c r="U364" s="112"/>
      <c r="V364" s="112"/>
      <c r="W364" s="112"/>
      <c r="X364" s="112"/>
      <c r="Y364" s="112"/>
      <c r="Z364" s="112"/>
    </row>
    <row r="365" spans="1:26" x14ac:dyDescent="0.2">
      <c r="A365" s="113">
        <f>'THE BOARD'!A132</f>
        <v>0</v>
      </c>
      <c r="B365" s="115">
        <f>'THE BOARD'!B132</f>
        <v>0</v>
      </c>
      <c r="C365" s="115"/>
      <c r="D365" s="115"/>
      <c r="E365" s="115"/>
      <c r="F365" s="115"/>
      <c r="G365" s="115"/>
      <c r="H365" s="115"/>
      <c r="I365" s="115"/>
      <c r="J365" s="115"/>
      <c r="K365" s="112"/>
      <c r="L365" s="112"/>
      <c r="M365" s="112"/>
      <c r="N365" s="112"/>
      <c r="O365" s="112"/>
      <c r="P365" s="112"/>
      <c r="Q365" s="112"/>
      <c r="R365" s="112"/>
      <c r="S365" s="112"/>
      <c r="T365" s="112"/>
      <c r="U365" s="112"/>
      <c r="V365" s="112"/>
      <c r="W365" s="112"/>
      <c r="X365" s="112"/>
      <c r="Y365" s="112"/>
      <c r="Z365" s="112"/>
    </row>
    <row r="366" spans="1:26" x14ac:dyDescent="0.2">
      <c r="A366" s="113">
        <f>'THE BOARD'!A133</f>
        <v>0</v>
      </c>
      <c r="B366" s="115">
        <f>'THE BOARD'!B133</f>
        <v>0</v>
      </c>
      <c r="C366" s="115"/>
      <c r="D366" s="115"/>
      <c r="E366" s="115"/>
      <c r="F366" s="115"/>
      <c r="G366" s="115"/>
      <c r="H366" s="115"/>
      <c r="I366" s="115"/>
      <c r="J366" s="115"/>
      <c r="K366" s="112"/>
      <c r="L366" s="112"/>
      <c r="M366" s="112"/>
      <c r="N366" s="112"/>
      <c r="O366" s="112"/>
      <c r="P366" s="112"/>
      <c r="Q366" s="112"/>
      <c r="R366" s="112"/>
      <c r="S366" s="112"/>
      <c r="T366" s="112"/>
      <c r="U366" s="112"/>
      <c r="V366" s="112"/>
      <c r="W366" s="112"/>
      <c r="X366" s="112"/>
      <c r="Y366" s="112"/>
      <c r="Z366" s="112"/>
    </row>
    <row r="367" spans="1:26" x14ac:dyDescent="0.2">
      <c r="A367" s="113">
        <f>'THE BOARD'!A134</f>
        <v>0</v>
      </c>
      <c r="B367" s="115">
        <f>'THE BOARD'!B134</f>
        <v>0</v>
      </c>
      <c r="C367" s="115"/>
      <c r="D367" s="115"/>
      <c r="E367" s="115"/>
      <c r="F367" s="115"/>
      <c r="G367" s="115"/>
      <c r="H367" s="115"/>
      <c r="I367" s="115"/>
      <c r="J367" s="115"/>
      <c r="K367" s="112"/>
      <c r="L367" s="112"/>
      <c r="M367" s="112"/>
      <c r="N367" s="112"/>
      <c r="O367" s="112"/>
      <c r="P367" s="112"/>
      <c r="Q367" s="112"/>
      <c r="R367" s="112"/>
      <c r="S367" s="112"/>
      <c r="T367" s="112"/>
      <c r="U367" s="112"/>
      <c r="V367" s="112"/>
      <c r="W367" s="112"/>
      <c r="X367" s="112"/>
      <c r="Y367" s="112"/>
      <c r="Z367" s="112"/>
    </row>
    <row r="368" spans="1:26" x14ac:dyDescent="0.2">
      <c r="A368" s="113">
        <f>'THE BOARD'!A135</f>
        <v>0</v>
      </c>
      <c r="B368" s="115">
        <f>'THE BOARD'!B135</f>
        <v>0</v>
      </c>
      <c r="C368" s="115"/>
      <c r="D368" s="115"/>
      <c r="E368" s="115"/>
      <c r="F368" s="115"/>
      <c r="G368" s="115"/>
      <c r="H368" s="115"/>
      <c r="I368" s="115"/>
      <c r="J368" s="115"/>
      <c r="K368" s="112"/>
      <c r="L368" s="112"/>
      <c r="M368" s="112"/>
      <c r="N368" s="112"/>
      <c r="O368" s="112"/>
      <c r="P368" s="112"/>
      <c r="Q368" s="112"/>
      <c r="R368" s="112"/>
      <c r="S368" s="112"/>
      <c r="T368" s="112"/>
      <c r="U368" s="112"/>
      <c r="V368" s="112"/>
      <c r="W368" s="112"/>
      <c r="X368" s="112"/>
      <c r="Y368" s="112"/>
      <c r="Z368" s="112"/>
    </row>
    <row r="369" spans="1:26" x14ac:dyDescent="0.2">
      <c r="A369" s="113">
        <f>'THE BOARD'!A136</f>
        <v>0</v>
      </c>
      <c r="B369" s="115">
        <f>'THE BOARD'!B136</f>
        <v>0</v>
      </c>
      <c r="C369" s="115"/>
      <c r="D369" s="115"/>
      <c r="E369" s="115"/>
      <c r="F369" s="115"/>
      <c r="G369" s="115"/>
      <c r="H369" s="115"/>
      <c r="I369" s="115"/>
      <c r="J369" s="115"/>
      <c r="K369" s="112"/>
      <c r="L369" s="112"/>
      <c r="M369" s="112"/>
      <c r="N369" s="112"/>
      <c r="O369" s="112"/>
      <c r="P369" s="112"/>
      <c r="Q369" s="112"/>
      <c r="R369" s="112"/>
      <c r="S369" s="112"/>
      <c r="T369" s="112"/>
      <c r="U369" s="112"/>
      <c r="V369" s="112"/>
      <c r="W369" s="112"/>
      <c r="X369" s="112"/>
      <c r="Y369" s="112"/>
      <c r="Z369" s="112"/>
    </row>
    <row r="370" spans="1:26" x14ac:dyDescent="0.2">
      <c r="A370" s="113">
        <f>'THE BOARD'!A137</f>
        <v>0</v>
      </c>
      <c r="B370" s="115">
        <f>'THE BOARD'!B137</f>
        <v>0</v>
      </c>
      <c r="C370" s="115"/>
      <c r="D370" s="115"/>
      <c r="E370" s="115"/>
      <c r="F370" s="115"/>
      <c r="G370" s="115"/>
      <c r="H370" s="115"/>
      <c r="I370" s="115"/>
      <c r="J370" s="115"/>
      <c r="K370" s="112"/>
      <c r="L370" s="112"/>
      <c r="M370" s="112"/>
      <c r="N370" s="112"/>
      <c r="O370" s="112"/>
      <c r="P370" s="112"/>
      <c r="Q370" s="112"/>
      <c r="R370" s="112"/>
      <c r="S370" s="112"/>
      <c r="T370" s="112"/>
      <c r="U370" s="112"/>
      <c r="V370" s="112"/>
      <c r="W370" s="112"/>
      <c r="X370" s="112"/>
      <c r="Y370" s="112"/>
      <c r="Z370" s="112"/>
    </row>
    <row r="371" spans="1:26" x14ac:dyDescent="0.2">
      <c r="A371" s="113">
        <f>'THE BOARD'!A138</f>
        <v>0</v>
      </c>
      <c r="B371" s="115">
        <f>'THE BOARD'!B138</f>
        <v>0</v>
      </c>
      <c r="C371" s="115"/>
      <c r="D371" s="115"/>
      <c r="E371" s="115"/>
      <c r="F371" s="115"/>
      <c r="G371" s="115"/>
      <c r="H371" s="115"/>
      <c r="I371" s="115"/>
      <c r="J371" s="115"/>
      <c r="K371" s="112"/>
      <c r="L371" s="112"/>
      <c r="M371" s="112"/>
      <c r="N371" s="112"/>
      <c r="O371" s="112"/>
      <c r="P371" s="112"/>
      <c r="Q371" s="112"/>
      <c r="R371" s="112"/>
      <c r="S371" s="112"/>
      <c r="T371" s="112"/>
      <c r="U371" s="112"/>
      <c r="V371" s="112"/>
      <c r="W371" s="112"/>
      <c r="X371" s="112"/>
      <c r="Y371" s="112"/>
      <c r="Z371" s="112"/>
    </row>
    <row r="372" spans="1:26" x14ac:dyDescent="0.2">
      <c r="A372" s="113">
        <f>'THE BOARD'!A139</f>
        <v>0</v>
      </c>
      <c r="B372" s="115">
        <f>'THE BOARD'!B139</f>
        <v>0</v>
      </c>
      <c r="C372" s="115"/>
      <c r="D372" s="115"/>
      <c r="E372" s="115"/>
      <c r="F372" s="115"/>
      <c r="G372" s="115"/>
      <c r="H372" s="115"/>
      <c r="I372" s="115"/>
      <c r="J372" s="115"/>
      <c r="K372" s="112"/>
      <c r="L372" s="112"/>
      <c r="M372" s="112"/>
      <c r="N372" s="112"/>
      <c r="O372" s="112"/>
      <c r="P372" s="112"/>
      <c r="Q372" s="112"/>
      <c r="R372" s="112"/>
      <c r="S372" s="112"/>
      <c r="T372" s="112"/>
      <c r="U372" s="112"/>
      <c r="V372" s="112"/>
      <c r="W372" s="112"/>
      <c r="X372" s="112"/>
      <c r="Y372" s="112"/>
      <c r="Z372" s="112"/>
    </row>
    <row r="373" spans="1:26" x14ac:dyDescent="0.2">
      <c r="A373" s="113">
        <f>'THE BOARD'!A140</f>
        <v>0</v>
      </c>
      <c r="B373" s="115">
        <f>'THE BOARD'!B140</f>
        <v>0</v>
      </c>
      <c r="C373" s="115"/>
      <c r="D373" s="115"/>
      <c r="E373" s="115"/>
      <c r="F373" s="115"/>
      <c r="G373" s="115"/>
      <c r="H373" s="115"/>
      <c r="I373" s="115"/>
      <c r="J373" s="115"/>
      <c r="K373" s="112"/>
      <c r="L373" s="112"/>
      <c r="M373" s="112"/>
      <c r="N373" s="112"/>
      <c r="O373" s="112"/>
      <c r="P373" s="112"/>
      <c r="Q373" s="112"/>
      <c r="R373" s="112"/>
      <c r="S373" s="112"/>
      <c r="T373" s="112"/>
      <c r="U373" s="112"/>
      <c r="V373" s="112"/>
      <c r="W373" s="112"/>
      <c r="X373" s="112"/>
      <c r="Y373" s="112"/>
      <c r="Z373" s="112"/>
    </row>
    <row r="374" spans="1:26" x14ac:dyDescent="0.2">
      <c r="A374" s="113">
        <f>'THE BOARD'!A141</f>
        <v>0</v>
      </c>
      <c r="B374" s="115">
        <f>'THE BOARD'!B141</f>
        <v>0</v>
      </c>
      <c r="C374" s="115"/>
      <c r="D374" s="115"/>
      <c r="E374" s="115"/>
      <c r="F374" s="115"/>
      <c r="G374" s="115"/>
      <c r="H374" s="115"/>
      <c r="I374" s="115"/>
      <c r="J374" s="115"/>
      <c r="K374" s="112"/>
      <c r="L374" s="112"/>
      <c r="M374" s="112"/>
      <c r="N374" s="112"/>
      <c r="O374" s="112"/>
      <c r="P374" s="112"/>
      <c r="Q374" s="112"/>
      <c r="R374" s="112"/>
      <c r="S374" s="112"/>
      <c r="T374" s="112"/>
      <c r="U374" s="112"/>
      <c r="V374" s="112"/>
      <c r="W374" s="112"/>
      <c r="X374" s="112"/>
      <c r="Y374" s="112"/>
      <c r="Z374" s="112"/>
    </row>
    <row r="375" spans="1:26" x14ac:dyDescent="0.2">
      <c r="A375" s="113">
        <f>'THE BOARD'!A142</f>
        <v>0</v>
      </c>
      <c r="B375" s="115">
        <f>'THE BOARD'!B142</f>
        <v>0</v>
      </c>
      <c r="C375" s="115"/>
      <c r="D375" s="115"/>
      <c r="E375" s="115"/>
      <c r="F375" s="115"/>
      <c r="G375" s="115"/>
      <c r="H375" s="115"/>
      <c r="I375" s="115"/>
      <c r="J375" s="115"/>
      <c r="K375" s="112"/>
      <c r="L375" s="112"/>
      <c r="M375" s="112"/>
      <c r="N375" s="112"/>
      <c r="O375" s="112"/>
      <c r="P375" s="112"/>
      <c r="Q375" s="112"/>
      <c r="R375" s="112"/>
      <c r="S375" s="112"/>
      <c r="T375" s="112"/>
      <c r="U375" s="112"/>
      <c r="V375" s="112"/>
      <c r="W375" s="112"/>
      <c r="X375" s="112"/>
      <c r="Y375" s="112"/>
      <c r="Z375" s="112"/>
    </row>
    <row r="376" spans="1:26" x14ac:dyDescent="0.2">
      <c r="A376" s="113">
        <f>'THE BOARD'!A143</f>
        <v>0</v>
      </c>
      <c r="B376" s="115">
        <f>'THE BOARD'!B143</f>
        <v>0</v>
      </c>
      <c r="C376" s="115"/>
      <c r="D376" s="115"/>
      <c r="E376" s="115"/>
      <c r="F376" s="115"/>
      <c r="G376" s="115"/>
      <c r="H376" s="115"/>
      <c r="I376" s="115"/>
      <c r="J376" s="115"/>
      <c r="K376" s="112"/>
      <c r="L376" s="112"/>
      <c r="M376" s="112"/>
      <c r="N376" s="112"/>
      <c r="O376" s="112"/>
      <c r="P376" s="112"/>
      <c r="Q376" s="112"/>
      <c r="R376" s="112"/>
      <c r="S376" s="112"/>
      <c r="T376" s="112"/>
      <c r="U376" s="112"/>
      <c r="V376" s="112"/>
      <c r="W376" s="112"/>
      <c r="X376" s="112"/>
      <c r="Y376" s="112"/>
      <c r="Z376" s="112"/>
    </row>
    <row r="377" spans="1:26" x14ac:dyDescent="0.2">
      <c r="A377" s="113">
        <f>'THE BOARD'!A144</f>
        <v>0</v>
      </c>
      <c r="B377" s="115">
        <f>'THE BOARD'!B144</f>
        <v>0</v>
      </c>
      <c r="C377" s="115"/>
      <c r="D377" s="115"/>
      <c r="E377" s="115"/>
      <c r="F377" s="115"/>
      <c r="G377" s="115"/>
      <c r="H377" s="115"/>
      <c r="I377" s="115"/>
      <c r="J377" s="115"/>
      <c r="K377" s="112"/>
      <c r="L377" s="112"/>
      <c r="M377" s="112"/>
      <c r="N377" s="112"/>
      <c r="O377" s="112"/>
      <c r="P377" s="112"/>
      <c r="Q377" s="112"/>
      <c r="R377" s="112"/>
      <c r="S377" s="112"/>
      <c r="T377" s="112"/>
      <c r="U377" s="112"/>
      <c r="V377" s="112"/>
      <c r="W377" s="112"/>
      <c r="X377" s="112"/>
      <c r="Y377" s="112"/>
      <c r="Z377" s="112"/>
    </row>
    <row r="378" spans="1:26" x14ac:dyDescent="0.2">
      <c r="A378" s="113">
        <f>'THE BOARD'!A145</f>
        <v>0</v>
      </c>
      <c r="B378" s="115">
        <f>'THE BOARD'!B145</f>
        <v>0</v>
      </c>
      <c r="C378" s="115"/>
      <c r="D378" s="115"/>
      <c r="E378" s="115"/>
      <c r="F378" s="115"/>
      <c r="G378" s="115"/>
      <c r="H378" s="115"/>
      <c r="I378" s="115"/>
      <c r="J378" s="115"/>
      <c r="K378" s="112"/>
      <c r="L378" s="112"/>
      <c r="M378" s="112"/>
      <c r="N378" s="112"/>
      <c r="O378" s="112"/>
      <c r="P378" s="112"/>
      <c r="Q378" s="112"/>
      <c r="R378" s="112"/>
      <c r="S378" s="112"/>
      <c r="T378" s="112"/>
      <c r="U378" s="112"/>
      <c r="V378" s="112"/>
      <c r="W378" s="112"/>
      <c r="X378" s="112"/>
      <c r="Y378" s="112"/>
      <c r="Z378" s="112"/>
    </row>
    <row r="379" spans="1:26" x14ac:dyDescent="0.2">
      <c r="A379" s="113">
        <f>'THE BOARD'!A146</f>
        <v>0</v>
      </c>
      <c r="B379" s="115">
        <f>'THE BOARD'!B146</f>
        <v>0</v>
      </c>
      <c r="C379" s="115"/>
      <c r="D379" s="115"/>
      <c r="E379" s="115"/>
      <c r="F379" s="115"/>
      <c r="G379" s="115"/>
      <c r="H379" s="115"/>
      <c r="I379" s="115"/>
      <c r="J379" s="115"/>
      <c r="K379" s="112"/>
      <c r="L379" s="112"/>
      <c r="M379" s="112"/>
      <c r="N379" s="112"/>
      <c r="O379" s="112"/>
      <c r="P379" s="112"/>
      <c r="Q379" s="112"/>
      <c r="R379" s="112"/>
      <c r="S379" s="112"/>
      <c r="T379" s="112"/>
      <c r="U379" s="112"/>
      <c r="V379" s="112"/>
      <c r="W379" s="112"/>
      <c r="X379" s="112"/>
      <c r="Y379" s="112"/>
      <c r="Z379" s="112"/>
    </row>
    <row r="380" spans="1:26" x14ac:dyDescent="0.2">
      <c r="A380" s="113">
        <f>'THE BOARD'!A147</f>
        <v>0</v>
      </c>
      <c r="B380" s="115">
        <f>'THE BOARD'!B147</f>
        <v>0</v>
      </c>
      <c r="C380" s="115"/>
      <c r="D380" s="115"/>
      <c r="E380" s="115"/>
      <c r="F380" s="115"/>
      <c r="G380" s="115"/>
      <c r="H380" s="115"/>
      <c r="I380" s="115"/>
      <c r="J380" s="115"/>
      <c r="K380" s="112"/>
      <c r="L380" s="112"/>
      <c r="M380" s="112"/>
      <c r="N380" s="112"/>
      <c r="O380" s="112"/>
      <c r="P380" s="112"/>
      <c r="Q380" s="112"/>
      <c r="R380" s="112"/>
      <c r="S380" s="112"/>
      <c r="T380" s="112"/>
      <c r="U380" s="112"/>
      <c r="V380" s="112"/>
      <c r="W380" s="112"/>
      <c r="X380" s="112"/>
      <c r="Y380" s="112"/>
      <c r="Z380" s="112"/>
    </row>
    <row r="381" spans="1:26" x14ac:dyDescent="0.2">
      <c r="A381" s="113">
        <f>'THE BOARD'!A148</f>
        <v>0</v>
      </c>
      <c r="B381" s="115">
        <f>'THE BOARD'!B148</f>
        <v>0</v>
      </c>
      <c r="C381" s="115"/>
      <c r="D381" s="115"/>
      <c r="E381" s="115"/>
      <c r="F381" s="115"/>
      <c r="G381" s="115"/>
      <c r="H381" s="115"/>
      <c r="I381" s="115"/>
      <c r="J381" s="115"/>
      <c r="K381" s="112"/>
      <c r="L381" s="112"/>
      <c r="M381" s="112"/>
      <c r="N381" s="112"/>
      <c r="O381" s="112"/>
      <c r="P381" s="112"/>
      <c r="Q381" s="112"/>
      <c r="R381" s="112"/>
      <c r="S381" s="112"/>
      <c r="T381" s="112"/>
      <c r="U381" s="112"/>
      <c r="V381" s="112"/>
      <c r="W381" s="112"/>
      <c r="X381" s="112"/>
      <c r="Y381" s="112"/>
      <c r="Z381" s="112"/>
    </row>
    <row r="382" spans="1:26" x14ac:dyDescent="0.2">
      <c r="A382" s="113">
        <f>'THE BOARD'!A149</f>
        <v>0</v>
      </c>
      <c r="B382" s="115">
        <f>'THE BOARD'!B149</f>
        <v>0</v>
      </c>
      <c r="C382" s="115"/>
      <c r="D382" s="115"/>
      <c r="E382" s="115"/>
      <c r="F382" s="115"/>
      <c r="G382" s="115"/>
      <c r="H382" s="115"/>
      <c r="I382" s="115"/>
      <c r="J382" s="115"/>
      <c r="K382" s="112"/>
      <c r="L382" s="112"/>
      <c r="M382" s="112"/>
      <c r="N382" s="112"/>
      <c r="O382" s="112"/>
      <c r="P382" s="112"/>
      <c r="Q382" s="112"/>
      <c r="R382" s="112"/>
      <c r="S382" s="112"/>
      <c r="T382" s="112"/>
      <c r="U382" s="112"/>
      <c r="V382" s="112"/>
      <c r="W382" s="112"/>
      <c r="X382" s="112"/>
      <c r="Y382" s="112"/>
      <c r="Z382" s="112"/>
    </row>
    <row r="383" spans="1:26" x14ac:dyDescent="0.2">
      <c r="A383" s="113">
        <f>'THE BOARD'!A150</f>
        <v>0</v>
      </c>
      <c r="B383" s="115">
        <f>'THE BOARD'!B150</f>
        <v>0</v>
      </c>
      <c r="C383" s="115"/>
      <c r="D383" s="115"/>
      <c r="E383" s="115"/>
      <c r="F383" s="115"/>
      <c r="G383" s="115"/>
      <c r="H383" s="115"/>
      <c r="I383" s="115"/>
      <c r="J383" s="115"/>
      <c r="K383" s="112"/>
      <c r="L383" s="112"/>
      <c r="M383" s="112"/>
      <c r="N383" s="112"/>
      <c r="O383" s="112"/>
      <c r="P383" s="112"/>
      <c r="Q383" s="112"/>
      <c r="R383" s="112"/>
      <c r="S383" s="112"/>
      <c r="T383" s="112"/>
      <c r="U383" s="112"/>
      <c r="V383" s="112"/>
      <c r="W383" s="112"/>
      <c r="X383" s="112"/>
      <c r="Y383" s="112"/>
      <c r="Z383" s="112"/>
    </row>
    <row r="384" spans="1:26" x14ac:dyDescent="0.2">
      <c r="A384" s="113">
        <f>'THE BOARD'!A151</f>
        <v>0</v>
      </c>
      <c r="B384" s="115">
        <f>'THE BOARD'!B151</f>
        <v>0</v>
      </c>
      <c r="C384" s="115"/>
      <c r="D384" s="115"/>
      <c r="E384" s="115"/>
      <c r="F384" s="115"/>
      <c r="G384" s="115"/>
      <c r="H384" s="115"/>
      <c r="I384" s="115"/>
      <c r="J384" s="115"/>
      <c r="K384" s="112"/>
      <c r="L384" s="112"/>
      <c r="M384" s="112"/>
      <c r="N384" s="112"/>
      <c r="O384" s="112"/>
      <c r="P384" s="112"/>
      <c r="Q384" s="112"/>
      <c r="R384" s="112"/>
      <c r="S384" s="112"/>
      <c r="T384" s="112"/>
      <c r="U384" s="112"/>
      <c r="V384" s="112"/>
      <c r="W384" s="112"/>
      <c r="X384" s="112"/>
      <c r="Y384" s="112"/>
      <c r="Z384" s="112"/>
    </row>
    <row r="385" spans="1:26" x14ac:dyDescent="0.2">
      <c r="A385" s="113">
        <f>'THE BOARD'!A152</f>
        <v>0</v>
      </c>
      <c r="B385" s="115">
        <f>'THE BOARD'!B152</f>
        <v>0</v>
      </c>
      <c r="C385" s="115"/>
      <c r="D385" s="115"/>
      <c r="E385" s="115"/>
      <c r="F385" s="115"/>
      <c r="G385" s="115"/>
      <c r="H385" s="115"/>
      <c r="I385" s="115"/>
      <c r="J385" s="115"/>
      <c r="K385" s="112"/>
      <c r="L385" s="112"/>
      <c r="M385" s="112"/>
      <c r="N385" s="112"/>
      <c r="O385" s="112"/>
      <c r="P385" s="112"/>
      <c r="Q385" s="112"/>
      <c r="R385" s="112"/>
      <c r="S385" s="112"/>
      <c r="T385" s="112"/>
      <c r="U385" s="112"/>
      <c r="V385" s="112"/>
      <c r="W385" s="112"/>
      <c r="X385" s="112"/>
      <c r="Y385" s="112"/>
      <c r="Z385" s="112"/>
    </row>
    <row r="386" spans="1:26" x14ac:dyDescent="0.2">
      <c r="A386" s="113">
        <f>'THE BOARD'!A153</f>
        <v>0</v>
      </c>
      <c r="B386" s="115">
        <f>'THE BOARD'!B153</f>
        <v>0</v>
      </c>
      <c r="C386" s="115"/>
      <c r="D386" s="115"/>
      <c r="E386" s="115"/>
      <c r="F386" s="115"/>
      <c r="G386" s="115"/>
      <c r="H386" s="115"/>
      <c r="I386" s="115"/>
      <c r="J386" s="115"/>
      <c r="K386" s="112"/>
      <c r="L386" s="112"/>
      <c r="M386" s="112"/>
      <c r="N386" s="112"/>
      <c r="O386" s="112"/>
      <c r="P386" s="112"/>
      <c r="Q386" s="112"/>
      <c r="R386" s="112"/>
      <c r="S386" s="112"/>
      <c r="T386" s="112"/>
      <c r="U386" s="112"/>
      <c r="V386" s="112"/>
      <c r="W386" s="112"/>
      <c r="X386" s="112"/>
      <c r="Y386" s="112"/>
      <c r="Z386" s="112"/>
    </row>
    <row r="387" spans="1:26" x14ac:dyDescent="0.2">
      <c r="A387" s="113">
        <f>'THE BOARD'!A154</f>
        <v>0</v>
      </c>
      <c r="B387" s="115">
        <f>'THE BOARD'!B154</f>
        <v>0</v>
      </c>
      <c r="C387" s="115"/>
      <c r="D387" s="115"/>
      <c r="E387" s="115"/>
      <c r="F387" s="115"/>
      <c r="G387" s="115"/>
      <c r="H387" s="115"/>
      <c r="I387" s="115"/>
      <c r="J387" s="115"/>
      <c r="K387" s="112"/>
      <c r="L387" s="112"/>
      <c r="M387" s="112"/>
      <c r="N387" s="112"/>
      <c r="O387" s="112"/>
      <c r="P387" s="112"/>
      <c r="Q387" s="112"/>
      <c r="R387" s="112"/>
      <c r="S387" s="112"/>
      <c r="T387" s="112"/>
      <c r="U387" s="112"/>
      <c r="V387" s="112"/>
      <c r="W387" s="112"/>
      <c r="X387" s="112"/>
      <c r="Y387" s="112"/>
      <c r="Z387" s="112"/>
    </row>
    <row r="388" spans="1:26" x14ac:dyDescent="0.2">
      <c r="A388" s="113">
        <f>'THE BOARD'!A155</f>
        <v>0</v>
      </c>
      <c r="B388" s="115">
        <f>'THE BOARD'!B155</f>
        <v>0</v>
      </c>
      <c r="C388" s="115"/>
      <c r="D388" s="115"/>
      <c r="E388" s="115"/>
      <c r="F388" s="115"/>
      <c r="G388" s="115"/>
      <c r="H388" s="115"/>
      <c r="I388" s="115"/>
      <c r="J388" s="115"/>
      <c r="K388" s="112"/>
      <c r="L388" s="112"/>
      <c r="M388" s="112"/>
      <c r="N388" s="112"/>
      <c r="O388" s="112"/>
      <c r="P388" s="112"/>
      <c r="Q388" s="112"/>
      <c r="R388" s="112"/>
      <c r="S388" s="112"/>
      <c r="T388" s="112"/>
      <c r="U388" s="112"/>
      <c r="V388" s="112"/>
      <c r="W388" s="112"/>
      <c r="X388" s="112"/>
      <c r="Y388" s="112"/>
      <c r="Z388" s="112"/>
    </row>
    <row r="389" spans="1:26" x14ac:dyDescent="0.2">
      <c r="A389" s="113">
        <f>'THE BOARD'!A156</f>
        <v>0</v>
      </c>
      <c r="B389" s="115">
        <f>'THE BOARD'!B156</f>
        <v>0</v>
      </c>
      <c r="C389" s="115"/>
      <c r="D389" s="115"/>
      <c r="E389" s="115"/>
      <c r="F389" s="115"/>
      <c r="G389" s="115"/>
      <c r="H389" s="115"/>
      <c r="I389" s="115"/>
      <c r="J389" s="115"/>
      <c r="K389" s="112"/>
      <c r="L389" s="112"/>
      <c r="M389" s="112"/>
      <c r="N389" s="112"/>
      <c r="O389" s="112"/>
      <c r="P389" s="112"/>
      <c r="Q389" s="112"/>
      <c r="R389" s="112"/>
      <c r="S389" s="112"/>
      <c r="T389" s="112"/>
      <c r="U389" s="112"/>
      <c r="V389" s="112"/>
      <c r="W389" s="112"/>
      <c r="X389" s="112"/>
      <c r="Y389" s="112"/>
      <c r="Z389" s="112"/>
    </row>
    <row r="390" spans="1:26" x14ac:dyDescent="0.2">
      <c r="A390" s="113">
        <f>'THE BOARD'!A157</f>
        <v>0</v>
      </c>
      <c r="B390" s="115">
        <f>'THE BOARD'!B157</f>
        <v>0</v>
      </c>
      <c r="C390" s="115"/>
      <c r="D390" s="115"/>
      <c r="E390" s="115"/>
      <c r="F390" s="115"/>
      <c r="G390" s="115"/>
      <c r="H390" s="115"/>
      <c r="I390" s="115"/>
      <c r="J390" s="115"/>
      <c r="K390" s="112"/>
      <c r="L390" s="112"/>
      <c r="M390" s="112"/>
      <c r="N390" s="112"/>
      <c r="O390" s="112"/>
      <c r="P390" s="112"/>
      <c r="Q390" s="112"/>
      <c r="R390" s="112"/>
      <c r="S390" s="112"/>
      <c r="T390" s="112"/>
      <c r="U390" s="112"/>
      <c r="V390" s="112"/>
      <c r="W390" s="112"/>
      <c r="X390" s="112"/>
      <c r="Y390" s="112"/>
      <c r="Z390" s="112"/>
    </row>
    <row r="391" spans="1:26" x14ac:dyDescent="0.2">
      <c r="A391" s="113">
        <f>'THE BOARD'!A158</f>
        <v>0</v>
      </c>
      <c r="B391" s="115">
        <f>'THE BOARD'!B158</f>
        <v>0</v>
      </c>
      <c r="C391" s="115"/>
      <c r="D391" s="115"/>
      <c r="E391" s="115"/>
      <c r="F391" s="115"/>
      <c r="G391" s="115"/>
      <c r="H391" s="115"/>
      <c r="I391" s="115"/>
      <c r="J391" s="115"/>
      <c r="K391" s="112"/>
      <c r="L391" s="112"/>
      <c r="M391" s="112"/>
      <c r="N391" s="112"/>
      <c r="O391" s="112"/>
      <c r="P391" s="112"/>
      <c r="Q391" s="112"/>
      <c r="R391" s="112"/>
      <c r="S391" s="112"/>
      <c r="T391" s="112"/>
      <c r="U391" s="112"/>
      <c r="V391" s="112"/>
      <c r="W391" s="112"/>
      <c r="X391" s="112"/>
      <c r="Y391" s="112"/>
      <c r="Z391" s="112"/>
    </row>
    <row r="392" spans="1:26" x14ac:dyDescent="0.2">
      <c r="A392" s="113">
        <f>'THE BOARD'!A159</f>
        <v>0</v>
      </c>
      <c r="B392" s="115">
        <f>'THE BOARD'!B159</f>
        <v>0</v>
      </c>
      <c r="C392" s="115"/>
      <c r="D392" s="115"/>
      <c r="E392" s="115"/>
      <c r="F392" s="115"/>
      <c r="G392" s="115"/>
      <c r="H392" s="115"/>
      <c r="I392" s="115"/>
      <c r="J392" s="115"/>
      <c r="K392" s="112"/>
      <c r="L392" s="112"/>
      <c r="M392" s="112"/>
      <c r="N392" s="112"/>
      <c r="O392" s="112"/>
      <c r="P392" s="112"/>
      <c r="Q392" s="112"/>
      <c r="R392" s="112"/>
      <c r="S392" s="112"/>
      <c r="T392" s="112"/>
      <c r="U392" s="112"/>
      <c r="V392" s="112"/>
      <c r="W392" s="112"/>
      <c r="X392" s="112"/>
      <c r="Y392" s="112"/>
      <c r="Z392" s="112"/>
    </row>
    <row r="393" spans="1:26" x14ac:dyDescent="0.2">
      <c r="A393" s="113">
        <f>'THE BOARD'!A160</f>
        <v>0</v>
      </c>
      <c r="B393" s="115">
        <f>'THE BOARD'!B160</f>
        <v>0</v>
      </c>
      <c r="C393" s="115"/>
      <c r="D393" s="115"/>
      <c r="E393" s="115"/>
      <c r="F393" s="115"/>
      <c r="G393" s="115"/>
      <c r="H393" s="115"/>
      <c r="I393" s="115"/>
      <c r="J393" s="115"/>
      <c r="K393" s="112"/>
      <c r="L393" s="112"/>
      <c r="M393" s="112"/>
      <c r="N393" s="112"/>
      <c r="O393" s="112"/>
      <c r="P393" s="112"/>
      <c r="Q393" s="112"/>
      <c r="R393" s="112"/>
      <c r="S393" s="112"/>
      <c r="T393" s="112"/>
      <c r="U393" s="112"/>
      <c r="V393" s="112"/>
      <c r="W393" s="112"/>
      <c r="X393" s="112"/>
      <c r="Y393" s="112"/>
      <c r="Z393" s="112"/>
    </row>
    <row r="394" spans="1:26" x14ac:dyDescent="0.2">
      <c r="A394" s="113">
        <f>'THE BOARD'!A161</f>
        <v>0</v>
      </c>
      <c r="B394" s="115">
        <f>'THE BOARD'!B161</f>
        <v>0</v>
      </c>
      <c r="C394" s="115"/>
      <c r="D394" s="115"/>
      <c r="E394" s="115"/>
      <c r="F394" s="115"/>
      <c r="G394" s="115"/>
      <c r="H394" s="115"/>
      <c r="I394" s="115"/>
      <c r="J394" s="115"/>
      <c r="K394" s="112"/>
      <c r="L394" s="112"/>
      <c r="M394" s="112"/>
      <c r="N394" s="112"/>
      <c r="O394" s="112"/>
      <c r="P394" s="112"/>
      <c r="Q394" s="112"/>
      <c r="R394" s="112"/>
      <c r="S394" s="112"/>
      <c r="T394" s="112"/>
      <c r="U394" s="112"/>
      <c r="V394" s="112"/>
      <c r="W394" s="112"/>
      <c r="X394" s="112"/>
      <c r="Y394" s="112"/>
      <c r="Z394" s="112"/>
    </row>
    <row r="395" spans="1:26" x14ac:dyDescent="0.2">
      <c r="A395" s="113">
        <f>'THE BOARD'!A162</f>
        <v>0</v>
      </c>
      <c r="B395" s="115">
        <f>'THE BOARD'!B162</f>
        <v>0</v>
      </c>
      <c r="C395" s="115"/>
      <c r="D395" s="115"/>
      <c r="E395" s="115"/>
      <c r="F395" s="115"/>
      <c r="G395" s="115"/>
      <c r="H395" s="115"/>
      <c r="I395" s="115"/>
      <c r="J395" s="115"/>
      <c r="K395" s="112"/>
      <c r="L395" s="112"/>
      <c r="M395" s="112"/>
      <c r="N395" s="112"/>
      <c r="O395" s="112"/>
      <c r="P395" s="112"/>
      <c r="Q395" s="112"/>
      <c r="R395" s="112"/>
      <c r="S395" s="112"/>
      <c r="T395" s="112"/>
      <c r="U395" s="112"/>
      <c r="V395" s="112"/>
      <c r="W395" s="112"/>
      <c r="X395" s="112"/>
      <c r="Y395" s="112"/>
      <c r="Z395" s="112"/>
    </row>
    <row r="396" spans="1:26" x14ac:dyDescent="0.2">
      <c r="A396" s="113">
        <f>'THE BOARD'!A163</f>
        <v>0</v>
      </c>
      <c r="B396" s="115">
        <f>'THE BOARD'!B163</f>
        <v>0</v>
      </c>
      <c r="C396" s="115"/>
      <c r="D396" s="115"/>
      <c r="E396" s="115"/>
      <c r="F396" s="115"/>
      <c r="G396" s="115"/>
      <c r="H396" s="115"/>
      <c r="I396" s="115"/>
      <c r="J396" s="115"/>
      <c r="K396" s="112"/>
      <c r="L396" s="112"/>
      <c r="M396" s="112"/>
      <c r="N396" s="112"/>
      <c r="O396" s="112"/>
      <c r="P396" s="112"/>
      <c r="Q396" s="112"/>
      <c r="R396" s="112"/>
      <c r="S396" s="112"/>
      <c r="T396" s="112"/>
      <c r="U396" s="112"/>
      <c r="V396" s="112"/>
      <c r="W396" s="112"/>
      <c r="X396" s="112"/>
      <c r="Y396" s="112"/>
      <c r="Z396" s="112"/>
    </row>
    <row r="397" spans="1:26" x14ac:dyDescent="0.2">
      <c r="A397" s="113">
        <f>'THE BOARD'!A164</f>
        <v>0</v>
      </c>
      <c r="B397" s="115">
        <f>'THE BOARD'!B164</f>
        <v>0</v>
      </c>
      <c r="C397" s="115"/>
      <c r="D397" s="115"/>
      <c r="E397" s="115"/>
      <c r="F397" s="115"/>
      <c r="G397" s="115"/>
      <c r="H397" s="115"/>
      <c r="I397" s="115"/>
      <c r="J397" s="115"/>
      <c r="K397" s="112"/>
      <c r="L397" s="112"/>
      <c r="M397" s="112"/>
      <c r="N397" s="112"/>
      <c r="O397" s="112"/>
      <c r="P397" s="112"/>
      <c r="Q397" s="112"/>
      <c r="R397" s="112"/>
      <c r="S397" s="112"/>
      <c r="T397" s="112"/>
      <c r="U397" s="112"/>
      <c r="V397" s="112"/>
      <c r="W397" s="112"/>
      <c r="X397" s="112"/>
      <c r="Y397" s="112"/>
      <c r="Z397" s="112"/>
    </row>
    <row r="398" spans="1:26" x14ac:dyDescent="0.2">
      <c r="A398" s="113">
        <f>'THE BOARD'!A165</f>
        <v>0</v>
      </c>
      <c r="B398" s="115">
        <f>'THE BOARD'!B165</f>
        <v>0</v>
      </c>
      <c r="C398" s="115"/>
      <c r="D398" s="115"/>
      <c r="E398" s="115"/>
      <c r="F398" s="115"/>
      <c r="G398" s="115"/>
      <c r="H398" s="115"/>
      <c r="I398" s="115"/>
      <c r="J398" s="115"/>
      <c r="K398" s="112"/>
      <c r="L398" s="112"/>
      <c r="M398" s="112"/>
      <c r="N398" s="112"/>
      <c r="O398" s="112"/>
      <c r="P398" s="112"/>
      <c r="Q398" s="112"/>
      <c r="R398" s="112"/>
      <c r="S398" s="112"/>
      <c r="T398" s="112"/>
      <c r="U398" s="112"/>
      <c r="V398" s="112"/>
      <c r="W398" s="112"/>
      <c r="X398" s="112"/>
      <c r="Y398" s="112"/>
      <c r="Z398" s="112"/>
    </row>
    <row r="399" spans="1:26" x14ac:dyDescent="0.2">
      <c r="A399" s="113">
        <f>'THE BOARD'!A166</f>
        <v>0</v>
      </c>
      <c r="B399" s="115">
        <f>'THE BOARD'!B166</f>
        <v>0</v>
      </c>
      <c r="C399" s="115"/>
      <c r="D399" s="115"/>
      <c r="E399" s="115"/>
      <c r="F399" s="115"/>
      <c r="G399" s="115"/>
      <c r="H399" s="115"/>
      <c r="I399" s="115"/>
      <c r="J399" s="115"/>
      <c r="K399" s="112"/>
      <c r="L399" s="112"/>
      <c r="M399" s="112"/>
      <c r="N399" s="112"/>
      <c r="O399" s="112"/>
      <c r="P399" s="112"/>
      <c r="Q399" s="112"/>
      <c r="R399" s="112"/>
      <c r="S399" s="112"/>
      <c r="T399" s="112"/>
      <c r="U399" s="112"/>
      <c r="V399" s="112"/>
      <c r="W399" s="112"/>
      <c r="X399" s="112"/>
      <c r="Y399" s="112"/>
      <c r="Z399" s="112"/>
    </row>
    <row r="400" spans="1:26" x14ac:dyDescent="0.2">
      <c r="A400" s="113">
        <f>'THE BOARD'!A167</f>
        <v>0</v>
      </c>
      <c r="B400" s="115">
        <f>'THE BOARD'!B167</f>
        <v>0</v>
      </c>
      <c r="C400" s="115"/>
      <c r="D400" s="115"/>
      <c r="E400" s="115"/>
      <c r="F400" s="115"/>
      <c r="G400" s="115"/>
      <c r="H400" s="115"/>
      <c r="I400" s="115"/>
      <c r="J400" s="115"/>
      <c r="K400" s="112"/>
      <c r="L400" s="112"/>
      <c r="M400" s="112"/>
      <c r="N400" s="112"/>
      <c r="O400" s="112"/>
      <c r="P400" s="112"/>
      <c r="Q400" s="112"/>
      <c r="R400" s="112"/>
      <c r="S400" s="112"/>
      <c r="T400" s="112"/>
      <c r="U400" s="112"/>
      <c r="V400" s="112"/>
      <c r="W400" s="112"/>
      <c r="X400" s="112"/>
      <c r="Y400" s="112"/>
      <c r="Z400" s="112"/>
    </row>
    <row r="401" spans="1:26" x14ac:dyDescent="0.2">
      <c r="A401" s="113">
        <f>'THE BOARD'!A168</f>
        <v>0</v>
      </c>
      <c r="B401" s="115">
        <f>'THE BOARD'!B168</f>
        <v>0</v>
      </c>
      <c r="C401" s="115"/>
      <c r="D401" s="115"/>
      <c r="E401" s="115"/>
      <c r="F401" s="115"/>
      <c r="G401" s="115"/>
      <c r="H401" s="115"/>
      <c r="I401" s="115"/>
      <c r="J401" s="115"/>
      <c r="K401" s="112"/>
      <c r="L401" s="112"/>
      <c r="M401" s="112"/>
      <c r="N401" s="112"/>
      <c r="O401" s="112"/>
      <c r="P401" s="112"/>
      <c r="Q401" s="112"/>
      <c r="R401" s="112"/>
      <c r="S401" s="112"/>
      <c r="T401" s="112"/>
      <c r="U401" s="112"/>
      <c r="V401" s="112"/>
      <c r="W401" s="112"/>
      <c r="X401" s="112"/>
      <c r="Y401" s="112"/>
      <c r="Z401" s="112"/>
    </row>
    <row r="402" spans="1:26" x14ac:dyDescent="0.2">
      <c r="A402" s="113">
        <f>'THE BOARD'!A169</f>
        <v>0</v>
      </c>
      <c r="B402" s="115">
        <f>'THE BOARD'!B169</f>
        <v>0</v>
      </c>
      <c r="C402" s="115"/>
      <c r="D402" s="115"/>
      <c r="E402" s="115"/>
      <c r="F402" s="115"/>
      <c r="G402" s="115"/>
      <c r="H402" s="115"/>
      <c r="I402" s="115"/>
      <c r="J402" s="115"/>
      <c r="K402" s="112"/>
      <c r="L402" s="112"/>
      <c r="M402" s="112"/>
      <c r="N402" s="112"/>
      <c r="O402" s="112"/>
      <c r="P402" s="112"/>
      <c r="Q402" s="112"/>
      <c r="R402" s="112"/>
      <c r="S402" s="112"/>
      <c r="T402" s="112"/>
      <c r="U402" s="112"/>
      <c r="V402" s="112"/>
      <c r="W402" s="112"/>
      <c r="X402" s="112"/>
      <c r="Y402" s="112"/>
      <c r="Z402" s="112"/>
    </row>
    <row r="403" spans="1:26" x14ac:dyDescent="0.2">
      <c r="A403" s="113">
        <f>'THE BOARD'!A170</f>
        <v>0</v>
      </c>
      <c r="B403" s="115">
        <f>'THE BOARD'!B170</f>
        <v>0</v>
      </c>
      <c r="C403" s="115"/>
      <c r="D403" s="115"/>
      <c r="E403" s="115"/>
      <c r="F403" s="115"/>
      <c r="G403" s="115"/>
      <c r="H403" s="115"/>
      <c r="I403" s="115"/>
      <c r="J403" s="115"/>
      <c r="K403" s="112"/>
      <c r="L403" s="112"/>
      <c r="M403" s="112"/>
      <c r="N403" s="112"/>
      <c r="O403" s="112"/>
      <c r="P403" s="112"/>
      <c r="Q403" s="112"/>
      <c r="R403" s="112"/>
      <c r="S403" s="112"/>
      <c r="T403" s="112"/>
      <c r="U403" s="112"/>
      <c r="V403" s="112"/>
      <c r="W403" s="112"/>
      <c r="X403" s="112"/>
      <c r="Y403" s="112"/>
      <c r="Z403" s="112"/>
    </row>
    <row r="404" spans="1:26" x14ac:dyDescent="0.2">
      <c r="A404" s="113">
        <f>'THE BOARD'!A171</f>
        <v>0</v>
      </c>
      <c r="B404" s="115">
        <f>'THE BOARD'!B171</f>
        <v>0</v>
      </c>
      <c r="C404" s="115"/>
      <c r="D404" s="115"/>
      <c r="E404" s="115"/>
      <c r="F404" s="115"/>
      <c r="G404" s="115"/>
      <c r="H404" s="115"/>
      <c r="I404" s="115"/>
      <c r="J404" s="115"/>
      <c r="K404" s="112"/>
      <c r="L404" s="112"/>
      <c r="M404" s="112"/>
      <c r="N404" s="112"/>
      <c r="O404" s="112"/>
      <c r="P404" s="112"/>
      <c r="Q404" s="112"/>
      <c r="R404" s="112"/>
      <c r="S404" s="112"/>
      <c r="T404" s="112"/>
      <c r="U404" s="112"/>
      <c r="V404" s="112"/>
      <c r="W404" s="112"/>
      <c r="X404" s="112"/>
      <c r="Y404" s="112"/>
      <c r="Z404" s="112"/>
    </row>
    <row r="405" spans="1:26" x14ac:dyDescent="0.2">
      <c r="A405" s="113">
        <f>'THE BOARD'!A172</f>
        <v>0</v>
      </c>
      <c r="B405" s="115">
        <f>'THE BOARD'!B172</f>
        <v>0</v>
      </c>
      <c r="C405" s="115"/>
      <c r="D405" s="115"/>
      <c r="E405" s="115"/>
      <c r="F405" s="115"/>
      <c r="G405" s="115"/>
      <c r="H405" s="115"/>
      <c r="I405" s="115"/>
      <c r="J405" s="115"/>
      <c r="K405" s="112"/>
      <c r="L405" s="112"/>
      <c r="M405" s="112"/>
      <c r="N405" s="112"/>
      <c r="O405" s="112"/>
      <c r="P405" s="112"/>
      <c r="Q405" s="112"/>
      <c r="R405" s="112"/>
      <c r="S405" s="112"/>
      <c r="T405" s="112"/>
      <c r="U405" s="112"/>
      <c r="V405" s="112"/>
      <c r="W405" s="112"/>
      <c r="X405" s="112"/>
      <c r="Y405" s="112"/>
      <c r="Z405" s="112"/>
    </row>
    <row r="406" spans="1:26" x14ac:dyDescent="0.2">
      <c r="A406" s="113">
        <f>'THE BOARD'!A173</f>
        <v>0</v>
      </c>
      <c r="B406" s="115">
        <f>'THE BOARD'!B173</f>
        <v>0</v>
      </c>
      <c r="C406" s="115"/>
      <c r="D406" s="115"/>
      <c r="E406" s="115"/>
      <c r="F406" s="115"/>
      <c r="G406" s="115"/>
      <c r="H406" s="115"/>
      <c r="I406" s="115"/>
      <c r="J406" s="115"/>
      <c r="K406" s="112"/>
      <c r="L406" s="112"/>
      <c r="M406" s="112"/>
      <c r="N406" s="112"/>
      <c r="O406" s="112"/>
      <c r="P406" s="112"/>
      <c r="Q406" s="112"/>
      <c r="R406" s="112"/>
      <c r="S406" s="112"/>
      <c r="T406" s="112"/>
      <c r="U406" s="112"/>
      <c r="V406" s="112"/>
      <c r="W406" s="112"/>
      <c r="X406" s="112"/>
      <c r="Y406" s="112"/>
      <c r="Z406" s="112"/>
    </row>
    <row r="407" spans="1:26" x14ac:dyDescent="0.2">
      <c r="A407" s="113">
        <f>'THE BOARD'!A174</f>
        <v>0</v>
      </c>
      <c r="B407" s="115">
        <f>'THE BOARD'!B174</f>
        <v>0</v>
      </c>
      <c r="C407" s="115"/>
      <c r="D407" s="115"/>
      <c r="E407" s="115"/>
      <c r="F407" s="115"/>
      <c r="G407" s="115"/>
      <c r="H407" s="115"/>
      <c r="I407" s="115"/>
      <c r="J407" s="115"/>
      <c r="K407" s="112"/>
      <c r="L407" s="112"/>
      <c r="M407" s="112"/>
      <c r="N407" s="112"/>
      <c r="O407" s="112"/>
      <c r="P407" s="112"/>
      <c r="Q407" s="112"/>
      <c r="R407" s="112"/>
      <c r="S407" s="112"/>
      <c r="T407" s="112"/>
      <c r="U407" s="112"/>
      <c r="V407" s="112"/>
      <c r="W407" s="112"/>
      <c r="X407" s="112"/>
      <c r="Y407" s="112"/>
      <c r="Z407" s="112"/>
    </row>
    <row r="408" spans="1:26" x14ac:dyDescent="0.2">
      <c r="A408" s="113">
        <f>'THE BOARD'!A175</f>
        <v>0</v>
      </c>
      <c r="B408" s="115">
        <f>'THE BOARD'!B175</f>
        <v>0</v>
      </c>
      <c r="C408" s="115"/>
      <c r="D408" s="115"/>
      <c r="E408" s="115"/>
      <c r="F408" s="115"/>
      <c r="G408" s="115"/>
      <c r="H408" s="115"/>
      <c r="I408" s="115"/>
      <c r="J408" s="115"/>
      <c r="K408" s="112"/>
      <c r="L408" s="112"/>
      <c r="M408" s="112"/>
      <c r="N408" s="112"/>
      <c r="O408" s="112"/>
      <c r="P408" s="112"/>
      <c r="Q408" s="112"/>
      <c r="R408" s="112"/>
      <c r="S408" s="112"/>
      <c r="T408" s="112"/>
      <c r="U408" s="112"/>
      <c r="V408" s="112"/>
      <c r="W408" s="112"/>
      <c r="X408" s="112"/>
      <c r="Y408" s="112"/>
      <c r="Z408" s="112"/>
    </row>
    <row r="409" spans="1:26" x14ac:dyDescent="0.2">
      <c r="A409" s="113">
        <f>'THE BOARD'!A176</f>
        <v>0</v>
      </c>
      <c r="B409" s="115">
        <f>'THE BOARD'!B176</f>
        <v>0</v>
      </c>
      <c r="C409" s="115"/>
      <c r="D409" s="115"/>
      <c r="E409" s="115"/>
      <c r="F409" s="115"/>
      <c r="G409" s="115"/>
      <c r="H409" s="115"/>
      <c r="I409" s="115"/>
      <c r="J409" s="115"/>
      <c r="K409" s="112"/>
      <c r="L409" s="112"/>
      <c r="M409" s="112"/>
      <c r="N409" s="112"/>
      <c r="O409" s="112"/>
      <c r="P409" s="112"/>
      <c r="Q409" s="112"/>
      <c r="R409" s="112"/>
      <c r="S409" s="112"/>
      <c r="T409" s="112"/>
      <c r="U409" s="112"/>
      <c r="V409" s="112"/>
      <c r="W409" s="112"/>
      <c r="X409" s="112"/>
      <c r="Y409" s="112"/>
      <c r="Z409" s="112"/>
    </row>
    <row r="410" spans="1:26" x14ac:dyDescent="0.2">
      <c r="A410" s="113">
        <f>'THE BOARD'!A177</f>
        <v>0</v>
      </c>
      <c r="B410" s="115">
        <f>'THE BOARD'!B177</f>
        <v>0</v>
      </c>
      <c r="C410" s="115"/>
      <c r="D410" s="115"/>
      <c r="E410" s="115"/>
      <c r="F410" s="115"/>
      <c r="G410" s="115"/>
      <c r="H410" s="115"/>
      <c r="I410" s="115"/>
      <c r="J410" s="115"/>
      <c r="K410" s="112"/>
      <c r="L410" s="112"/>
      <c r="M410" s="112"/>
      <c r="N410" s="112"/>
      <c r="O410" s="112"/>
      <c r="P410" s="112"/>
      <c r="Q410" s="112"/>
      <c r="R410" s="112"/>
      <c r="S410" s="112"/>
      <c r="T410" s="112"/>
      <c r="U410" s="112"/>
      <c r="V410" s="112"/>
      <c r="W410" s="112"/>
      <c r="X410" s="112"/>
      <c r="Y410" s="112"/>
      <c r="Z410" s="112"/>
    </row>
    <row r="411" spans="1:26" x14ac:dyDescent="0.2">
      <c r="A411" s="113">
        <f>'THE BOARD'!A178</f>
        <v>0</v>
      </c>
      <c r="B411" s="115">
        <f>'THE BOARD'!B178</f>
        <v>0</v>
      </c>
      <c r="C411" s="115"/>
      <c r="D411" s="115"/>
      <c r="E411" s="115"/>
      <c r="F411" s="115"/>
      <c r="G411" s="115"/>
      <c r="H411" s="115"/>
      <c r="I411" s="115"/>
      <c r="J411" s="115"/>
      <c r="K411" s="112"/>
      <c r="L411" s="112"/>
      <c r="M411" s="112"/>
      <c r="N411" s="112"/>
      <c r="O411" s="112"/>
      <c r="P411" s="112"/>
      <c r="Q411" s="112"/>
      <c r="R411" s="112"/>
      <c r="S411" s="112"/>
      <c r="T411" s="112"/>
      <c r="U411" s="112"/>
      <c r="V411" s="112"/>
      <c r="W411" s="112"/>
      <c r="X411" s="112"/>
      <c r="Y411" s="112"/>
      <c r="Z411" s="112"/>
    </row>
    <row r="412" spans="1:26" x14ac:dyDescent="0.2">
      <c r="A412" s="113">
        <f>'THE BOARD'!A179</f>
        <v>0</v>
      </c>
      <c r="B412" s="115">
        <f>'THE BOARD'!B179</f>
        <v>0</v>
      </c>
      <c r="C412" s="115"/>
      <c r="D412" s="115"/>
      <c r="E412" s="115"/>
      <c r="F412" s="115"/>
      <c r="G412" s="115"/>
      <c r="H412" s="115"/>
      <c r="I412" s="115"/>
      <c r="J412" s="115"/>
      <c r="K412" s="112"/>
      <c r="L412" s="112"/>
      <c r="M412" s="112"/>
      <c r="N412" s="112"/>
      <c r="O412" s="112"/>
      <c r="P412" s="112"/>
      <c r="Q412" s="112"/>
      <c r="R412" s="112"/>
      <c r="S412" s="112"/>
      <c r="T412" s="112"/>
      <c r="U412" s="112"/>
      <c r="V412" s="112"/>
      <c r="W412" s="112"/>
      <c r="X412" s="112"/>
      <c r="Y412" s="112"/>
      <c r="Z412" s="112"/>
    </row>
    <row r="413" spans="1:26" x14ac:dyDescent="0.2">
      <c r="A413" s="113">
        <f>'THE BOARD'!A180</f>
        <v>0</v>
      </c>
      <c r="B413" s="115">
        <f>'THE BOARD'!B180</f>
        <v>0</v>
      </c>
      <c r="C413" s="115"/>
      <c r="D413" s="115"/>
      <c r="E413" s="115"/>
      <c r="F413" s="115"/>
      <c r="G413" s="115"/>
      <c r="H413" s="115"/>
      <c r="I413" s="115"/>
      <c r="J413" s="115"/>
      <c r="K413" s="112"/>
      <c r="L413" s="112"/>
      <c r="M413" s="112"/>
      <c r="N413" s="112"/>
      <c r="O413" s="112"/>
      <c r="P413" s="112"/>
      <c r="Q413" s="112"/>
      <c r="R413" s="112"/>
      <c r="S413" s="112"/>
      <c r="T413" s="112"/>
      <c r="U413" s="112"/>
      <c r="V413" s="112"/>
      <c r="W413" s="112"/>
      <c r="X413" s="112"/>
      <c r="Y413" s="112"/>
      <c r="Z413" s="112"/>
    </row>
    <row r="414" spans="1:26" x14ac:dyDescent="0.2">
      <c r="A414" s="113">
        <f>'THE BOARD'!A181</f>
        <v>0</v>
      </c>
      <c r="B414" s="115">
        <f>'THE BOARD'!B181</f>
        <v>0</v>
      </c>
      <c r="C414" s="115"/>
      <c r="D414" s="115"/>
      <c r="E414" s="115"/>
      <c r="F414" s="115"/>
      <c r="G414" s="115"/>
      <c r="H414" s="115"/>
      <c r="I414" s="115"/>
      <c r="J414" s="115"/>
      <c r="K414" s="112"/>
      <c r="L414" s="112"/>
      <c r="M414" s="112"/>
      <c r="N414" s="112"/>
      <c r="O414" s="112"/>
      <c r="P414" s="112"/>
      <c r="Q414" s="112"/>
      <c r="R414" s="112"/>
      <c r="S414" s="112"/>
      <c r="T414" s="112"/>
      <c r="U414" s="112"/>
      <c r="V414" s="112"/>
      <c r="W414" s="112"/>
      <c r="X414" s="112"/>
      <c r="Y414" s="112"/>
      <c r="Z414" s="112"/>
    </row>
    <row r="415" spans="1:26" x14ac:dyDescent="0.2">
      <c r="A415" s="113">
        <f>'THE BOARD'!A182</f>
        <v>0</v>
      </c>
      <c r="B415" s="115">
        <f>'THE BOARD'!B182</f>
        <v>0</v>
      </c>
      <c r="C415" s="115"/>
      <c r="D415" s="115"/>
      <c r="E415" s="115"/>
      <c r="F415" s="115"/>
      <c r="G415" s="115"/>
      <c r="H415" s="115"/>
      <c r="I415" s="115"/>
      <c r="J415" s="115"/>
      <c r="K415" s="112"/>
      <c r="L415" s="112"/>
      <c r="M415" s="112"/>
      <c r="N415" s="112"/>
      <c r="O415" s="112"/>
      <c r="P415" s="112"/>
      <c r="Q415" s="112"/>
      <c r="R415" s="112"/>
      <c r="S415" s="112"/>
      <c r="T415" s="112"/>
      <c r="U415" s="112"/>
      <c r="V415" s="112"/>
      <c r="W415" s="112"/>
      <c r="X415" s="112"/>
      <c r="Y415" s="112"/>
      <c r="Z415" s="112"/>
    </row>
    <row r="416" spans="1:26" x14ac:dyDescent="0.2">
      <c r="A416" s="113">
        <f>'THE BOARD'!A183</f>
        <v>0</v>
      </c>
      <c r="B416" s="115">
        <f>'THE BOARD'!B183</f>
        <v>0</v>
      </c>
      <c r="C416" s="115"/>
      <c r="D416" s="115"/>
      <c r="E416" s="115"/>
      <c r="F416" s="115"/>
      <c r="G416" s="115"/>
      <c r="H416" s="115"/>
      <c r="I416" s="115"/>
      <c r="J416" s="115"/>
      <c r="K416" s="112"/>
      <c r="L416" s="112"/>
      <c r="M416" s="112"/>
      <c r="N416" s="112"/>
      <c r="O416" s="112"/>
      <c r="P416" s="112"/>
      <c r="Q416" s="112"/>
      <c r="R416" s="112"/>
      <c r="S416" s="112"/>
      <c r="T416" s="112"/>
      <c r="U416" s="112"/>
      <c r="V416" s="112"/>
      <c r="W416" s="112"/>
      <c r="X416" s="112"/>
      <c r="Y416" s="112"/>
      <c r="Z416" s="112"/>
    </row>
    <row r="417" spans="1:26" x14ac:dyDescent="0.2">
      <c r="A417" s="113">
        <f>'THE BOARD'!A184</f>
        <v>0</v>
      </c>
      <c r="B417" s="115">
        <f>'THE BOARD'!B184</f>
        <v>0</v>
      </c>
      <c r="C417" s="115"/>
      <c r="D417" s="115"/>
      <c r="E417" s="115"/>
      <c r="F417" s="115"/>
      <c r="G417" s="115"/>
      <c r="H417" s="115"/>
      <c r="I417" s="115"/>
      <c r="J417" s="115"/>
      <c r="K417" s="112"/>
      <c r="L417" s="112"/>
      <c r="M417" s="112"/>
      <c r="N417" s="112"/>
      <c r="O417" s="112"/>
      <c r="P417" s="112"/>
      <c r="Q417" s="112"/>
      <c r="R417" s="112"/>
      <c r="S417" s="112"/>
      <c r="T417" s="112"/>
      <c r="U417" s="112"/>
      <c r="V417" s="112"/>
      <c r="W417" s="112"/>
      <c r="X417" s="112"/>
      <c r="Y417" s="112"/>
      <c r="Z417" s="112"/>
    </row>
    <row r="418" spans="1:26" x14ac:dyDescent="0.2">
      <c r="A418" s="113">
        <f>'THE BOARD'!A185</f>
        <v>0</v>
      </c>
      <c r="B418" s="115">
        <f>'THE BOARD'!B185</f>
        <v>0</v>
      </c>
      <c r="C418" s="115"/>
      <c r="D418" s="115"/>
      <c r="E418" s="115"/>
      <c r="F418" s="115"/>
      <c r="G418" s="115"/>
      <c r="H418" s="115"/>
      <c r="I418" s="115"/>
      <c r="J418" s="115"/>
      <c r="K418" s="112"/>
      <c r="L418" s="112"/>
      <c r="M418" s="112"/>
      <c r="N418" s="112"/>
      <c r="O418" s="112"/>
      <c r="P418" s="112"/>
      <c r="Q418" s="112"/>
      <c r="R418" s="112"/>
      <c r="S418" s="112"/>
      <c r="T418" s="112"/>
      <c r="U418" s="112"/>
      <c r="V418" s="112"/>
      <c r="W418" s="112"/>
      <c r="X418" s="112"/>
      <c r="Y418" s="112"/>
      <c r="Z418" s="112"/>
    </row>
    <row r="419" spans="1:26" x14ac:dyDescent="0.2">
      <c r="A419" s="113">
        <f>'THE BOARD'!A186</f>
        <v>0</v>
      </c>
      <c r="B419" s="115">
        <f>'THE BOARD'!B186</f>
        <v>0</v>
      </c>
      <c r="C419" s="115"/>
      <c r="D419" s="115"/>
      <c r="E419" s="115"/>
      <c r="F419" s="115"/>
      <c r="G419" s="115"/>
      <c r="H419" s="115"/>
      <c r="I419" s="115"/>
      <c r="J419" s="115"/>
      <c r="K419" s="112"/>
      <c r="L419" s="112"/>
      <c r="M419" s="112"/>
      <c r="N419" s="112"/>
      <c r="O419" s="112"/>
      <c r="P419" s="112"/>
      <c r="Q419" s="112"/>
      <c r="R419" s="112"/>
      <c r="S419" s="112"/>
      <c r="T419" s="112"/>
      <c r="U419" s="112"/>
      <c r="V419" s="112"/>
      <c r="W419" s="112"/>
      <c r="X419" s="112"/>
      <c r="Y419" s="112"/>
      <c r="Z419" s="112"/>
    </row>
    <row r="420" spans="1:26" x14ac:dyDescent="0.2">
      <c r="A420" s="113">
        <f>'THE BOARD'!A187</f>
        <v>0</v>
      </c>
      <c r="B420" s="115">
        <f>'THE BOARD'!B187</f>
        <v>0</v>
      </c>
      <c r="C420" s="115"/>
      <c r="D420" s="115"/>
      <c r="E420" s="115"/>
      <c r="F420" s="115"/>
      <c r="G420" s="115"/>
      <c r="H420" s="115"/>
      <c r="I420" s="115"/>
      <c r="J420" s="115"/>
      <c r="K420" s="112"/>
      <c r="L420" s="112"/>
      <c r="M420" s="112"/>
      <c r="N420" s="112"/>
      <c r="O420" s="112"/>
      <c r="P420" s="112"/>
      <c r="Q420" s="112"/>
      <c r="R420" s="112"/>
      <c r="S420" s="112"/>
      <c r="T420" s="112"/>
      <c r="U420" s="112"/>
      <c r="V420" s="112"/>
      <c r="W420" s="112"/>
      <c r="X420" s="112"/>
      <c r="Y420" s="112"/>
      <c r="Z420" s="112"/>
    </row>
    <row r="421" spans="1:26" x14ac:dyDescent="0.2">
      <c r="A421" s="113">
        <f>'THE BOARD'!A188</f>
        <v>0</v>
      </c>
      <c r="B421" s="115">
        <f>'THE BOARD'!B188</f>
        <v>0</v>
      </c>
      <c r="C421" s="115"/>
      <c r="D421" s="115"/>
      <c r="E421" s="115"/>
      <c r="F421" s="115"/>
      <c r="G421" s="115"/>
      <c r="H421" s="115"/>
      <c r="I421" s="115"/>
      <c r="J421" s="115"/>
      <c r="K421" s="112"/>
      <c r="L421" s="112"/>
      <c r="M421" s="112"/>
      <c r="N421" s="112"/>
      <c r="O421" s="112"/>
      <c r="P421" s="112"/>
      <c r="Q421" s="112"/>
      <c r="R421" s="112"/>
      <c r="S421" s="112"/>
      <c r="T421" s="112"/>
      <c r="U421" s="112"/>
      <c r="V421" s="112"/>
      <c r="W421" s="112"/>
      <c r="X421" s="112"/>
      <c r="Y421" s="112"/>
      <c r="Z421" s="112"/>
    </row>
    <row r="422" spans="1:26" x14ac:dyDescent="0.2">
      <c r="A422" s="113">
        <f>'THE BOARD'!A189</f>
        <v>0</v>
      </c>
      <c r="B422" s="115">
        <f>'THE BOARD'!B189</f>
        <v>0</v>
      </c>
      <c r="C422" s="115"/>
      <c r="D422" s="115"/>
      <c r="E422" s="115"/>
      <c r="F422" s="115"/>
      <c r="G422" s="115"/>
      <c r="H422" s="115"/>
      <c r="I422" s="115"/>
      <c r="J422" s="115"/>
      <c r="K422" s="112"/>
      <c r="L422" s="112"/>
      <c r="M422" s="112"/>
      <c r="N422" s="112"/>
      <c r="O422" s="112"/>
      <c r="P422" s="112"/>
      <c r="Q422" s="112"/>
      <c r="R422" s="112"/>
      <c r="S422" s="112"/>
      <c r="T422" s="112"/>
      <c r="U422" s="112"/>
      <c r="V422" s="112"/>
      <c r="W422" s="112"/>
      <c r="X422" s="112"/>
      <c r="Y422" s="112"/>
      <c r="Z422" s="112"/>
    </row>
    <row r="423" spans="1:26" x14ac:dyDescent="0.2">
      <c r="A423" s="113">
        <f>'THE BOARD'!A190</f>
        <v>0</v>
      </c>
      <c r="B423" s="115">
        <f>'THE BOARD'!B190</f>
        <v>0</v>
      </c>
      <c r="C423" s="115"/>
      <c r="D423" s="115"/>
      <c r="E423" s="115"/>
      <c r="F423" s="115"/>
      <c r="G423" s="115"/>
      <c r="H423" s="115"/>
      <c r="I423" s="115"/>
      <c r="J423" s="115"/>
      <c r="K423" s="112"/>
      <c r="L423" s="112"/>
      <c r="M423" s="112"/>
      <c r="N423" s="112"/>
      <c r="O423" s="112"/>
      <c r="P423" s="112"/>
      <c r="Q423" s="112"/>
      <c r="R423" s="112"/>
      <c r="S423" s="112"/>
      <c r="T423" s="112"/>
      <c r="U423" s="112"/>
      <c r="V423" s="112"/>
      <c r="W423" s="112"/>
      <c r="X423" s="112"/>
      <c r="Y423" s="112"/>
      <c r="Z423" s="112"/>
    </row>
    <row r="424" spans="1:26" x14ac:dyDescent="0.2">
      <c r="A424" s="113">
        <f>'THE BOARD'!A191</f>
        <v>0</v>
      </c>
      <c r="B424" s="115">
        <f>'THE BOARD'!B191</f>
        <v>0</v>
      </c>
      <c r="C424" s="115"/>
      <c r="D424" s="115"/>
      <c r="E424" s="115"/>
      <c r="F424" s="115"/>
      <c r="G424" s="115"/>
      <c r="H424" s="115"/>
      <c r="I424" s="115"/>
      <c r="J424" s="115"/>
      <c r="K424" s="112"/>
      <c r="L424" s="112"/>
      <c r="M424" s="112"/>
      <c r="N424" s="112"/>
      <c r="O424" s="112"/>
      <c r="P424" s="112"/>
      <c r="Q424" s="112"/>
      <c r="R424" s="112"/>
      <c r="S424" s="112"/>
      <c r="T424" s="112"/>
      <c r="U424" s="112"/>
      <c r="V424" s="112"/>
      <c r="W424" s="112"/>
      <c r="X424" s="112"/>
      <c r="Y424" s="112"/>
      <c r="Z424" s="112"/>
    </row>
    <row r="425" spans="1:26" x14ac:dyDescent="0.2">
      <c r="A425" s="113">
        <f>'THE BOARD'!A192</f>
        <v>0</v>
      </c>
      <c r="B425" s="115">
        <f>'THE BOARD'!B192</f>
        <v>0</v>
      </c>
      <c r="C425" s="115"/>
      <c r="D425" s="115"/>
      <c r="E425" s="115"/>
      <c r="F425" s="115"/>
      <c r="G425" s="115"/>
      <c r="H425" s="115"/>
      <c r="I425" s="115"/>
      <c r="J425" s="115"/>
      <c r="K425" s="112"/>
      <c r="L425" s="112"/>
      <c r="M425" s="112"/>
      <c r="N425" s="112"/>
      <c r="O425" s="112"/>
      <c r="P425" s="112"/>
      <c r="Q425" s="112"/>
      <c r="R425" s="112"/>
      <c r="S425" s="112"/>
      <c r="T425" s="112"/>
      <c r="U425" s="112"/>
      <c r="V425" s="112"/>
      <c r="W425" s="112"/>
      <c r="X425" s="112"/>
      <c r="Y425" s="112"/>
      <c r="Z425" s="112"/>
    </row>
    <row r="426" spans="1:26" x14ac:dyDescent="0.2">
      <c r="A426" s="113">
        <f>'THE BOARD'!A193</f>
        <v>0</v>
      </c>
      <c r="B426" s="115">
        <f>'THE BOARD'!B193</f>
        <v>0</v>
      </c>
      <c r="C426" s="115"/>
      <c r="D426" s="115"/>
      <c r="E426" s="115"/>
      <c r="F426" s="115"/>
      <c r="G426" s="115"/>
      <c r="H426" s="115"/>
      <c r="I426" s="115"/>
      <c r="J426" s="115"/>
      <c r="K426" s="112"/>
      <c r="L426" s="112"/>
      <c r="M426" s="112"/>
      <c r="N426" s="112"/>
      <c r="O426" s="112"/>
      <c r="P426" s="112"/>
      <c r="Q426" s="112"/>
      <c r="R426" s="112"/>
      <c r="S426" s="112"/>
      <c r="T426" s="112"/>
      <c r="U426" s="112"/>
      <c r="V426" s="112"/>
      <c r="W426" s="112"/>
      <c r="X426" s="112"/>
      <c r="Y426" s="112"/>
      <c r="Z426" s="112"/>
    </row>
    <row r="427" spans="1:26" x14ac:dyDescent="0.2">
      <c r="A427" s="113">
        <f>'THE BOARD'!A194</f>
        <v>0</v>
      </c>
      <c r="B427" s="115">
        <f>'THE BOARD'!B194</f>
        <v>0</v>
      </c>
      <c r="C427" s="115"/>
      <c r="D427" s="115"/>
      <c r="E427" s="115"/>
      <c r="F427" s="115"/>
      <c r="G427" s="115"/>
      <c r="H427" s="115"/>
      <c r="I427" s="115"/>
      <c r="J427" s="115"/>
      <c r="K427" s="112"/>
      <c r="L427" s="112"/>
      <c r="M427" s="112"/>
      <c r="N427" s="112"/>
      <c r="O427" s="112"/>
      <c r="P427" s="112"/>
      <c r="Q427" s="112"/>
      <c r="R427" s="112"/>
      <c r="S427" s="112"/>
      <c r="T427" s="112"/>
      <c r="U427" s="112"/>
      <c r="V427" s="112"/>
      <c r="W427" s="112"/>
      <c r="X427" s="112"/>
      <c r="Y427" s="112"/>
      <c r="Z427" s="112"/>
    </row>
    <row r="428" spans="1:26" x14ac:dyDescent="0.2">
      <c r="A428" s="113">
        <f>'THE BOARD'!A195</f>
        <v>0</v>
      </c>
      <c r="B428" s="115">
        <f>'THE BOARD'!B195</f>
        <v>0</v>
      </c>
      <c r="C428" s="115"/>
      <c r="D428" s="115"/>
      <c r="E428" s="115"/>
      <c r="F428" s="115"/>
      <c r="G428" s="115"/>
      <c r="H428" s="115"/>
      <c r="I428" s="115"/>
      <c r="J428" s="115"/>
      <c r="K428" s="112"/>
      <c r="L428" s="112"/>
      <c r="M428" s="112"/>
      <c r="N428" s="112"/>
      <c r="O428" s="112"/>
      <c r="P428" s="112"/>
      <c r="Q428" s="112"/>
      <c r="R428" s="112"/>
      <c r="S428" s="112"/>
      <c r="T428" s="112"/>
      <c r="U428" s="112"/>
      <c r="V428" s="112"/>
      <c r="W428" s="112"/>
      <c r="X428" s="112"/>
      <c r="Y428" s="112"/>
      <c r="Z428" s="112"/>
    </row>
    <row r="429" spans="1:26" x14ac:dyDescent="0.2">
      <c r="A429" s="113">
        <f>'THE BOARD'!A196</f>
        <v>0</v>
      </c>
      <c r="B429" s="115">
        <f>'THE BOARD'!B196</f>
        <v>0</v>
      </c>
      <c r="C429" s="115"/>
      <c r="D429" s="115"/>
      <c r="E429" s="115"/>
      <c r="F429" s="115"/>
      <c r="G429" s="115"/>
      <c r="H429" s="115"/>
      <c r="I429" s="115"/>
      <c r="J429" s="115"/>
      <c r="K429" s="112"/>
      <c r="L429" s="112"/>
      <c r="M429" s="112"/>
      <c r="N429" s="112"/>
      <c r="O429" s="112"/>
      <c r="P429" s="112"/>
      <c r="Q429" s="112"/>
      <c r="R429" s="112"/>
      <c r="S429" s="112"/>
      <c r="T429" s="112"/>
      <c r="U429" s="112"/>
      <c r="V429" s="112"/>
      <c r="W429" s="112"/>
      <c r="X429" s="112"/>
      <c r="Y429" s="112"/>
      <c r="Z429" s="112"/>
    </row>
    <row r="430" spans="1:26" x14ac:dyDescent="0.2">
      <c r="A430" s="113">
        <f>'THE BOARD'!A197</f>
        <v>0</v>
      </c>
      <c r="B430" s="115">
        <f>'THE BOARD'!B197</f>
        <v>0</v>
      </c>
      <c r="C430" s="115"/>
      <c r="D430" s="115"/>
      <c r="E430" s="115"/>
      <c r="F430" s="115"/>
      <c r="G430" s="115"/>
      <c r="H430" s="115"/>
      <c r="I430" s="115"/>
      <c r="J430" s="115"/>
      <c r="K430" s="112"/>
      <c r="L430" s="112"/>
      <c r="M430" s="112"/>
      <c r="N430" s="112"/>
      <c r="O430" s="112"/>
      <c r="P430" s="112"/>
      <c r="Q430" s="112"/>
      <c r="R430" s="112"/>
      <c r="S430" s="112"/>
      <c r="T430" s="112"/>
      <c r="U430" s="112"/>
      <c r="V430" s="112"/>
      <c r="W430" s="112"/>
      <c r="X430" s="112"/>
      <c r="Y430" s="112"/>
      <c r="Z430" s="112"/>
    </row>
    <row r="431" spans="1:26" x14ac:dyDescent="0.2">
      <c r="A431" s="113">
        <f>'THE BOARD'!A198</f>
        <v>0</v>
      </c>
      <c r="B431" s="115">
        <f>'THE BOARD'!B198</f>
        <v>0</v>
      </c>
      <c r="C431" s="115"/>
      <c r="D431" s="115"/>
      <c r="E431" s="115"/>
      <c r="F431" s="115"/>
      <c r="G431" s="115"/>
      <c r="H431" s="115"/>
      <c r="I431" s="115"/>
      <c r="J431" s="115"/>
      <c r="K431" s="112"/>
      <c r="L431" s="112"/>
      <c r="M431" s="112"/>
      <c r="N431" s="112"/>
      <c r="O431" s="112"/>
      <c r="P431" s="112"/>
      <c r="Q431" s="112"/>
      <c r="R431" s="112"/>
      <c r="S431" s="112"/>
      <c r="T431" s="112"/>
      <c r="U431" s="112"/>
      <c r="V431" s="112"/>
      <c r="W431" s="112"/>
      <c r="X431" s="112"/>
      <c r="Y431" s="112"/>
      <c r="Z431" s="112"/>
    </row>
    <row r="432" spans="1:26" x14ac:dyDescent="0.2">
      <c r="A432" s="113">
        <f>'THE BOARD'!A199</f>
        <v>0</v>
      </c>
      <c r="B432" s="115">
        <f>'THE BOARD'!B199</f>
        <v>0</v>
      </c>
      <c r="C432" s="115"/>
      <c r="D432" s="115"/>
      <c r="E432" s="115"/>
      <c r="F432" s="115"/>
      <c r="G432" s="115"/>
      <c r="H432" s="115"/>
      <c r="I432" s="115"/>
      <c r="J432" s="115"/>
      <c r="K432" s="112"/>
      <c r="L432" s="112"/>
      <c r="M432" s="112"/>
      <c r="N432" s="112"/>
      <c r="O432" s="112"/>
      <c r="P432" s="112"/>
      <c r="Q432" s="112"/>
      <c r="R432" s="112"/>
      <c r="S432" s="112"/>
      <c r="T432" s="112"/>
      <c r="U432" s="112"/>
      <c r="V432" s="112"/>
      <c r="W432" s="112"/>
      <c r="X432" s="112"/>
      <c r="Y432" s="112"/>
      <c r="Z432" s="112"/>
    </row>
    <row r="433" spans="1:26" x14ac:dyDescent="0.2">
      <c r="A433" s="113">
        <f>'THE BOARD'!A200</f>
        <v>0</v>
      </c>
      <c r="B433" s="115">
        <f>'THE BOARD'!B200</f>
        <v>0</v>
      </c>
      <c r="C433" s="115"/>
      <c r="D433" s="115"/>
      <c r="E433" s="115"/>
      <c r="F433" s="115"/>
      <c r="G433" s="115"/>
      <c r="H433" s="115"/>
      <c r="I433" s="115"/>
      <c r="J433" s="115"/>
      <c r="K433" s="112"/>
      <c r="L433" s="112"/>
      <c r="M433" s="112"/>
      <c r="N433" s="112"/>
      <c r="O433" s="112"/>
      <c r="P433" s="112"/>
      <c r="Q433" s="112"/>
      <c r="R433" s="112"/>
      <c r="S433" s="112"/>
      <c r="T433" s="112"/>
      <c r="U433" s="112"/>
      <c r="V433" s="112"/>
      <c r="W433" s="112"/>
      <c r="X433" s="112"/>
      <c r="Y433" s="112"/>
      <c r="Z433" s="112"/>
    </row>
    <row r="434" spans="1:26" x14ac:dyDescent="0.2">
      <c r="A434" s="113">
        <f>'THE BOARD'!A201</f>
        <v>0</v>
      </c>
      <c r="B434" s="115">
        <f>'THE BOARD'!B201</f>
        <v>0</v>
      </c>
      <c r="C434" s="115"/>
      <c r="D434" s="115"/>
      <c r="E434" s="115"/>
      <c r="F434" s="115"/>
      <c r="G434" s="115"/>
      <c r="H434" s="115"/>
      <c r="I434" s="115"/>
      <c r="J434" s="115"/>
      <c r="K434" s="112"/>
      <c r="L434" s="112"/>
      <c r="M434" s="112"/>
      <c r="N434" s="112"/>
      <c r="O434" s="112"/>
      <c r="P434" s="112"/>
      <c r="Q434" s="112"/>
      <c r="R434" s="112"/>
      <c r="S434" s="112"/>
      <c r="T434" s="112"/>
      <c r="U434" s="112"/>
      <c r="V434" s="112"/>
      <c r="W434" s="112"/>
      <c r="X434" s="112"/>
      <c r="Y434" s="112"/>
      <c r="Z434" s="112"/>
    </row>
    <row r="435" spans="1:26" x14ac:dyDescent="0.2">
      <c r="A435" s="113">
        <f>'THE BOARD'!A202</f>
        <v>0</v>
      </c>
      <c r="B435" s="115">
        <f>'THE BOARD'!B202</f>
        <v>0</v>
      </c>
      <c r="C435" s="115"/>
      <c r="D435" s="115"/>
      <c r="E435" s="115"/>
      <c r="F435" s="115"/>
      <c r="G435" s="115"/>
      <c r="H435" s="115"/>
      <c r="I435" s="115"/>
      <c r="J435" s="115"/>
      <c r="K435" s="112"/>
      <c r="L435" s="112"/>
      <c r="M435" s="112"/>
      <c r="N435" s="112"/>
      <c r="O435" s="112"/>
      <c r="P435" s="112"/>
      <c r="Q435" s="112"/>
      <c r="R435" s="112"/>
      <c r="S435" s="112"/>
      <c r="T435" s="112"/>
      <c r="U435" s="112"/>
      <c r="V435" s="112"/>
      <c r="W435" s="112"/>
      <c r="X435" s="112"/>
      <c r="Y435" s="112"/>
      <c r="Z435" s="112"/>
    </row>
    <row r="436" spans="1:26" x14ac:dyDescent="0.2">
      <c r="A436" s="113">
        <f>'THE BOARD'!A203</f>
        <v>0</v>
      </c>
      <c r="B436" s="115">
        <f>'THE BOARD'!B203</f>
        <v>0</v>
      </c>
      <c r="C436" s="115"/>
      <c r="D436" s="115"/>
      <c r="E436" s="115"/>
      <c r="F436" s="115"/>
      <c r="G436" s="115"/>
      <c r="H436" s="115"/>
      <c r="I436" s="115"/>
      <c r="J436" s="115"/>
      <c r="K436" s="112"/>
      <c r="L436" s="112"/>
      <c r="M436" s="112"/>
      <c r="N436" s="112"/>
      <c r="O436" s="112"/>
      <c r="P436" s="112"/>
      <c r="Q436" s="112"/>
      <c r="R436" s="112"/>
      <c r="S436" s="112"/>
      <c r="T436" s="112"/>
      <c r="U436" s="112"/>
      <c r="V436" s="112"/>
      <c r="W436" s="112"/>
      <c r="X436" s="112"/>
      <c r="Y436" s="112"/>
      <c r="Z436" s="112"/>
    </row>
    <row r="437" spans="1:26" x14ac:dyDescent="0.2">
      <c r="A437" s="113">
        <f>'THE BOARD'!A204</f>
        <v>0</v>
      </c>
      <c r="B437" s="115">
        <f>'THE BOARD'!B204</f>
        <v>0</v>
      </c>
      <c r="C437" s="115"/>
      <c r="D437" s="115"/>
      <c r="E437" s="115"/>
      <c r="F437" s="115"/>
      <c r="G437" s="115"/>
      <c r="H437" s="115"/>
      <c r="I437" s="115"/>
      <c r="J437" s="115"/>
      <c r="K437" s="112"/>
      <c r="L437" s="112"/>
      <c r="M437" s="112"/>
      <c r="N437" s="112"/>
      <c r="O437" s="112"/>
      <c r="P437" s="112"/>
      <c r="Q437" s="112"/>
      <c r="R437" s="112"/>
      <c r="S437" s="112"/>
      <c r="T437" s="112"/>
      <c r="U437" s="112"/>
      <c r="V437" s="112"/>
      <c r="W437" s="112"/>
      <c r="X437" s="112"/>
      <c r="Y437" s="112"/>
      <c r="Z437" s="112"/>
    </row>
    <row r="438" spans="1:26" x14ac:dyDescent="0.2">
      <c r="A438" s="113">
        <f>'THE BOARD'!A205</f>
        <v>0</v>
      </c>
      <c r="B438" s="115">
        <f>'THE BOARD'!B205</f>
        <v>0</v>
      </c>
      <c r="C438" s="115"/>
      <c r="D438" s="115"/>
      <c r="E438" s="115"/>
      <c r="F438" s="115"/>
      <c r="G438" s="115"/>
      <c r="H438" s="115"/>
      <c r="I438" s="115"/>
      <c r="J438" s="115"/>
      <c r="K438" s="112"/>
      <c r="L438" s="112"/>
      <c r="M438" s="112"/>
      <c r="N438" s="112"/>
      <c r="O438" s="112"/>
      <c r="P438" s="112"/>
      <c r="Q438" s="112"/>
      <c r="R438" s="112"/>
      <c r="S438" s="112"/>
      <c r="T438" s="112"/>
      <c r="U438" s="112"/>
      <c r="V438" s="112"/>
      <c r="W438" s="112"/>
      <c r="X438" s="112"/>
      <c r="Y438" s="112"/>
      <c r="Z438" s="112"/>
    </row>
    <row r="439" spans="1:26" x14ac:dyDescent="0.2">
      <c r="A439" s="113">
        <f>'THE BOARD'!A206</f>
        <v>0</v>
      </c>
      <c r="B439" s="115">
        <f>'THE BOARD'!B206</f>
        <v>0</v>
      </c>
      <c r="C439" s="115"/>
      <c r="D439" s="115"/>
      <c r="E439" s="115"/>
      <c r="F439" s="115"/>
      <c r="G439" s="115"/>
      <c r="H439" s="115"/>
      <c r="I439" s="115"/>
      <c r="J439" s="115"/>
      <c r="K439" s="112"/>
      <c r="L439" s="112"/>
      <c r="M439" s="112"/>
      <c r="N439" s="112"/>
      <c r="O439" s="112"/>
      <c r="P439" s="112"/>
      <c r="Q439" s="112"/>
      <c r="R439" s="112"/>
      <c r="S439" s="112"/>
      <c r="T439" s="112"/>
      <c r="U439" s="112"/>
      <c r="V439" s="112"/>
      <c r="W439" s="112"/>
      <c r="X439" s="112"/>
      <c r="Y439" s="112"/>
      <c r="Z439" s="112"/>
    </row>
    <row r="440" spans="1:26" x14ac:dyDescent="0.2">
      <c r="A440" s="113">
        <f>'THE BOARD'!A207</f>
        <v>0</v>
      </c>
      <c r="B440" s="115">
        <f>'THE BOARD'!B207</f>
        <v>0</v>
      </c>
      <c r="C440" s="115"/>
      <c r="D440" s="115"/>
      <c r="E440" s="115"/>
      <c r="F440" s="115"/>
      <c r="G440" s="115"/>
      <c r="H440" s="115"/>
      <c r="I440" s="115"/>
      <c r="J440" s="115"/>
      <c r="K440" s="112"/>
      <c r="L440" s="112"/>
      <c r="M440" s="112"/>
      <c r="N440" s="112"/>
      <c r="O440" s="112"/>
      <c r="P440" s="112"/>
      <c r="Q440" s="112"/>
      <c r="R440" s="112"/>
      <c r="S440" s="112"/>
      <c r="T440" s="112"/>
      <c r="U440" s="112"/>
      <c r="V440" s="112"/>
      <c r="W440" s="112"/>
      <c r="X440" s="112"/>
      <c r="Y440" s="112"/>
      <c r="Z440" s="112"/>
    </row>
    <row r="441" spans="1:26" x14ac:dyDescent="0.2">
      <c r="A441" s="113">
        <f>'THE BOARD'!A208</f>
        <v>0</v>
      </c>
      <c r="B441" s="115">
        <f>'THE BOARD'!B208</f>
        <v>0</v>
      </c>
      <c r="C441" s="115"/>
      <c r="D441" s="115"/>
      <c r="E441" s="115"/>
      <c r="F441" s="115"/>
      <c r="G441" s="115"/>
      <c r="H441" s="115"/>
      <c r="I441" s="115"/>
      <c r="J441" s="115"/>
      <c r="K441" s="112"/>
      <c r="L441" s="112"/>
      <c r="M441" s="112"/>
      <c r="N441" s="112"/>
      <c r="O441" s="112"/>
      <c r="P441" s="112"/>
      <c r="Q441" s="112"/>
      <c r="R441" s="112"/>
      <c r="S441" s="112"/>
      <c r="T441" s="112"/>
      <c r="U441" s="112"/>
      <c r="V441" s="112"/>
      <c r="W441" s="112"/>
      <c r="X441" s="112"/>
      <c r="Y441" s="112"/>
      <c r="Z441" s="112"/>
    </row>
    <row r="442" spans="1:26" x14ac:dyDescent="0.2">
      <c r="A442" s="113">
        <f>'THE BOARD'!A209</f>
        <v>0</v>
      </c>
      <c r="B442" s="115">
        <f>'THE BOARD'!B209</f>
        <v>0</v>
      </c>
      <c r="C442" s="115"/>
      <c r="D442" s="115"/>
      <c r="E442" s="115"/>
      <c r="F442" s="115"/>
      <c r="G442" s="115"/>
      <c r="H442" s="115"/>
      <c r="I442" s="115"/>
      <c r="J442" s="115"/>
      <c r="K442" s="112"/>
      <c r="L442" s="112"/>
      <c r="M442" s="112"/>
      <c r="N442" s="112"/>
      <c r="O442" s="112"/>
      <c r="P442" s="112"/>
      <c r="Q442" s="112"/>
      <c r="R442" s="112"/>
      <c r="S442" s="112"/>
      <c r="T442" s="112"/>
      <c r="U442" s="112"/>
      <c r="V442" s="112"/>
      <c r="W442" s="112"/>
      <c r="X442" s="112"/>
      <c r="Y442" s="112"/>
      <c r="Z442" s="112"/>
    </row>
    <row r="443" spans="1:26" x14ac:dyDescent="0.2">
      <c r="A443" s="113">
        <f>'THE BOARD'!A210</f>
        <v>0</v>
      </c>
      <c r="B443" s="115">
        <f>'THE BOARD'!B210</f>
        <v>0</v>
      </c>
      <c r="C443" s="115"/>
      <c r="D443" s="115"/>
      <c r="E443" s="115"/>
      <c r="F443" s="115"/>
      <c r="G443" s="115"/>
      <c r="H443" s="115"/>
      <c r="I443" s="115"/>
      <c r="J443" s="115"/>
      <c r="K443" s="112"/>
      <c r="L443" s="112"/>
      <c r="M443" s="112"/>
      <c r="N443" s="112"/>
      <c r="O443" s="112"/>
      <c r="P443" s="112"/>
      <c r="Q443" s="112"/>
      <c r="R443" s="112"/>
      <c r="S443" s="112"/>
      <c r="T443" s="112"/>
      <c r="U443" s="112"/>
      <c r="V443" s="112"/>
      <c r="W443" s="112"/>
      <c r="X443" s="112"/>
      <c r="Y443" s="112"/>
      <c r="Z443" s="112"/>
    </row>
    <row r="444" spans="1:26" x14ac:dyDescent="0.2">
      <c r="A444" s="113">
        <f>'THE BOARD'!A211</f>
        <v>0</v>
      </c>
      <c r="B444" s="115">
        <f>'THE BOARD'!B211</f>
        <v>0</v>
      </c>
      <c r="C444" s="115"/>
      <c r="D444" s="115"/>
      <c r="E444" s="115"/>
      <c r="F444" s="115"/>
      <c r="G444" s="115"/>
      <c r="H444" s="115"/>
      <c r="I444" s="115"/>
      <c r="J444" s="115"/>
      <c r="K444" s="112"/>
      <c r="L444" s="112"/>
      <c r="M444" s="112"/>
      <c r="N444" s="112"/>
      <c r="O444" s="112"/>
      <c r="P444" s="112"/>
      <c r="Q444" s="112"/>
      <c r="R444" s="112"/>
      <c r="S444" s="112"/>
      <c r="T444" s="112"/>
      <c r="U444" s="112"/>
      <c r="V444" s="112"/>
      <c r="W444" s="112"/>
      <c r="X444" s="112"/>
      <c r="Y444" s="112"/>
      <c r="Z444" s="112"/>
    </row>
    <row r="445" spans="1:26" x14ac:dyDescent="0.2">
      <c r="A445" s="113">
        <f>'THE BOARD'!A212</f>
        <v>0</v>
      </c>
      <c r="B445" s="115">
        <f>'THE BOARD'!B212</f>
        <v>0</v>
      </c>
      <c r="C445" s="115"/>
      <c r="D445" s="115"/>
      <c r="E445" s="115"/>
      <c r="F445" s="115"/>
      <c r="G445" s="115"/>
      <c r="H445" s="115"/>
      <c r="I445" s="115"/>
      <c r="J445" s="115"/>
      <c r="K445" s="112"/>
      <c r="L445" s="112"/>
      <c r="M445" s="112"/>
      <c r="N445" s="112"/>
      <c r="O445" s="112"/>
      <c r="P445" s="112"/>
      <c r="Q445" s="112"/>
      <c r="R445" s="112"/>
      <c r="S445" s="112"/>
      <c r="T445" s="112"/>
      <c r="U445" s="112"/>
      <c r="V445" s="112"/>
      <c r="W445" s="112"/>
      <c r="X445" s="112"/>
      <c r="Y445" s="112"/>
      <c r="Z445" s="112"/>
    </row>
    <row r="446" spans="1:26" x14ac:dyDescent="0.2">
      <c r="A446" s="113">
        <f>'THE BOARD'!A213</f>
        <v>0</v>
      </c>
      <c r="B446" s="115">
        <f>'THE BOARD'!B213</f>
        <v>0</v>
      </c>
      <c r="C446" s="115"/>
      <c r="D446" s="115"/>
      <c r="E446" s="115"/>
      <c r="F446" s="115"/>
      <c r="G446" s="115"/>
      <c r="H446" s="115"/>
      <c r="I446" s="115"/>
      <c r="J446" s="115"/>
      <c r="K446" s="112"/>
      <c r="L446" s="112"/>
      <c r="M446" s="112"/>
      <c r="N446" s="112"/>
      <c r="O446" s="112"/>
      <c r="P446" s="112"/>
      <c r="Q446" s="112"/>
      <c r="R446" s="112"/>
      <c r="S446" s="112"/>
      <c r="T446" s="112"/>
      <c r="U446" s="112"/>
      <c r="V446" s="112"/>
      <c r="W446" s="112"/>
      <c r="X446" s="112"/>
      <c r="Y446" s="112"/>
      <c r="Z446" s="112"/>
    </row>
    <row r="447" spans="1:26" x14ac:dyDescent="0.2">
      <c r="A447" s="113">
        <f>'THE BOARD'!A214</f>
        <v>0</v>
      </c>
      <c r="B447" s="115">
        <f>'THE BOARD'!B214</f>
        <v>0</v>
      </c>
      <c r="C447" s="115"/>
      <c r="D447" s="115"/>
      <c r="E447" s="115"/>
      <c r="F447" s="115"/>
      <c r="G447" s="115"/>
      <c r="H447" s="115"/>
      <c r="I447" s="115"/>
      <c r="J447" s="115"/>
      <c r="K447" s="112"/>
      <c r="L447" s="112"/>
      <c r="M447" s="112"/>
      <c r="N447" s="112"/>
      <c r="O447" s="112"/>
      <c r="P447" s="112"/>
      <c r="Q447" s="112"/>
      <c r="R447" s="112"/>
      <c r="S447" s="112"/>
      <c r="T447" s="112"/>
      <c r="U447" s="112"/>
      <c r="V447" s="112"/>
      <c r="W447" s="112"/>
      <c r="X447" s="112"/>
      <c r="Y447" s="112"/>
      <c r="Z447" s="112"/>
    </row>
    <row r="448" spans="1:26" x14ac:dyDescent="0.2">
      <c r="A448" s="113">
        <f>'THE BOARD'!A215</f>
        <v>0</v>
      </c>
      <c r="B448" s="115">
        <f>'THE BOARD'!B215</f>
        <v>0</v>
      </c>
      <c r="C448" s="115"/>
      <c r="D448" s="115"/>
      <c r="E448" s="115"/>
      <c r="F448" s="115"/>
      <c r="G448" s="115"/>
      <c r="H448" s="115"/>
      <c r="I448" s="115"/>
      <c r="J448" s="115"/>
      <c r="K448" s="112"/>
      <c r="L448" s="112"/>
      <c r="M448" s="112"/>
      <c r="N448" s="112"/>
      <c r="O448" s="112"/>
      <c r="P448" s="112"/>
      <c r="Q448" s="112"/>
      <c r="R448" s="112"/>
      <c r="S448" s="112"/>
      <c r="T448" s="112"/>
      <c r="U448" s="112"/>
      <c r="V448" s="112"/>
      <c r="W448" s="112"/>
      <c r="X448" s="112"/>
      <c r="Y448" s="112"/>
      <c r="Z448" s="112"/>
    </row>
    <row r="449" spans="1:26" x14ac:dyDescent="0.2">
      <c r="A449" s="113">
        <f>'THE BOARD'!A216</f>
        <v>0</v>
      </c>
      <c r="B449" s="115">
        <f>'THE BOARD'!B216</f>
        <v>0</v>
      </c>
      <c r="C449" s="115"/>
      <c r="D449" s="115"/>
      <c r="E449" s="115"/>
      <c r="F449" s="115"/>
      <c r="G449" s="115"/>
      <c r="H449" s="115"/>
      <c r="I449" s="115"/>
      <c r="J449" s="115"/>
      <c r="K449" s="112"/>
      <c r="L449" s="112"/>
      <c r="M449" s="112"/>
      <c r="N449" s="112"/>
      <c r="O449" s="112"/>
      <c r="P449" s="112"/>
      <c r="Q449" s="112"/>
      <c r="R449" s="112"/>
      <c r="S449" s="112"/>
      <c r="T449" s="112"/>
      <c r="U449" s="112"/>
      <c r="V449" s="112"/>
      <c r="W449" s="112"/>
      <c r="X449" s="112"/>
      <c r="Y449" s="112"/>
      <c r="Z449" s="112"/>
    </row>
    <row r="450" spans="1:26" x14ac:dyDescent="0.2">
      <c r="A450" s="113">
        <f>'THE BOARD'!A217</f>
        <v>0</v>
      </c>
      <c r="B450" s="115">
        <f>'THE BOARD'!B217</f>
        <v>0</v>
      </c>
      <c r="C450" s="115"/>
      <c r="D450" s="115"/>
      <c r="E450" s="115"/>
      <c r="F450" s="115"/>
      <c r="G450" s="115"/>
      <c r="H450" s="115"/>
      <c r="I450" s="115"/>
      <c r="J450" s="115"/>
      <c r="K450" s="112"/>
      <c r="L450" s="112"/>
      <c r="M450" s="112"/>
      <c r="N450" s="112"/>
      <c r="O450" s="112"/>
      <c r="P450" s="112"/>
      <c r="Q450" s="112"/>
      <c r="R450" s="112"/>
      <c r="S450" s="112"/>
      <c r="T450" s="112"/>
      <c r="U450" s="112"/>
      <c r="V450" s="112"/>
      <c r="W450" s="112"/>
      <c r="X450" s="112"/>
      <c r="Y450" s="112"/>
      <c r="Z450" s="112"/>
    </row>
    <row r="451" spans="1:26" x14ac:dyDescent="0.2">
      <c r="A451" s="113">
        <f>'THE BOARD'!A218</f>
        <v>0</v>
      </c>
      <c r="B451" s="115">
        <f>'THE BOARD'!B218</f>
        <v>0</v>
      </c>
      <c r="C451" s="115"/>
      <c r="D451" s="115"/>
      <c r="E451" s="115"/>
      <c r="F451" s="115"/>
      <c r="G451" s="115"/>
      <c r="H451" s="115"/>
      <c r="I451" s="115"/>
      <c r="J451" s="115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</row>
    <row r="452" spans="1:26" x14ac:dyDescent="0.2">
      <c r="A452" s="113">
        <f>'THE BOARD'!A219</f>
        <v>0</v>
      </c>
      <c r="B452" s="115">
        <f>'THE BOARD'!B219</f>
        <v>0</v>
      </c>
      <c r="C452" s="115"/>
      <c r="D452" s="115"/>
      <c r="E452" s="115"/>
      <c r="F452" s="115"/>
      <c r="G452" s="115"/>
      <c r="H452" s="115"/>
      <c r="I452" s="115"/>
      <c r="J452" s="115"/>
      <c r="K452" s="112"/>
      <c r="L452" s="112"/>
      <c r="M452" s="112"/>
      <c r="N452" s="112"/>
      <c r="O452" s="112"/>
      <c r="P452" s="112"/>
      <c r="Q452" s="112"/>
      <c r="R452" s="112"/>
      <c r="S452" s="112"/>
      <c r="T452" s="112"/>
      <c r="U452" s="112"/>
      <c r="V452" s="112"/>
      <c r="W452" s="112"/>
      <c r="X452" s="112"/>
      <c r="Y452" s="112"/>
      <c r="Z452" s="112"/>
    </row>
    <row r="453" spans="1:26" x14ac:dyDescent="0.2">
      <c r="A453" s="113">
        <f>'THE BOARD'!A220</f>
        <v>0</v>
      </c>
      <c r="B453" s="115">
        <f>'THE BOARD'!B220</f>
        <v>0</v>
      </c>
      <c r="C453" s="115"/>
      <c r="D453" s="115"/>
      <c r="E453" s="115"/>
      <c r="F453" s="115"/>
      <c r="G453" s="115"/>
      <c r="H453" s="115"/>
      <c r="I453" s="115"/>
      <c r="J453" s="115"/>
      <c r="K453" s="112"/>
      <c r="L453" s="112"/>
      <c r="M453" s="112"/>
      <c r="N453" s="112"/>
      <c r="O453" s="112"/>
      <c r="P453" s="112"/>
      <c r="Q453" s="112"/>
      <c r="R453" s="112"/>
      <c r="S453" s="112"/>
      <c r="T453" s="112"/>
      <c r="U453" s="112"/>
      <c r="V453" s="112"/>
      <c r="W453" s="112"/>
      <c r="X453" s="112"/>
      <c r="Y453" s="112"/>
      <c r="Z453" s="112"/>
    </row>
    <row r="454" spans="1:26" x14ac:dyDescent="0.2">
      <c r="A454" s="113">
        <f>'THE BOARD'!A221</f>
        <v>0</v>
      </c>
      <c r="B454" s="115">
        <f>'THE BOARD'!B221</f>
        <v>0</v>
      </c>
      <c r="C454" s="115"/>
      <c r="D454" s="115"/>
      <c r="E454" s="115"/>
      <c r="F454" s="115"/>
      <c r="G454" s="115"/>
      <c r="H454" s="115"/>
      <c r="I454" s="115"/>
      <c r="J454" s="115"/>
      <c r="K454" s="112"/>
      <c r="L454" s="112"/>
      <c r="M454" s="112"/>
      <c r="N454" s="112"/>
      <c r="O454" s="112"/>
      <c r="P454" s="112"/>
      <c r="Q454" s="112"/>
      <c r="R454" s="112"/>
      <c r="S454" s="112"/>
      <c r="T454" s="112"/>
      <c r="U454" s="112"/>
      <c r="V454" s="112"/>
      <c r="W454" s="112"/>
      <c r="X454" s="112"/>
      <c r="Y454" s="112"/>
      <c r="Z454" s="112"/>
    </row>
    <row r="455" spans="1:26" x14ac:dyDescent="0.2">
      <c r="A455" s="113">
        <f>'THE BOARD'!A222</f>
        <v>0</v>
      </c>
      <c r="B455" s="115">
        <f>'THE BOARD'!B222</f>
        <v>0</v>
      </c>
      <c r="C455" s="115"/>
      <c r="D455" s="115"/>
      <c r="E455" s="115"/>
      <c r="F455" s="115"/>
      <c r="G455" s="115"/>
      <c r="H455" s="115"/>
      <c r="I455" s="115"/>
      <c r="J455" s="115"/>
      <c r="K455" s="112"/>
      <c r="L455" s="112"/>
      <c r="M455" s="112"/>
      <c r="N455" s="112"/>
      <c r="O455" s="112"/>
      <c r="P455" s="112"/>
      <c r="Q455" s="112"/>
      <c r="R455" s="112"/>
      <c r="S455" s="112"/>
      <c r="T455" s="112"/>
      <c r="U455" s="112"/>
      <c r="V455" s="112"/>
      <c r="W455" s="112"/>
      <c r="X455" s="112"/>
      <c r="Y455" s="112"/>
      <c r="Z455" s="112"/>
    </row>
    <row r="456" spans="1:26" x14ac:dyDescent="0.2">
      <c r="A456" s="113">
        <f>'THE BOARD'!A223</f>
        <v>0</v>
      </c>
      <c r="B456" s="115">
        <f>'THE BOARD'!B223</f>
        <v>0</v>
      </c>
      <c r="C456" s="115"/>
      <c r="D456" s="115"/>
      <c r="E456" s="115"/>
      <c r="F456" s="115"/>
      <c r="G456" s="115"/>
      <c r="H456" s="115"/>
      <c r="I456" s="115"/>
      <c r="J456" s="115"/>
      <c r="K456" s="112"/>
      <c r="L456" s="112"/>
      <c r="M456" s="112"/>
      <c r="N456" s="112"/>
      <c r="O456" s="112"/>
      <c r="P456" s="112"/>
      <c r="Q456" s="112"/>
      <c r="R456" s="112"/>
      <c r="S456" s="112"/>
      <c r="T456" s="112"/>
      <c r="U456" s="112"/>
      <c r="V456" s="112"/>
      <c r="W456" s="112"/>
      <c r="X456" s="112"/>
      <c r="Y456" s="112"/>
      <c r="Z456" s="112"/>
    </row>
    <row r="457" spans="1:26" x14ac:dyDescent="0.2">
      <c r="A457" s="113">
        <f>'THE BOARD'!A224</f>
        <v>0</v>
      </c>
      <c r="B457" s="115">
        <f>'THE BOARD'!B224</f>
        <v>0</v>
      </c>
      <c r="C457" s="115"/>
      <c r="D457" s="115"/>
      <c r="E457" s="115"/>
      <c r="F457" s="115"/>
      <c r="G457" s="115"/>
      <c r="H457" s="115"/>
      <c r="I457" s="115"/>
      <c r="J457" s="115"/>
      <c r="K457" s="112"/>
      <c r="L457" s="112"/>
      <c r="M457" s="112"/>
      <c r="N457" s="112"/>
      <c r="O457" s="112"/>
      <c r="P457" s="112"/>
      <c r="Q457" s="112"/>
      <c r="R457" s="112"/>
      <c r="S457" s="112"/>
      <c r="T457" s="112"/>
      <c r="U457" s="112"/>
      <c r="V457" s="112"/>
      <c r="W457" s="112"/>
      <c r="X457" s="112"/>
      <c r="Y457" s="112"/>
      <c r="Z457" s="112"/>
    </row>
    <row r="458" spans="1:26" x14ac:dyDescent="0.2">
      <c r="A458" s="113">
        <f>'THE BOARD'!A225</f>
        <v>0</v>
      </c>
      <c r="B458" s="115">
        <f>'THE BOARD'!B225</f>
        <v>0</v>
      </c>
      <c r="C458" s="115"/>
      <c r="D458" s="115"/>
      <c r="E458" s="115"/>
      <c r="F458" s="115"/>
      <c r="G458" s="115"/>
      <c r="H458" s="115"/>
      <c r="I458" s="115"/>
      <c r="J458" s="115"/>
      <c r="K458" s="112"/>
      <c r="L458" s="112"/>
      <c r="M458" s="112"/>
      <c r="N458" s="112"/>
      <c r="O458" s="112"/>
      <c r="P458" s="112"/>
      <c r="Q458" s="112"/>
      <c r="R458" s="112"/>
      <c r="S458" s="112"/>
      <c r="T458" s="112"/>
      <c r="U458" s="112"/>
      <c r="V458" s="112"/>
      <c r="W458" s="112"/>
      <c r="X458" s="112"/>
      <c r="Y458" s="112"/>
      <c r="Z458" s="112"/>
    </row>
    <row r="459" spans="1:26" x14ac:dyDescent="0.2">
      <c r="A459" s="113">
        <f>'THE BOARD'!A226</f>
        <v>0</v>
      </c>
      <c r="B459" s="115">
        <f>'THE BOARD'!B226</f>
        <v>0</v>
      </c>
      <c r="C459" s="115"/>
      <c r="D459" s="115"/>
      <c r="E459" s="115"/>
      <c r="F459" s="115"/>
      <c r="G459" s="115"/>
      <c r="H459" s="115"/>
      <c r="I459" s="115"/>
      <c r="J459" s="115"/>
      <c r="K459" s="112"/>
      <c r="L459" s="112"/>
      <c r="M459" s="112"/>
      <c r="N459" s="112"/>
      <c r="O459" s="112"/>
      <c r="P459" s="112"/>
      <c r="Q459" s="112"/>
      <c r="R459" s="112"/>
      <c r="S459" s="112"/>
      <c r="T459" s="112"/>
      <c r="U459" s="112"/>
      <c r="V459" s="112"/>
      <c r="W459" s="112"/>
      <c r="X459" s="112"/>
      <c r="Y459" s="112"/>
      <c r="Z459" s="112"/>
    </row>
    <row r="460" spans="1:26" x14ac:dyDescent="0.2">
      <c r="A460" s="113">
        <f>'THE BOARD'!A227</f>
        <v>0</v>
      </c>
      <c r="B460" s="115">
        <f>'THE BOARD'!B227</f>
        <v>0</v>
      </c>
      <c r="C460" s="115"/>
      <c r="D460" s="115"/>
      <c r="E460" s="115"/>
      <c r="F460" s="115"/>
      <c r="G460" s="115"/>
      <c r="H460" s="115"/>
      <c r="I460" s="115"/>
      <c r="J460" s="115"/>
      <c r="K460" s="112"/>
      <c r="L460" s="112"/>
      <c r="M460" s="112"/>
      <c r="N460" s="112"/>
      <c r="O460" s="112"/>
      <c r="P460" s="112"/>
      <c r="Q460" s="112"/>
      <c r="R460" s="112"/>
      <c r="S460" s="112"/>
      <c r="T460" s="112"/>
      <c r="U460" s="112"/>
      <c r="V460" s="112"/>
      <c r="W460" s="112"/>
      <c r="X460" s="112"/>
      <c r="Y460" s="112"/>
      <c r="Z460" s="112"/>
    </row>
    <row r="461" spans="1:26" x14ac:dyDescent="0.2">
      <c r="A461" s="113">
        <f>'THE BOARD'!A228</f>
        <v>0</v>
      </c>
      <c r="B461" s="115">
        <f>'THE BOARD'!B228</f>
        <v>0</v>
      </c>
      <c r="C461" s="115"/>
      <c r="D461" s="115"/>
      <c r="E461" s="115"/>
      <c r="F461" s="115"/>
      <c r="G461" s="115"/>
      <c r="H461" s="115"/>
      <c r="I461" s="115"/>
      <c r="J461" s="115"/>
      <c r="K461" s="112"/>
      <c r="L461" s="112"/>
      <c r="M461" s="112"/>
      <c r="N461" s="112"/>
      <c r="O461" s="112"/>
      <c r="P461" s="112"/>
      <c r="Q461" s="112"/>
      <c r="R461" s="112"/>
      <c r="S461" s="112"/>
      <c r="T461" s="112"/>
      <c r="U461" s="112"/>
      <c r="V461" s="112"/>
      <c r="W461" s="112"/>
      <c r="X461" s="112"/>
      <c r="Y461" s="112"/>
      <c r="Z461" s="112"/>
    </row>
    <row r="462" spans="1:26" x14ac:dyDescent="0.2">
      <c r="A462" s="113">
        <f>'THE BOARD'!A229</f>
        <v>0</v>
      </c>
      <c r="B462" s="115">
        <f>'THE BOARD'!B229</f>
        <v>0</v>
      </c>
      <c r="C462" s="115"/>
      <c r="D462" s="115"/>
      <c r="E462" s="115"/>
      <c r="F462" s="115"/>
      <c r="G462" s="115"/>
      <c r="H462" s="115"/>
      <c r="I462" s="115"/>
      <c r="J462" s="115"/>
      <c r="K462" s="112"/>
      <c r="L462" s="112"/>
      <c r="M462" s="112"/>
      <c r="N462" s="112"/>
      <c r="O462" s="112"/>
      <c r="P462" s="112"/>
      <c r="Q462" s="112"/>
      <c r="R462" s="112"/>
      <c r="S462" s="112"/>
      <c r="T462" s="112"/>
      <c r="U462" s="112"/>
      <c r="V462" s="112"/>
      <c r="W462" s="112"/>
      <c r="X462" s="112"/>
      <c r="Y462" s="112"/>
      <c r="Z462" s="112"/>
    </row>
    <row r="463" spans="1:26" x14ac:dyDescent="0.2">
      <c r="A463" s="113">
        <f>'THE BOARD'!A230</f>
        <v>0</v>
      </c>
      <c r="B463" s="115">
        <f>'THE BOARD'!B230</f>
        <v>0</v>
      </c>
      <c r="C463" s="115"/>
      <c r="D463" s="115"/>
      <c r="E463" s="115"/>
      <c r="F463" s="115"/>
      <c r="G463" s="115"/>
      <c r="H463" s="115"/>
      <c r="I463" s="115"/>
      <c r="J463" s="115"/>
      <c r="K463" s="112"/>
      <c r="L463" s="112"/>
      <c r="M463" s="112"/>
      <c r="N463" s="112"/>
      <c r="O463" s="112"/>
      <c r="P463" s="112"/>
      <c r="Q463" s="112"/>
      <c r="R463" s="112"/>
      <c r="S463" s="112"/>
      <c r="T463" s="112"/>
      <c r="U463" s="112"/>
      <c r="V463" s="112"/>
      <c r="W463" s="112"/>
      <c r="X463" s="112"/>
      <c r="Y463" s="112"/>
      <c r="Z463" s="112"/>
    </row>
    <row r="464" spans="1:26" x14ac:dyDescent="0.2">
      <c r="A464" s="113">
        <f>'THE BOARD'!A231</f>
        <v>0</v>
      </c>
      <c r="B464" s="115">
        <f>'THE BOARD'!B231</f>
        <v>0</v>
      </c>
      <c r="C464" s="115"/>
      <c r="D464" s="115"/>
      <c r="E464" s="115"/>
      <c r="F464" s="115"/>
      <c r="G464" s="115"/>
      <c r="H464" s="115"/>
      <c r="I464" s="115"/>
      <c r="J464" s="115"/>
      <c r="K464" s="112"/>
      <c r="L464" s="112"/>
      <c r="M464" s="112"/>
      <c r="N464" s="112"/>
      <c r="O464" s="112"/>
      <c r="P464" s="112"/>
      <c r="Q464" s="112"/>
      <c r="R464" s="112"/>
      <c r="S464" s="112"/>
      <c r="T464" s="112"/>
      <c r="U464" s="112"/>
      <c r="V464" s="112"/>
      <c r="W464" s="112"/>
      <c r="X464" s="112"/>
      <c r="Y464" s="112"/>
      <c r="Z464" s="112"/>
    </row>
    <row r="465" spans="1:26" x14ac:dyDescent="0.2">
      <c r="A465" s="113">
        <f>'THE BOARD'!A232</f>
        <v>0</v>
      </c>
      <c r="B465" s="115">
        <f>'THE BOARD'!B232</f>
        <v>0</v>
      </c>
      <c r="C465" s="115"/>
      <c r="D465" s="115"/>
      <c r="E465" s="115"/>
      <c r="F465" s="115"/>
      <c r="G465" s="115"/>
      <c r="H465" s="115"/>
      <c r="I465" s="115"/>
      <c r="J465" s="115"/>
      <c r="K465" s="112"/>
      <c r="L465" s="112"/>
      <c r="M465" s="112"/>
      <c r="N465" s="112"/>
      <c r="O465" s="112"/>
      <c r="P465" s="112"/>
      <c r="Q465" s="112"/>
      <c r="R465" s="112"/>
      <c r="S465" s="112"/>
      <c r="T465" s="112"/>
      <c r="U465" s="112"/>
      <c r="V465" s="112"/>
      <c r="W465" s="112"/>
      <c r="X465" s="112"/>
      <c r="Y465" s="112"/>
      <c r="Z465" s="112"/>
    </row>
    <row r="466" spans="1:26" x14ac:dyDescent="0.2">
      <c r="A466" s="113">
        <f>'THE BOARD'!A233</f>
        <v>0</v>
      </c>
      <c r="B466" s="115">
        <f>'THE BOARD'!B233</f>
        <v>0</v>
      </c>
      <c r="C466" s="115"/>
      <c r="D466" s="115"/>
      <c r="E466" s="115"/>
      <c r="F466" s="115"/>
      <c r="G466" s="115"/>
      <c r="H466" s="115"/>
      <c r="I466" s="115"/>
      <c r="J466" s="115"/>
      <c r="K466" s="112"/>
      <c r="L466" s="112"/>
      <c r="M466" s="112"/>
      <c r="N466" s="112"/>
      <c r="O466" s="112"/>
      <c r="P466" s="112"/>
      <c r="Q466" s="112"/>
      <c r="R466" s="112"/>
      <c r="S466" s="112"/>
      <c r="T466" s="112"/>
      <c r="U466" s="112"/>
      <c r="V466" s="112"/>
      <c r="W466" s="112"/>
      <c r="X466" s="112"/>
      <c r="Y466" s="112"/>
      <c r="Z466" s="112"/>
    </row>
    <row r="467" spans="1:26" x14ac:dyDescent="0.2">
      <c r="A467" s="113">
        <f>'THE BOARD'!A234</f>
        <v>0</v>
      </c>
      <c r="B467" s="115">
        <f>'THE BOARD'!B234</f>
        <v>0</v>
      </c>
      <c r="C467" s="115"/>
      <c r="D467" s="115"/>
      <c r="E467" s="115"/>
      <c r="F467" s="115"/>
      <c r="G467" s="115"/>
      <c r="H467" s="115"/>
      <c r="I467" s="115"/>
      <c r="J467" s="115"/>
      <c r="K467" s="112"/>
      <c r="L467" s="112"/>
      <c r="M467" s="112"/>
      <c r="N467" s="112"/>
      <c r="O467" s="112"/>
      <c r="P467" s="112"/>
      <c r="Q467" s="112"/>
      <c r="R467" s="112"/>
      <c r="S467" s="112"/>
      <c r="T467" s="112"/>
      <c r="U467" s="112"/>
      <c r="V467" s="112"/>
      <c r="W467" s="112"/>
      <c r="X467" s="112"/>
      <c r="Y467" s="112"/>
      <c r="Z467" s="112"/>
    </row>
    <row r="468" spans="1:26" x14ac:dyDescent="0.2">
      <c r="A468" s="113">
        <f>'THE BOARD'!A235</f>
        <v>0</v>
      </c>
      <c r="B468" s="115">
        <f>'THE BOARD'!B235</f>
        <v>0</v>
      </c>
      <c r="C468" s="115"/>
      <c r="D468" s="115"/>
      <c r="E468" s="115"/>
      <c r="F468" s="115"/>
      <c r="G468" s="115"/>
      <c r="H468" s="115"/>
      <c r="I468" s="115"/>
      <c r="J468" s="115"/>
      <c r="K468" s="112"/>
      <c r="L468" s="112"/>
      <c r="M468" s="112"/>
      <c r="N468" s="112"/>
      <c r="O468" s="112"/>
      <c r="P468" s="112"/>
      <c r="Q468" s="112"/>
      <c r="R468" s="112"/>
      <c r="S468" s="112"/>
      <c r="T468" s="112"/>
      <c r="U468" s="112"/>
      <c r="V468" s="112"/>
      <c r="W468" s="112"/>
      <c r="X468" s="112"/>
      <c r="Y468" s="112"/>
      <c r="Z468" s="112"/>
    </row>
    <row r="469" spans="1:26" x14ac:dyDescent="0.2">
      <c r="A469" s="113">
        <f>'THE BOARD'!A236</f>
        <v>0</v>
      </c>
      <c r="B469" s="115">
        <f>'THE BOARD'!B236</f>
        <v>0</v>
      </c>
      <c r="C469" s="115"/>
      <c r="D469" s="115"/>
      <c r="E469" s="115"/>
      <c r="F469" s="115"/>
      <c r="G469" s="115"/>
      <c r="H469" s="115"/>
      <c r="I469" s="115"/>
      <c r="J469" s="115"/>
      <c r="K469" s="112"/>
      <c r="L469" s="112"/>
      <c r="M469" s="112"/>
      <c r="N469" s="112"/>
      <c r="O469" s="112"/>
      <c r="P469" s="112"/>
      <c r="Q469" s="112"/>
      <c r="R469" s="112"/>
      <c r="S469" s="112"/>
      <c r="T469" s="112"/>
      <c r="U469" s="112"/>
      <c r="V469" s="112"/>
      <c r="W469" s="112"/>
      <c r="X469" s="112"/>
      <c r="Y469" s="112"/>
      <c r="Z469" s="112"/>
    </row>
    <row r="470" spans="1:26" x14ac:dyDescent="0.2">
      <c r="A470" s="113">
        <f>'THE BOARD'!A237</f>
        <v>0</v>
      </c>
      <c r="B470" s="115">
        <f>'THE BOARD'!B237</f>
        <v>0</v>
      </c>
      <c r="C470" s="115"/>
      <c r="D470" s="115"/>
      <c r="E470" s="115"/>
      <c r="F470" s="115"/>
      <c r="G470" s="115"/>
      <c r="H470" s="115"/>
      <c r="I470" s="115"/>
      <c r="J470" s="115"/>
      <c r="K470" s="112"/>
      <c r="L470" s="112"/>
      <c r="M470" s="112"/>
      <c r="N470" s="112"/>
      <c r="O470" s="112"/>
      <c r="P470" s="112"/>
      <c r="Q470" s="112"/>
      <c r="R470" s="112"/>
      <c r="S470" s="112"/>
      <c r="T470" s="112"/>
      <c r="U470" s="112"/>
      <c r="V470" s="112"/>
      <c r="W470" s="112"/>
      <c r="X470" s="112"/>
      <c r="Y470" s="112"/>
      <c r="Z470" s="112"/>
    </row>
    <row r="471" spans="1:26" x14ac:dyDescent="0.2">
      <c r="A471" s="113">
        <f>'THE BOARD'!A238</f>
        <v>0</v>
      </c>
      <c r="B471" s="115">
        <f>'THE BOARD'!B238</f>
        <v>0</v>
      </c>
      <c r="C471" s="115"/>
      <c r="D471" s="115"/>
      <c r="E471" s="115"/>
      <c r="F471" s="115"/>
      <c r="G471" s="115"/>
      <c r="H471" s="115"/>
      <c r="I471" s="115"/>
      <c r="J471" s="115"/>
      <c r="K471" s="112"/>
      <c r="L471" s="112"/>
      <c r="M471" s="112"/>
      <c r="N471" s="112"/>
      <c r="O471" s="112"/>
      <c r="P471" s="112"/>
      <c r="Q471" s="112"/>
      <c r="R471" s="112"/>
      <c r="S471" s="112"/>
      <c r="T471" s="112"/>
      <c r="U471" s="112"/>
      <c r="V471" s="112"/>
      <c r="W471" s="112"/>
      <c r="X471" s="112"/>
      <c r="Y471" s="112"/>
      <c r="Z471" s="112"/>
    </row>
    <row r="472" spans="1:26" x14ac:dyDescent="0.2">
      <c r="A472" s="113">
        <f>'THE BOARD'!A239</f>
        <v>0</v>
      </c>
      <c r="B472" s="115">
        <f>'THE BOARD'!B239</f>
        <v>0</v>
      </c>
      <c r="C472" s="115"/>
      <c r="D472" s="115"/>
      <c r="E472" s="115"/>
      <c r="F472" s="115"/>
      <c r="G472" s="115"/>
      <c r="H472" s="115"/>
      <c r="I472" s="115"/>
      <c r="J472" s="115"/>
      <c r="K472" s="112"/>
      <c r="L472" s="112"/>
      <c r="M472" s="112"/>
      <c r="N472" s="112"/>
      <c r="O472" s="112"/>
      <c r="P472" s="112"/>
      <c r="Q472" s="112"/>
      <c r="R472" s="112"/>
      <c r="S472" s="112"/>
      <c r="T472" s="112"/>
      <c r="U472" s="112"/>
      <c r="V472" s="112"/>
      <c r="W472" s="112"/>
      <c r="X472" s="112"/>
      <c r="Y472" s="112"/>
      <c r="Z472" s="112"/>
    </row>
    <row r="473" spans="1:26" x14ac:dyDescent="0.2">
      <c r="A473" s="113">
        <f>'THE BOARD'!A240</f>
        <v>0</v>
      </c>
      <c r="B473" s="115">
        <f>'THE BOARD'!B240</f>
        <v>0</v>
      </c>
      <c r="C473" s="115"/>
      <c r="D473" s="115"/>
      <c r="E473" s="115"/>
      <c r="F473" s="115"/>
      <c r="G473" s="115"/>
      <c r="H473" s="115"/>
      <c r="I473" s="115"/>
      <c r="J473" s="115"/>
      <c r="K473" s="112"/>
      <c r="L473" s="112"/>
      <c r="M473" s="112"/>
      <c r="N473" s="112"/>
      <c r="O473" s="112"/>
      <c r="P473" s="112"/>
      <c r="Q473" s="112"/>
      <c r="R473" s="112"/>
      <c r="S473" s="112"/>
      <c r="T473" s="112"/>
      <c r="U473" s="112"/>
      <c r="V473" s="112"/>
      <c r="W473" s="112"/>
      <c r="X473" s="112"/>
      <c r="Y473" s="112"/>
      <c r="Z473" s="112"/>
    </row>
    <row r="474" spans="1:26" x14ac:dyDescent="0.2">
      <c r="A474" s="113">
        <f>'THE BOARD'!A241</f>
        <v>0</v>
      </c>
      <c r="B474" s="115">
        <f>'THE BOARD'!B241</f>
        <v>0</v>
      </c>
      <c r="C474" s="115"/>
      <c r="D474" s="115"/>
      <c r="E474" s="115"/>
      <c r="F474" s="115"/>
      <c r="G474" s="115"/>
      <c r="H474" s="115"/>
      <c r="I474" s="115"/>
      <c r="J474" s="115"/>
      <c r="K474" s="112"/>
      <c r="L474" s="112"/>
      <c r="M474" s="112"/>
      <c r="N474" s="112"/>
      <c r="O474" s="112"/>
      <c r="P474" s="112"/>
      <c r="Q474" s="112"/>
      <c r="R474" s="112"/>
      <c r="S474" s="112"/>
      <c r="T474" s="112"/>
      <c r="U474" s="112"/>
      <c r="V474" s="112"/>
      <c r="W474" s="112"/>
      <c r="X474" s="112"/>
      <c r="Y474" s="112"/>
      <c r="Z474" s="112"/>
    </row>
    <row r="475" spans="1:26" x14ac:dyDescent="0.2">
      <c r="A475" s="113">
        <f>'THE BOARD'!A242</f>
        <v>0</v>
      </c>
      <c r="B475" s="115">
        <f>'THE BOARD'!B242</f>
        <v>0</v>
      </c>
      <c r="C475" s="115"/>
      <c r="D475" s="115"/>
      <c r="E475" s="115"/>
      <c r="F475" s="115"/>
      <c r="G475" s="115"/>
      <c r="H475" s="115"/>
      <c r="I475" s="115"/>
      <c r="J475" s="115"/>
      <c r="K475" s="112"/>
      <c r="L475" s="112"/>
      <c r="M475" s="112"/>
      <c r="N475" s="112"/>
      <c r="O475" s="112"/>
      <c r="P475" s="112"/>
      <c r="Q475" s="112"/>
      <c r="R475" s="112"/>
      <c r="S475" s="112"/>
      <c r="T475" s="112"/>
      <c r="U475" s="112"/>
      <c r="V475" s="112"/>
      <c r="W475" s="112"/>
      <c r="X475" s="112"/>
      <c r="Y475" s="112"/>
      <c r="Z475" s="112"/>
    </row>
    <row r="476" spans="1:26" x14ac:dyDescent="0.2">
      <c r="A476" s="113">
        <f>'THE BOARD'!A243</f>
        <v>0</v>
      </c>
      <c r="B476" s="115">
        <f>'THE BOARD'!B243</f>
        <v>0</v>
      </c>
      <c r="C476" s="115"/>
      <c r="D476" s="115"/>
      <c r="E476" s="115"/>
      <c r="F476" s="115"/>
      <c r="G476" s="115"/>
      <c r="H476" s="115"/>
      <c r="I476" s="115"/>
      <c r="J476" s="115"/>
      <c r="K476" s="112"/>
      <c r="L476" s="112"/>
      <c r="M476" s="112"/>
      <c r="N476" s="112"/>
      <c r="O476" s="112"/>
      <c r="P476" s="112"/>
      <c r="Q476" s="112"/>
      <c r="R476" s="112"/>
      <c r="S476" s="112"/>
      <c r="T476" s="112"/>
      <c r="U476" s="112"/>
      <c r="V476" s="112"/>
      <c r="W476" s="112"/>
      <c r="X476" s="112"/>
      <c r="Y476" s="112"/>
      <c r="Z476" s="112"/>
    </row>
    <row r="477" spans="1:26" x14ac:dyDescent="0.2">
      <c r="A477" s="113">
        <f>'THE BOARD'!A244</f>
        <v>0</v>
      </c>
      <c r="B477" s="115">
        <f>'THE BOARD'!B244</f>
        <v>0</v>
      </c>
      <c r="C477" s="115"/>
      <c r="D477" s="115"/>
      <c r="E477" s="115"/>
      <c r="F477" s="115"/>
      <c r="G477" s="115"/>
      <c r="H477" s="115"/>
      <c r="I477" s="115"/>
      <c r="J477" s="115"/>
      <c r="K477" s="112"/>
      <c r="L477" s="112"/>
      <c r="M477" s="112"/>
      <c r="N477" s="112"/>
      <c r="O477" s="112"/>
      <c r="P477" s="112"/>
      <c r="Q477" s="112"/>
      <c r="R477" s="112"/>
      <c r="S477" s="112"/>
      <c r="T477" s="112"/>
      <c r="U477" s="112"/>
      <c r="V477" s="112"/>
      <c r="W477" s="112"/>
      <c r="X477" s="112"/>
      <c r="Y477" s="112"/>
      <c r="Z477" s="112"/>
    </row>
    <row r="478" spans="1:26" x14ac:dyDescent="0.2">
      <c r="A478" s="113">
        <f>'THE BOARD'!A245</f>
        <v>0</v>
      </c>
      <c r="B478" s="115">
        <f>'THE BOARD'!B245</f>
        <v>0</v>
      </c>
      <c r="C478" s="115"/>
      <c r="D478" s="115"/>
      <c r="E478" s="115"/>
      <c r="F478" s="115"/>
      <c r="G478" s="115"/>
      <c r="H478" s="115"/>
      <c r="I478" s="115"/>
      <c r="J478" s="115"/>
      <c r="K478" s="112"/>
      <c r="L478" s="112"/>
      <c r="M478" s="112"/>
      <c r="N478" s="112"/>
      <c r="O478" s="112"/>
      <c r="P478" s="112"/>
      <c r="Q478" s="112"/>
      <c r="R478" s="112"/>
      <c r="S478" s="112"/>
      <c r="T478" s="112"/>
      <c r="U478" s="112"/>
      <c r="V478" s="112"/>
      <c r="W478" s="112"/>
      <c r="X478" s="112"/>
      <c r="Y478" s="112"/>
      <c r="Z478" s="112"/>
    </row>
    <row r="479" spans="1:26" x14ac:dyDescent="0.2">
      <c r="A479" s="113">
        <f>'THE BOARD'!A246</f>
        <v>0</v>
      </c>
      <c r="B479" s="115">
        <f>'THE BOARD'!B246</f>
        <v>0</v>
      </c>
      <c r="C479" s="115"/>
      <c r="D479" s="115"/>
      <c r="E479" s="115"/>
      <c r="F479" s="115"/>
      <c r="G479" s="115"/>
      <c r="H479" s="115"/>
      <c r="I479" s="115"/>
      <c r="J479" s="115"/>
      <c r="K479" s="112"/>
      <c r="L479" s="112"/>
      <c r="M479" s="112"/>
      <c r="N479" s="112"/>
      <c r="O479" s="112"/>
      <c r="P479" s="112"/>
      <c r="Q479" s="112"/>
      <c r="R479" s="112"/>
      <c r="S479" s="112"/>
      <c r="T479" s="112"/>
      <c r="U479" s="112"/>
      <c r="V479" s="112"/>
      <c r="W479" s="112"/>
      <c r="X479" s="112"/>
      <c r="Y479" s="112"/>
      <c r="Z479" s="112"/>
    </row>
    <row r="480" spans="1:26" x14ac:dyDescent="0.2">
      <c r="A480" s="113">
        <f>'THE BOARD'!A247</f>
        <v>0</v>
      </c>
      <c r="B480" s="115">
        <f>'THE BOARD'!B247</f>
        <v>0</v>
      </c>
      <c r="C480" s="115"/>
      <c r="D480" s="115"/>
      <c r="E480" s="115"/>
      <c r="F480" s="115"/>
      <c r="G480" s="115"/>
      <c r="H480" s="115"/>
      <c r="I480" s="115"/>
      <c r="J480" s="115"/>
      <c r="K480" s="112"/>
      <c r="L480" s="112"/>
      <c r="M480" s="112"/>
      <c r="N480" s="112"/>
      <c r="O480" s="112"/>
      <c r="P480" s="112"/>
      <c r="Q480" s="112"/>
      <c r="R480" s="112"/>
      <c r="S480" s="112"/>
      <c r="T480" s="112"/>
      <c r="U480" s="112"/>
      <c r="V480" s="112"/>
      <c r="W480" s="112"/>
      <c r="X480" s="112"/>
      <c r="Y480" s="112"/>
      <c r="Z480" s="112"/>
    </row>
    <row r="481" spans="1:26" x14ac:dyDescent="0.2">
      <c r="A481" s="113">
        <f>'THE BOARD'!A248</f>
        <v>0</v>
      </c>
      <c r="B481" s="115">
        <f>'THE BOARD'!B248</f>
        <v>0</v>
      </c>
      <c r="C481" s="115"/>
      <c r="D481" s="115"/>
      <c r="E481" s="115"/>
      <c r="F481" s="115"/>
      <c r="G481" s="115"/>
      <c r="H481" s="115"/>
      <c r="I481" s="115"/>
      <c r="J481" s="115"/>
      <c r="K481" s="112"/>
      <c r="L481" s="112"/>
      <c r="M481" s="112"/>
      <c r="N481" s="112"/>
      <c r="O481" s="112"/>
      <c r="P481" s="112"/>
      <c r="Q481" s="112"/>
      <c r="R481" s="112"/>
      <c r="S481" s="112"/>
      <c r="T481" s="112"/>
      <c r="U481" s="112"/>
      <c r="V481" s="112"/>
      <c r="W481" s="112"/>
      <c r="X481" s="112"/>
      <c r="Y481" s="112"/>
      <c r="Z481" s="112"/>
    </row>
    <row r="482" spans="1:26" x14ac:dyDescent="0.2">
      <c r="A482" s="113">
        <f>'THE BOARD'!A249</f>
        <v>0</v>
      </c>
      <c r="B482" s="115">
        <f>'THE BOARD'!B249</f>
        <v>0</v>
      </c>
      <c r="C482" s="115"/>
      <c r="D482" s="115"/>
      <c r="E482" s="115"/>
      <c r="F482" s="115"/>
      <c r="G482" s="115"/>
      <c r="H482" s="115"/>
      <c r="I482" s="115"/>
      <c r="J482" s="115"/>
      <c r="K482" s="112"/>
      <c r="L482" s="112"/>
      <c r="M482" s="112"/>
      <c r="N482" s="112"/>
      <c r="O482" s="112"/>
      <c r="P482" s="112"/>
      <c r="Q482" s="112"/>
      <c r="R482" s="112"/>
      <c r="S482" s="112"/>
      <c r="T482" s="112"/>
      <c r="U482" s="112"/>
      <c r="V482" s="112"/>
      <c r="W482" s="112"/>
      <c r="X482" s="112"/>
      <c r="Y482" s="112"/>
      <c r="Z482" s="112"/>
    </row>
    <row r="483" spans="1:26" x14ac:dyDescent="0.2">
      <c r="A483" s="113">
        <f>'THE BOARD'!A250</f>
        <v>0</v>
      </c>
      <c r="B483" s="115">
        <f>'THE BOARD'!B250</f>
        <v>0</v>
      </c>
      <c r="C483" s="115"/>
      <c r="D483" s="115"/>
      <c r="E483" s="115"/>
      <c r="F483" s="115"/>
      <c r="G483" s="115"/>
      <c r="H483" s="115"/>
      <c r="I483" s="115"/>
      <c r="J483" s="115"/>
      <c r="K483" s="112"/>
      <c r="L483" s="112"/>
      <c r="M483" s="112"/>
      <c r="N483" s="112"/>
      <c r="O483" s="112"/>
      <c r="P483" s="112"/>
      <c r="Q483" s="112"/>
      <c r="R483" s="112"/>
      <c r="S483" s="112"/>
      <c r="T483" s="112"/>
      <c r="U483" s="112"/>
      <c r="V483" s="112"/>
      <c r="W483" s="112"/>
      <c r="X483" s="112"/>
      <c r="Y483" s="112"/>
      <c r="Z483" s="112"/>
    </row>
    <row r="484" spans="1:26" x14ac:dyDescent="0.2">
      <c r="A484" s="113">
        <f>'THE BOARD'!A251</f>
        <v>0</v>
      </c>
      <c r="B484" s="115">
        <f>'THE BOARD'!B251</f>
        <v>0</v>
      </c>
      <c r="C484" s="115"/>
      <c r="D484" s="115"/>
      <c r="E484" s="115"/>
      <c r="F484" s="115"/>
      <c r="G484" s="115"/>
      <c r="H484" s="115"/>
      <c r="I484" s="115"/>
      <c r="J484" s="115"/>
      <c r="K484" s="112"/>
      <c r="L484" s="112"/>
      <c r="M484" s="112"/>
      <c r="N484" s="112"/>
      <c r="O484" s="112"/>
      <c r="P484" s="112"/>
      <c r="Q484" s="112"/>
      <c r="R484" s="112"/>
      <c r="S484" s="112"/>
      <c r="T484" s="112"/>
      <c r="U484" s="112"/>
      <c r="V484" s="112"/>
      <c r="W484" s="112"/>
      <c r="X484" s="112"/>
      <c r="Y484" s="112"/>
      <c r="Z484" s="112"/>
    </row>
    <row r="485" spans="1:26" x14ac:dyDescent="0.2">
      <c r="A485" s="113">
        <f>'THE BOARD'!A252</f>
        <v>0</v>
      </c>
      <c r="B485" s="115">
        <f>'THE BOARD'!B252</f>
        <v>0</v>
      </c>
      <c r="C485" s="115"/>
      <c r="D485" s="115"/>
      <c r="E485" s="115"/>
      <c r="F485" s="115"/>
      <c r="G485" s="115"/>
      <c r="H485" s="115"/>
      <c r="I485" s="115"/>
      <c r="J485" s="115"/>
      <c r="K485" s="112"/>
      <c r="L485" s="112"/>
      <c r="M485" s="112"/>
      <c r="N485" s="112"/>
      <c r="O485" s="112"/>
      <c r="P485" s="112"/>
      <c r="Q485" s="112"/>
      <c r="R485" s="112"/>
      <c r="S485" s="112"/>
      <c r="T485" s="112"/>
      <c r="U485" s="112"/>
      <c r="V485" s="112"/>
      <c r="W485" s="112"/>
      <c r="X485" s="112"/>
      <c r="Y485" s="112"/>
      <c r="Z485" s="112"/>
    </row>
    <row r="486" spans="1:26" x14ac:dyDescent="0.2">
      <c r="A486" s="113">
        <f>'THE BOARD'!A253</f>
        <v>0</v>
      </c>
      <c r="B486" s="115">
        <f>'THE BOARD'!B253</f>
        <v>0</v>
      </c>
      <c r="C486" s="115"/>
      <c r="D486" s="115"/>
      <c r="E486" s="115"/>
      <c r="F486" s="115"/>
      <c r="G486" s="115"/>
      <c r="H486" s="115"/>
      <c r="I486" s="115"/>
      <c r="J486" s="115"/>
      <c r="K486" s="112"/>
      <c r="L486" s="112"/>
      <c r="M486" s="112"/>
      <c r="N486" s="112"/>
      <c r="O486" s="112"/>
      <c r="P486" s="112"/>
      <c r="Q486" s="112"/>
      <c r="R486" s="112"/>
      <c r="S486" s="112"/>
      <c r="T486" s="112"/>
      <c r="U486" s="112"/>
      <c r="V486" s="112"/>
      <c r="W486" s="112"/>
      <c r="X486" s="112"/>
      <c r="Y486" s="112"/>
      <c r="Z486" s="112"/>
    </row>
    <row r="487" spans="1:26" x14ac:dyDescent="0.2">
      <c r="A487" s="113">
        <f>'THE BOARD'!A254</f>
        <v>0</v>
      </c>
      <c r="B487" s="115">
        <f>'THE BOARD'!B254</f>
        <v>0</v>
      </c>
      <c r="C487" s="115"/>
      <c r="D487" s="115"/>
      <c r="E487" s="115"/>
      <c r="F487" s="115"/>
      <c r="G487" s="115"/>
      <c r="H487" s="115"/>
      <c r="I487" s="115"/>
      <c r="J487" s="115"/>
      <c r="K487" s="112"/>
      <c r="L487" s="112"/>
      <c r="M487" s="112"/>
      <c r="N487" s="112"/>
      <c r="O487" s="112"/>
      <c r="P487" s="112"/>
      <c r="Q487" s="112"/>
      <c r="R487" s="112"/>
      <c r="S487" s="112"/>
      <c r="T487" s="112"/>
      <c r="U487" s="112"/>
      <c r="V487" s="112"/>
      <c r="W487" s="112"/>
      <c r="X487" s="112"/>
      <c r="Y487" s="112"/>
      <c r="Z487" s="112"/>
    </row>
    <row r="488" spans="1:26" x14ac:dyDescent="0.2">
      <c r="A488" s="113">
        <f>'THE BOARD'!A255</f>
        <v>0</v>
      </c>
      <c r="B488" s="115">
        <f>'THE BOARD'!B255</f>
        <v>0</v>
      </c>
      <c r="C488" s="115"/>
      <c r="D488" s="115"/>
      <c r="E488" s="115"/>
      <c r="F488" s="115"/>
      <c r="G488" s="115"/>
      <c r="H488" s="115"/>
      <c r="I488" s="115"/>
      <c r="J488" s="115"/>
      <c r="K488" s="112"/>
      <c r="L488" s="112"/>
      <c r="M488" s="112"/>
      <c r="N488" s="112"/>
      <c r="O488" s="112"/>
      <c r="P488" s="112"/>
      <c r="Q488" s="112"/>
      <c r="R488" s="112"/>
      <c r="S488" s="112"/>
      <c r="T488" s="112"/>
      <c r="U488" s="112"/>
      <c r="V488" s="112"/>
      <c r="W488" s="112"/>
      <c r="X488" s="112"/>
      <c r="Y488" s="112"/>
      <c r="Z488" s="112"/>
    </row>
    <row r="489" spans="1:26" x14ac:dyDescent="0.2">
      <c r="A489" s="113">
        <f>'THE BOARD'!A256</f>
        <v>0</v>
      </c>
      <c r="B489" s="115">
        <f>'THE BOARD'!B256</f>
        <v>0</v>
      </c>
      <c r="C489" s="115"/>
      <c r="D489" s="115"/>
      <c r="E489" s="115"/>
      <c r="F489" s="115"/>
      <c r="G489" s="115"/>
      <c r="H489" s="115"/>
      <c r="I489" s="115"/>
      <c r="J489" s="115"/>
      <c r="K489" s="112"/>
      <c r="L489" s="112"/>
      <c r="M489" s="112"/>
      <c r="N489" s="112"/>
      <c r="O489" s="112"/>
      <c r="P489" s="112"/>
      <c r="Q489" s="112"/>
      <c r="R489" s="112"/>
      <c r="S489" s="112"/>
      <c r="T489" s="112"/>
      <c r="U489" s="112"/>
      <c r="V489" s="112"/>
      <c r="W489" s="112"/>
      <c r="X489" s="112"/>
      <c r="Y489" s="112"/>
      <c r="Z489" s="112"/>
    </row>
    <row r="490" spans="1:26" x14ac:dyDescent="0.2">
      <c r="A490" s="113">
        <f>'THE BOARD'!A257</f>
        <v>0</v>
      </c>
      <c r="B490" s="115">
        <f>'THE BOARD'!B257</f>
        <v>0</v>
      </c>
      <c r="C490" s="115"/>
      <c r="D490" s="115"/>
      <c r="E490" s="115"/>
      <c r="F490" s="115"/>
      <c r="G490" s="115"/>
      <c r="H490" s="115"/>
      <c r="I490" s="115"/>
      <c r="J490" s="115"/>
      <c r="K490" s="112"/>
      <c r="L490" s="112"/>
      <c r="M490" s="112"/>
      <c r="N490" s="112"/>
      <c r="O490" s="112"/>
      <c r="P490" s="112"/>
      <c r="Q490" s="112"/>
      <c r="R490" s="112"/>
      <c r="S490" s="112"/>
      <c r="T490" s="112"/>
      <c r="U490" s="112"/>
      <c r="V490" s="112"/>
      <c r="W490" s="112"/>
      <c r="X490" s="112"/>
      <c r="Y490" s="112"/>
      <c r="Z490" s="112"/>
    </row>
    <row r="491" spans="1:26" x14ac:dyDescent="0.2">
      <c r="A491" s="113">
        <f>'THE BOARD'!A258</f>
        <v>0</v>
      </c>
      <c r="B491" s="115">
        <f>'THE BOARD'!B258</f>
        <v>0</v>
      </c>
      <c r="C491" s="115"/>
      <c r="D491" s="115"/>
      <c r="E491" s="115"/>
      <c r="F491" s="115"/>
      <c r="G491" s="115"/>
      <c r="H491" s="115"/>
      <c r="I491" s="115"/>
      <c r="J491" s="115"/>
      <c r="K491" s="112"/>
      <c r="L491" s="112"/>
      <c r="M491" s="112"/>
      <c r="N491" s="112"/>
      <c r="O491" s="112"/>
      <c r="P491" s="112"/>
      <c r="Q491" s="112"/>
      <c r="R491" s="112"/>
      <c r="S491" s="112"/>
      <c r="T491" s="112"/>
      <c r="U491" s="112"/>
      <c r="V491" s="112"/>
      <c r="W491" s="112"/>
      <c r="X491" s="112"/>
      <c r="Y491" s="112"/>
      <c r="Z491" s="112"/>
    </row>
    <row r="492" spans="1:26" x14ac:dyDescent="0.2">
      <c r="A492" s="113">
        <f>'THE BOARD'!A259</f>
        <v>0</v>
      </c>
      <c r="B492" s="115">
        <f>'THE BOARD'!B259</f>
        <v>0</v>
      </c>
      <c r="C492" s="115"/>
      <c r="D492" s="115"/>
      <c r="E492" s="115"/>
      <c r="F492" s="115"/>
      <c r="G492" s="115"/>
      <c r="H492" s="115"/>
      <c r="I492" s="115"/>
      <c r="J492" s="115"/>
      <c r="K492" s="112"/>
      <c r="L492" s="112"/>
      <c r="M492" s="112"/>
      <c r="N492" s="112"/>
      <c r="O492" s="112"/>
      <c r="P492" s="112"/>
      <c r="Q492" s="112"/>
      <c r="R492" s="112"/>
      <c r="S492" s="112"/>
      <c r="T492" s="112"/>
      <c r="U492" s="112"/>
      <c r="V492" s="112"/>
      <c r="W492" s="112"/>
      <c r="X492" s="112"/>
      <c r="Y492" s="112"/>
      <c r="Z492" s="112"/>
    </row>
    <row r="493" spans="1:26" x14ac:dyDescent="0.2">
      <c r="A493" s="113">
        <f>'THE BOARD'!A260</f>
        <v>0</v>
      </c>
      <c r="B493" s="115">
        <f>'THE BOARD'!B260</f>
        <v>0</v>
      </c>
      <c r="C493" s="115"/>
      <c r="D493" s="115"/>
      <c r="E493" s="115"/>
      <c r="F493" s="115"/>
      <c r="G493" s="115"/>
      <c r="H493" s="115"/>
      <c r="I493" s="115"/>
      <c r="J493" s="115"/>
      <c r="K493" s="112"/>
      <c r="L493" s="112"/>
      <c r="M493" s="112"/>
      <c r="N493" s="112"/>
      <c r="O493" s="112"/>
      <c r="P493" s="112"/>
      <c r="Q493" s="112"/>
      <c r="R493" s="112"/>
      <c r="S493" s="112"/>
      <c r="T493" s="112"/>
      <c r="U493" s="112"/>
      <c r="V493" s="112"/>
      <c r="W493" s="112"/>
      <c r="X493" s="112"/>
      <c r="Y493" s="112"/>
      <c r="Z493" s="112"/>
    </row>
    <row r="494" spans="1:26" x14ac:dyDescent="0.2">
      <c r="A494" s="113">
        <f>'THE BOARD'!A261</f>
        <v>0</v>
      </c>
      <c r="B494" s="115">
        <f>'THE BOARD'!B261</f>
        <v>0</v>
      </c>
      <c r="C494" s="115"/>
      <c r="D494" s="115"/>
      <c r="E494" s="115"/>
      <c r="F494" s="115"/>
      <c r="G494" s="115"/>
      <c r="H494" s="115"/>
      <c r="I494" s="115"/>
      <c r="J494" s="115"/>
      <c r="K494" s="112"/>
      <c r="L494" s="112"/>
      <c r="M494" s="112"/>
      <c r="N494" s="112"/>
      <c r="O494" s="112"/>
      <c r="P494" s="112"/>
      <c r="Q494" s="112"/>
      <c r="R494" s="112"/>
      <c r="S494" s="112"/>
      <c r="T494" s="112"/>
      <c r="U494" s="112"/>
      <c r="V494" s="112"/>
      <c r="W494" s="112"/>
      <c r="X494" s="112"/>
      <c r="Y494" s="112"/>
      <c r="Z494" s="112"/>
    </row>
    <row r="495" spans="1:26" x14ac:dyDescent="0.2">
      <c r="A495" s="113">
        <f>'THE BOARD'!A262</f>
        <v>0</v>
      </c>
      <c r="B495" s="115">
        <f>'THE BOARD'!B262</f>
        <v>0</v>
      </c>
      <c r="C495" s="115"/>
      <c r="D495" s="115"/>
      <c r="E495" s="115"/>
      <c r="F495" s="115"/>
      <c r="G495" s="115"/>
      <c r="H495" s="115"/>
      <c r="I495" s="115"/>
      <c r="J495" s="115"/>
      <c r="K495" s="112"/>
      <c r="L495" s="112"/>
      <c r="M495" s="112"/>
      <c r="N495" s="112"/>
      <c r="O495" s="112"/>
      <c r="P495" s="112"/>
      <c r="Q495" s="112"/>
      <c r="R495" s="112"/>
      <c r="S495" s="112"/>
      <c r="T495" s="112"/>
      <c r="U495" s="112"/>
      <c r="V495" s="112"/>
      <c r="W495" s="112"/>
      <c r="X495" s="112"/>
      <c r="Y495" s="112"/>
      <c r="Z495" s="112"/>
    </row>
    <row r="496" spans="1:26" x14ac:dyDescent="0.2">
      <c r="A496" s="113">
        <f>'THE BOARD'!A263</f>
        <v>0</v>
      </c>
      <c r="B496" s="115">
        <f>'THE BOARD'!B263</f>
        <v>0</v>
      </c>
      <c r="C496" s="115"/>
      <c r="D496" s="115"/>
      <c r="E496" s="115"/>
      <c r="F496" s="115"/>
      <c r="G496" s="115"/>
      <c r="H496" s="115"/>
      <c r="I496" s="115"/>
      <c r="J496" s="115"/>
      <c r="K496" s="112"/>
      <c r="L496" s="112"/>
      <c r="M496" s="112"/>
      <c r="N496" s="112"/>
      <c r="O496" s="112"/>
      <c r="P496" s="112"/>
      <c r="Q496" s="112"/>
      <c r="R496" s="112"/>
      <c r="S496" s="112"/>
      <c r="T496" s="112"/>
      <c r="U496" s="112"/>
      <c r="V496" s="112"/>
      <c r="W496" s="112"/>
      <c r="X496" s="112"/>
      <c r="Y496" s="112"/>
      <c r="Z496" s="112"/>
    </row>
    <row r="497" spans="1:26" x14ac:dyDescent="0.2">
      <c r="A497" s="113">
        <f>'THE BOARD'!A264</f>
        <v>0</v>
      </c>
      <c r="B497" s="115">
        <f>'THE BOARD'!B264</f>
        <v>0</v>
      </c>
      <c r="C497" s="115"/>
      <c r="D497" s="115"/>
      <c r="E497" s="115"/>
      <c r="F497" s="115"/>
      <c r="G497" s="115"/>
      <c r="H497" s="115"/>
      <c r="I497" s="115"/>
      <c r="J497" s="115"/>
      <c r="K497" s="112"/>
      <c r="L497" s="112"/>
      <c r="M497" s="112"/>
      <c r="N497" s="112"/>
      <c r="O497" s="112"/>
      <c r="P497" s="112"/>
      <c r="Q497" s="112"/>
      <c r="R497" s="112"/>
      <c r="S497" s="112"/>
      <c r="T497" s="112"/>
      <c r="U497" s="112"/>
      <c r="V497" s="112"/>
      <c r="W497" s="112"/>
      <c r="X497" s="112"/>
      <c r="Y497" s="112"/>
      <c r="Z497" s="112"/>
    </row>
    <row r="498" spans="1:26" x14ac:dyDescent="0.2">
      <c r="A498" s="113">
        <f>'THE BOARD'!A265</f>
        <v>0</v>
      </c>
      <c r="B498" s="115">
        <f>'THE BOARD'!B265</f>
        <v>0</v>
      </c>
      <c r="C498" s="115"/>
      <c r="D498" s="115"/>
      <c r="E498" s="115"/>
      <c r="F498" s="115"/>
      <c r="G498" s="115"/>
      <c r="H498" s="115"/>
      <c r="I498" s="115"/>
      <c r="J498" s="115"/>
      <c r="K498" s="112"/>
      <c r="L498" s="112"/>
      <c r="M498" s="112"/>
      <c r="N498" s="112"/>
      <c r="O498" s="112"/>
      <c r="P498" s="112"/>
      <c r="Q498" s="112"/>
      <c r="R498" s="112"/>
      <c r="S498" s="112"/>
      <c r="T498" s="112"/>
      <c r="U498" s="112"/>
      <c r="V498" s="112"/>
      <c r="W498" s="112"/>
      <c r="X498" s="112"/>
      <c r="Y498" s="112"/>
      <c r="Z498" s="112"/>
    </row>
    <row r="499" spans="1:26" x14ac:dyDescent="0.2">
      <c r="A499" s="113">
        <f>'THE BOARD'!A266</f>
        <v>0</v>
      </c>
      <c r="B499" s="115">
        <f>'THE BOARD'!B266</f>
        <v>0</v>
      </c>
      <c r="C499" s="115"/>
      <c r="D499" s="115"/>
      <c r="E499" s="115"/>
      <c r="F499" s="115"/>
      <c r="G499" s="115"/>
      <c r="H499" s="115"/>
      <c r="I499" s="115"/>
      <c r="J499" s="115"/>
      <c r="K499" s="112"/>
      <c r="L499" s="112"/>
      <c r="M499" s="112"/>
      <c r="N499" s="112"/>
      <c r="O499" s="112"/>
      <c r="P499" s="112"/>
      <c r="Q499" s="112"/>
      <c r="R499" s="112"/>
      <c r="S499" s="112"/>
      <c r="T499" s="112"/>
      <c r="U499" s="112"/>
      <c r="V499" s="112"/>
      <c r="W499" s="112"/>
      <c r="X499" s="112"/>
      <c r="Y499" s="112"/>
      <c r="Z499" s="112"/>
    </row>
    <row r="500" spans="1:26" x14ac:dyDescent="0.2">
      <c r="A500" s="113">
        <f>'THE BOARD'!A267</f>
        <v>0</v>
      </c>
      <c r="B500" s="115">
        <f>'THE BOARD'!B267</f>
        <v>0</v>
      </c>
      <c r="C500" s="115"/>
      <c r="D500" s="115"/>
      <c r="E500" s="115"/>
      <c r="F500" s="115"/>
      <c r="G500" s="115"/>
      <c r="H500" s="115"/>
      <c r="I500" s="115"/>
      <c r="J500" s="115"/>
      <c r="K500" s="112"/>
      <c r="L500" s="112"/>
      <c r="M500" s="112"/>
      <c r="N500" s="112"/>
      <c r="O500" s="112"/>
      <c r="P500" s="112"/>
      <c r="Q500" s="112"/>
      <c r="R500" s="112"/>
      <c r="S500" s="112"/>
      <c r="T500" s="112"/>
      <c r="U500" s="112"/>
      <c r="V500" s="112"/>
      <c r="W500" s="112"/>
      <c r="X500" s="112"/>
      <c r="Y500" s="112"/>
      <c r="Z500" s="112"/>
    </row>
    <row r="501" spans="1:26" x14ac:dyDescent="0.2">
      <c r="A501" s="113">
        <f>'THE BOARD'!A268</f>
        <v>0</v>
      </c>
      <c r="B501" s="115">
        <f>'THE BOARD'!B268</f>
        <v>0</v>
      </c>
      <c r="C501" s="115"/>
      <c r="D501" s="115"/>
      <c r="E501" s="115"/>
      <c r="F501" s="115"/>
      <c r="G501" s="115"/>
      <c r="H501" s="115"/>
      <c r="I501" s="115"/>
      <c r="J501" s="115"/>
      <c r="K501" s="112"/>
      <c r="L501" s="112"/>
      <c r="M501" s="112"/>
      <c r="N501" s="112"/>
      <c r="O501" s="112"/>
      <c r="P501" s="112"/>
      <c r="Q501" s="112"/>
      <c r="R501" s="112"/>
      <c r="S501" s="112"/>
      <c r="T501" s="112"/>
      <c r="U501" s="112"/>
      <c r="V501" s="112"/>
      <c r="W501" s="112"/>
      <c r="X501" s="112"/>
      <c r="Y501" s="112"/>
      <c r="Z501" s="112"/>
    </row>
    <row r="502" spans="1:26" x14ac:dyDescent="0.2">
      <c r="A502" s="113">
        <f>'THE BOARD'!A269</f>
        <v>0</v>
      </c>
      <c r="B502" s="115">
        <f>'THE BOARD'!B269</f>
        <v>0</v>
      </c>
      <c r="C502" s="115"/>
      <c r="D502" s="115"/>
      <c r="E502" s="115"/>
      <c r="F502" s="115"/>
      <c r="G502" s="115"/>
      <c r="H502" s="115"/>
      <c r="I502" s="115"/>
      <c r="J502" s="115"/>
      <c r="K502" s="112"/>
      <c r="L502" s="112"/>
      <c r="M502" s="112"/>
      <c r="N502" s="112"/>
      <c r="O502" s="112"/>
      <c r="P502" s="112"/>
      <c r="Q502" s="112"/>
      <c r="R502" s="112"/>
      <c r="S502" s="112"/>
      <c r="T502" s="112"/>
      <c r="U502" s="112"/>
      <c r="V502" s="112"/>
      <c r="W502" s="112"/>
      <c r="X502" s="112"/>
      <c r="Y502" s="112"/>
      <c r="Z502" s="112"/>
    </row>
    <row r="503" spans="1:26" x14ac:dyDescent="0.2">
      <c r="A503" s="113">
        <f>'THE BOARD'!A270</f>
        <v>0</v>
      </c>
      <c r="B503" s="115">
        <f>'THE BOARD'!B270</f>
        <v>0</v>
      </c>
      <c r="C503" s="115"/>
      <c r="D503" s="115"/>
      <c r="E503" s="115"/>
      <c r="F503" s="115"/>
      <c r="G503" s="115"/>
      <c r="H503" s="115"/>
      <c r="I503" s="115"/>
      <c r="J503" s="115"/>
      <c r="K503" s="112"/>
      <c r="L503" s="112"/>
      <c r="M503" s="112"/>
      <c r="N503" s="112"/>
      <c r="O503" s="112"/>
      <c r="P503" s="112"/>
      <c r="Q503" s="112"/>
      <c r="R503" s="112"/>
      <c r="S503" s="112"/>
      <c r="T503" s="112"/>
      <c r="U503" s="112"/>
      <c r="V503" s="112"/>
      <c r="W503" s="112"/>
      <c r="X503" s="112"/>
      <c r="Y503" s="112"/>
      <c r="Z503" s="112"/>
    </row>
    <row r="504" spans="1:26" x14ac:dyDescent="0.2">
      <c r="A504" s="113">
        <f>'THE BOARD'!A271</f>
        <v>0</v>
      </c>
      <c r="B504" s="115">
        <f>'THE BOARD'!B271</f>
        <v>0</v>
      </c>
      <c r="C504" s="115"/>
      <c r="D504" s="115"/>
      <c r="E504" s="115"/>
      <c r="F504" s="115"/>
      <c r="G504" s="115"/>
      <c r="H504" s="115"/>
      <c r="I504" s="115"/>
      <c r="J504" s="115"/>
      <c r="K504" s="112"/>
      <c r="L504" s="112"/>
      <c r="M504" s="112"/>
      <c r="N504" s="112"/>
      <c r="O504" s="112"/>
      <c r="P504" s="112"/>
      <c r="Q504" s="112"/>
      <c r="R504" s="112"/>
      <c r="S504" s="112"/>
      <c r="T504" s="112"/>
      <c r="U504" s="112"/>
      <c r="V504" s="112"/>
      <c r="W504" s="112"/>
      <c r="X504" s="112"/>
      <c r="Y504" s="112"/>
      <c r="Z504" s="112"/>
    </row>
    <row r="505" spans="1:26" x14ac:dyDescent="0.2">
      <c r="A505" s="113">
        <f>'THE BOARD'!A272</f>
        <v>0</v>
      </c>
      <c r="B505" s="115">
        <f>'THE BOARD'!B272</f>
        <v>0</v>
      </c>
      <c r="C505" s="115"/>
      <c r="D505" s="115"/>
      <c r="E505" s="115"/>
      <c r="F505" s="115"/>
      <c r="G505" s="115"/>
      <c r="H505" s="115"/>
      <c r="I505" s="115"/>
      <c r="J505" s="115"/>
      <c r="K505" s="112"/>
      <c r="L505" s="112"/>
      <c r="M505" s="112"/>
      <c r="N505" s="112"/>
      <c r="O505" s="112"/>
      <c r="P505" s="112"/>
      <c r="Q505" s="112"/>
      <c r="R505" s="112"/>
      <c r="S505" s="112"/>
      <c r="T505" s="112"/>
      <c r="U505" s="112"/>
      <c r="V505" s="112"/>
      <c r="W505" s="112"/>
      <c r="X505" s="112"/>
      <c r="Y505" s="112"/>
      <c r="Z505" s="112"/>
    </row>
    <row r="506" spans="1:26" x14ac:dyDescent="0.2">
      <c r="A506" s="113">
        <f>'THE BOARD'!A273</f>
        <v>0</v>
      </c>
      <c r="B506" s="115">
        <f>'THE BOARD'!B273</f>
        <v>0</v>
      </c>
      <c r="C506" s="115"/>
      <c r="D506" s="115"/>
      <c r="E506" s="115"/>
      <c r="F506" s="115"/>
      <c r="G506" s="115"/>
      <c r="H506" s="115"/>
      <c r="I506" s="115"/>
      <c r="J506" s="115"/>
      <c r="K506" s="112"/>
      <c r="L506" s="112"/>
      <c r="M506" s="112"/>
      <c r="N506" s="112"/>
      <c r="O506" s="112"/>
      <c r="P506" s="112"/>
      <c r="Q506" s="112"/>
      <c r="R506" s="112"/>
      <c r="S506" s="112"/>
      <c r="T506" s="112"/>
      <c r="U506" s="112"/>
      <c r="V506" s="112"/>
      <c r="W506" s="112"/>
      <c r="X506" s="112"/>
      <c r="Y506" s="112"/>
      <c r="Z506" s="112"/>
    </row>
    <row r="507" spans="1:26" x14ac:dyDescent="0.2">
      <c r="A507" s="113">
        <f>'THE BOARD'!A274</f>
        <v>0</v>
      </c>
      <c r="B507" s="115">
        <f>'THE BOARD'!B274</f>
        <v>0</v>
      </c>
      <c r="C507" s="115"/>
      <c r="D507" s="115"/>
      <c r="E507" s="115"/>
      <c r="F507" s="115"/>
      <c r="G507" s="115"/>
      <c r="H507" s="115"/>
      <c r="I507" s="115"/>
      <c r="J507" s="115"/>
      <c r="K507" s="112"/>
      <c r="L507" s="112"/>
      <c r="M507" s="112"/>
      <c r="N507" s="112"/>
      <c r="O507" s="112"/>
      <c r="P507" s="112"/>
      <c r="Q507" s="112"/>
      <c r="R507" s="112"/>
      <c r="S507" s="112"/>
      <c r="T507" s="112"/>
      <c r="U507" s="112"/>
      <c r="V507" s="112"/>
      <c r="W507" s="112"/>
      <c r="X507" s="112"/>
      <c r="Y507" s="112"/>
      <c r="Z507" s="112"/>
    </row>
    <row r="508" spans="1:26" x14ac:dyDescent="0.2">
      <c r="A508" s="113">
        <f>'THE BOARD'!A275</f>
        <v>0</v>
      </c>
      <c r="B508" s="115">
        <f>'THE BOARD'!B275</f>
        <v>0</v>
      </c>
      <c r="C508" s="115"/>
      <c r="D508" s="115"/>
      <c r="E508" s="115"/>
      <c r="F508" s="115"/>
      <c r="G508" s="115"/>
      <c r="H508" s="115"/>
      <c r="I508" s="115"/>
      <c r="J508" s="115"/>
      <c r="K508" s="112"/>
      <c r="L508" s="112"/>
      <c r="M508" s="112"/>
      <c r="N508" s="112"/>
      <c r="O508" s="112"/>
      <c r="P508" s="112"/>
      <c r="Q508" s="112"/>
      <c r="R508" s="112"/>
      <c r="S508" s="112"/>
      <c r="T508" s="112"/>
      <c r="U508" s="112"/>
      <c r="V508" s="112"/>
      <c r="W508" s="112"/>
      <c r="X508" s="112"/>
      <c r="Y508" s="112"/>
      <c r="Z508" s="112"/>
    </row>
    <row r="509" spans="1:26" x14ac:dyDescent="0.2">
      <c r="A509" s="113">
        <f>'THE BOARD'!A276</f>
        <v>0</v>
      </c>
      <c r="B509" s="115">
        <f>'THE BOARD'!B276</f>
        <v>0</v>
      </c>
      <c r="C509" s="115"/>
      <c r="D509" s="115"/>
      <c r="E509" s="115"/>
      <c r="F509" s="115"/>
      <c r="G509" s="115"/>
      <c r="H509" s="115"/>
      <c r="I509" s="115"/>
      <c r="J509" s="115"/>
      <c r="K509" s="112"/>
      <c r="L509" s="112"/>
      <c r="M509" s="112"/>
      <c r="N509" s="112"/>
      <c r="O509" s="112"/>
      <c r="P509" s="112"/>
      <c r="Q509" s="112"/>
      <c r="R509" s="112"/>
      <c r="S509" s="112"/>
      <c r="T509" s="112"/>
      <c r="U509" s="112"/>
      <c r="V509" s="112"/>
      <c r="W509" s="112"/>
      <c r="X509" s="112"/>
      <c r="Y509" s="112"/>
      <c r="Z509" s="112"/>
    </row>
    <row r="510" spans="1:26" x14ac:dyDescent="0.2">
      <c r="A510" s="113">
        <f>'THE BOARD'!A277</f>
        <v>0</v>
      </c>
      <c r="B510" s="115">
        <f>'THE BOARD'!B277</f>
        <v>0</v>
      </c>
      <c r="C510" s="115"/>
      <c r="D510" s="115"/>
      <c r="E510" s="115"/>
      <c r="F510" s="115"/>
      <c r="G510" s="115"/>
      <c r="H510" s="115"/>
      <c r="I510" s="115"/>
      <c r="J510" s="115"/>
      <c r="K510" s="112"/>
      <c r="L510" s="112"/>
      <c r="M510" s="112"/>
      <c r="N510" s="112"/>
      <c r="O510" s="112"/>
      <c r="P510" s="112"/>
      <c r="Q510" s="112"/>
      <c r="R510" s="112"/>
      <c r="S510" s="112"/>
      <c r="T510" s="112"/>
      <c r="U510" s="112"/>
      <c r="V510" s="112"/>
      <c r="W510" s="112"/>
      <c r="X510" s="112"/>
      <c r="Y510" s="112"/>
      <c r="Z510" s="112"/>
    </row>
    <row r="511" spans="1:26" x14ac:dyDescent="0.2">
      <c r="A511" s="113">
        <f>'THE BOARD'!A278</f>
        <v>0</v>
      </c>
      <c r="B511" s="115">
        <f>'THE BOARD'!B278</f>
        <v>0</v>
      </c>
      <c r="C511" s="115"/>
      <c r="D511" s="115"/>
      <c r="E511" s="115"/>
      <c r="F511" s="115"/>
      <c r="G511" s="115"/>
      <c r="H511" s="115"/>
      <c r="I511" s="115"/>
      <c r="J511" s="115"/>
      <c r="K511" s="112"/>
      <c r="L511" s="112"/>
      <c r="M511" s="112"/>
      <c r="N511" s="112"/>
      <c r="O511" s="112"/>
      <c r="P511" s="112"/>
      <c r="Q511" s="112"/>
      <c r="R511" s="112"/>
      <c r="S511" s="112"/>
      <c r="T511" s="112"/>
      <c r="U511" s="112"/>
      <c r="V511" s="112"/>
      <c r="W511" s="112"/>
      <c r="X511" s="112"/>
      <c r="Y511" s="112"/>
      <c r="Z511" s="112"/>
    </row>
    <row r="512" spans="1:26" x14ac:dyDescent="0.2">
      <c r="A512" s="113">
        <f>'THE BOARD'!A279</f>
        <v>0</v>
      </c>
      <c r="B512" s="115">
        <f>'THE BOARD'!B279</f>
        <v>0</v>
      </c>
      <c r="C512" s="115"/>
      <c r="D512" s="115"/>
      <c r="E512" s="115"/>
      <c r="F512" s="115"/>
      <c r="G512" s="115"/>
      <c r="H512" s="115"/>
      <c r="I512" s="115"/>
      <c r="J512" s="115"/>
      <c r="K512" s="112"/>
      <c r="L512" s="112"/>
      <c r="M512" s="112"/>
      <c r="N512" s="112"/>
      <c r="O512" s="112"/>
      <c r="P512" s="112"/>
      <c r="Q512" s="112"/>
      <c r="R512" s="112"/>
      <c r="S512" s="112"/>
      <c r="T512" s="112"/>
      <c r="U512" s="112"/>
      <c r="V512" s="112"/>
      <c r="W512" s="112"/>
      <c r="X512" s="112"/>
      <c r="Y512" s="112"/>
      <c r="Z512" s="112"/>
    </row>
    <row r="513" spans="1:26" x14ac:dyDescent="0.2">
      <c r="A513" s="113">
        <f>'THE BOARD'!A280</f>
        <v>0</v>
      </c>
      <c r="B513" s="115">
        <f>'THE BOARD'!B280</f>
        <v>0</v>
      </c>
      <c r="C513" s="115"/>
      <c r="D513" s="115"/>
      <c r="E513" s="115"/>
      <c r="F513" s="115"/>
      <c r="G513" s="115"/>
      <c r="H513" s="115"/>
      <c r="I513" s="115"/>
      <c r="J513" s="115"/>
      <c r="K513" s="112"/>
      <c r="L513" s="112"/>
      <c r="M513" s="112"/>
      <c r="N513" s="112"/>
      <c r="O513" s="112"/>
      <c r="P513" s="112"/>
      <c r="Q513" s="112"/>
      <c r="R513" s="112"/>
      <c r="S513" s="112"/>
      <c r="T513" s="112"/>
      <c r="U513" s="112"/>
      <c r="V513" s="112"/>
      <c r="W513" s="112"/>
      <c r="X513" s="112"/>
      <c r="Y513" s="112"/>
      <c r="Z513" s="112"/>
    </row>
    <row r="514" spans="1:26" x14ac:dyDescent="0.2">
      <c r="A514" s="113">
        <f>'THE BOARD'!A281</f>
        <v>0</v>
      </c>
      <c r="B514" s="115">
        <f>'THE BOARD'!B281</f>
        <v>0</v>
      </c>
      <c r="C514" s="115"/>
      <c r="D514" s="115"/>
      <c r="E514" s="115"/>
      <c r="F514" s="115"/>
      <c r="G514" s="115"/>
      <c r="H514" s="115"/>
      <c r="I514" s="115"/>
      <c r="J514" s="115"/>
      <c r="K514" s="112"/>
      <c r="L514" s="112"/>
      <c r="M514" s="112"/>
      <c r="N514" s="112"/>
      <c r="O514" s="112"/>
      <c r="P514" s="112"/>
      <c r="Q514" s="112"/>
      <c r="R514" s="112"/>
      <c r="S514" s="112"/>
      <c r="T514" s="112"/>
      <c r="U514" s="112"/>
      <c r="V514" s="112"/>
      <c r="W514" s="112"/>
      <c r="X514" s="112"/>
      <c r="Y514" s="112"/>
      <c r="Z514" s="112"/>
    </row>
    <row r="515" spans="1:26" x14ac:dyDescent="0.2">
      <c r="A515" s="113">
        <f>'THE BOARD'!A282</f>
        <v>0</v>
      </c>
      <c r="B515" s="115">
        <f>'THE BOARD'!B282</f>
        <v>0</v>
      </c>
      <c r="C515" s="115"/>
      <c r="D515" s="115"/>
      <c r="E515" s="115"/>
      <c r="F515" s="115"/>
      <c r="G515" s="115"/>
      <c r="H515" s="115"/>
      <c r="I515" s="115"/>
      <c r="J515" s="115"/>
      <c r="K515" s="112"/>
      <c r="L515" s="112"/>
      <c r="M515" s="112"/>
      <c r="N515" s="112"/>
      <c r="O515" s="112"/>
      <c r="P515" s="112"/>
      <c r="Q515" s="112"/>
      <c r="R515" s="112"/>
      <c r="S515" s="112"/>
      <c r="T515" s="112"/>
      <c r="U515" s="112"/>
      <c r="V515" s="112"/>
      <c r="W515" s="112"/>
      <c r="X515" s="112"/>
      <c r="Y515" s="112"/>
      <c r="Z515" s="112"/>
    </row>
    <row r="516" spans="1:26" x14ac:dyDescent="0.2">
      <c r="A516" s="113">
        <f>'THE BOARD'!A283</f>
        <v>0</v>
      </c>
      <c r="B516" s="115">
        <f>'THE BOARD'!B283</f>
        <v>0</v>
      </c>
      <c r="C516" s="115"/>
      <c r="D516" s="115"/>
      <c r="E516" s="115"/>
      <c r="F516" s="115"/>
      <c r="G516" s="115"/>
      <c r="H516" s="115"/>
      <c r="I516" s="115"/>
      <c r="J516" s="115"/>
      <c r="K516" s="112"/>
      <c r="L516" s="112"/>
      <c r="M516" s="112"/>
      <c r="N516" s="112"/>
      <c r="O516" s="112"/>
      <c r="P516" s="112"/>
      <c r="Q516" s="112"/>
      <c r="R516" s="112"/>
      <c r="S516" s="112"/>
      <c r="T516" s="112"/>
      <c r="U516" s="112"/>
      <c r="V516" s="112"/>
      <c r="W516" s="112"/>
      <c r="X516" s="112"/>
      <c r="Y516" s="112"/>
      <c r="Z516" s="112"/>
    </row>
    <row r="517" spans="1:26" x14ac:dyDescent="0.2">
      <c r="A517" s="113">
        <f>'THE BOARD'!A284</f>
        <v>0</v>
      </c>
      <c r="B517" s="115">
        <f>'THE BOARD'!B284</f>
        <v>0</v>
      </c>
      <c r="C517" s="115"/>
      <c r="D517" s="115"/>
      <c r="E517" s="115"/>
      <c r="F517" s="115"/>
      <c r="G517" s="115"/>
      <c r="H517" s="115"/>
      <c r="I517" s="115"/>
      <c r="J517" s="115"/>
      <c r="K517" s="112"/>
      <c r="L517" s="112"/>
      <c r="M517" s="112"/>
      <c r="N517" s="112"/>
      <c r="O517" s="112"/>
      <c r="P517" s="112"/>
      <c r="Q517" s="112"/>
      <c r="R517" s="112"/>
      <c r="S517" s="112"/>
      <c r="T517" s="112"/>
      <c r="U517" s="112"/>
      <c r="V517" s="112"/>
      <c r="W517" s="112"/>
      <c r="X517" s="112"/>
      <c r="Y517" s="112"/>
      <c r="Z517" s="112"/>
    </row>
    <row r="518" spans="1:26" x14ac:dyDescent="0.2">
      <c r="A518" s="113">
        <f>'THE BOARD'!A285</f>
        <v>0</v>
      </c>
      <c r="B518" s="115">
        <f>'THE BOARD'!B285</f>
        <v>0</v>
      </c>
      <c r="C518" s="115"/>
      <c r="D518" s="115"/>
      <c r="E518" s="115"/>
      <c r="F518" s="115"/>
      <c r="G518" s="115"/>
      <c r="H518" s="115"/>
      <c r="I518" s="115"/>
      <c r="J518" s="115"/>
      <c r="K518" s="112"/>
      <c r="L518" s="112"/>
      <c r="M518" s="112"/>
      <c r="N518" s="112"/>
      <c r="O518" s="112"/>
      <c r="P518" s="112"/>
      <c r="Q518" s="112"/>
      <c r="R518" s="112"/>
      <c r="S518" s="112"/>
      <c r="T518" s="112"/>
      <c r="U518" s="112"/>
      <c r="V518" s="112"/>
      <c r="W518" s="112"/>
      <c r="X518" s="112"/>
      <c r="Y518" s="112"/>
      <c r="Z518" s="112"/>
    </row>
    <row r="519" spans="1:26" x14ac:dyDescent="0.2">
      <c r="A519" s="113">
        <f>'THE BOARD'!A286</f>
        <v>0</v>
      </c>
      <c r="B519" s="115">
        <f>'THE BOARD'!B286</f>
        <v>0</v>
      </c>
      <c r="C519" s="115"/>
      <c r="D519" s="115"/>
      <c r="E519" s="115"/>
      <c r="F519" s="115"/>
      <c r="G519" s="115"/>
      <c r="H519" s="115"/>
      <c r="I519" s="115"/>
      <c r="J519" s="115"/>
      <c r="K519" s="112"/>
      <c r="L519" s="112"/>
      <c r="M519" s="112"/>
      <c r="N519" s="112"/>
      <c r="O519" s="112"/>
      <c r="P519" s="112"/>
      <c r="Q519" s="112"/>
      <c r="R519" s="112"/>
      <c r="S519" s="112"/>
      <c r="T519" s="112"/>
      <c r="U519" s="112"/>
      <c r="V519" s="112"/>
      <c r="W519" s="112"/>
      <c r="X519" s="112"/>
      <c r="Y519" s="112"/>
      <c r="Z519" s="112"/>
    </row>
    <row r="520" spans="1:26" x14ac:dyDescent="0.2">
      <c r="A520" s="113">
        <f>'THE BOARD'!A287</f>
        <v>0</v>
      </c>
      <c r="B520" s="115">
        <f>'THE BOARD'!B287</f>
        <v>0</v>
      </c>
      <c r="C520" s="115"/>
      <c r="D520" s="115"/>
      <c r="E520" s="115"/>
      <c r="F520" s="115"/>
      <c r="G520" s="115"/>
      <c r="H520" s="115"/>
      <c r="I520" s="115"/>
      <c r="J520" s="115"/>
      <c r="K520" s="112"/>
      <c r="L520" s="112"/>
      <c r="M520" s="112"/>
      <c r="N520" s="112"/>
      <c r="O520" s="112"/>
      <c r="P520" s="112"/>
      <c r="Q520" s="112"/>
      <c r="R520" s="112"/>
      <c r="S520" s="112"/>
      <c r="T520" s="112"/>
      <c r="U520" s="112"/>
      <c r="V520" s="112"/>
      <c r="W520" s="112"/>
      <c r="X520" s="112"/>
      <c r="Y520" s="112"/>
      <c r="Z520" s="112"/>
    </row>
    <row r="521" spans="1:26" x14ac:dyDescent="0.2">
      <c r="A521" s="113">
        <f>'THE BOARD'!A288</f>
        <v>0</v>
      </c>
      <c r="B521" s="115">
        <f>'THE BOARD'!B288</f>
        <v>0</v>
      </c>
      <c r="C521" s="115"/>
      <c r="D521" s="115"/>
      <c r="E521" s="115"/>
      <c r="F521" s="115"/>
      <c r="G521" s="115"/>
      <c r="H521" s="115"/>
      <c r="I521" s="115"/>
      <c r="J521" s="115"/>
      <c r="K521" s="112"/>
      <c r="L521" s="112"/>
      <c r="M521" s="112"/>
      <c r="N521" s="112"/>
      <c r="O521" s="112"/>
      <c r="P521" s="112"/>
      <c r="Q521" s="112"/>
      <c r="R521" s="112"/>
      <c r="S521" s="112"/>
      <c r="T521" s="112"/>
      <c r="U521" s="112"/>
      <c r="V521" s="112"/>
      <c r="W521" s="112"/>
      <c r="X521" s="112"/>
      <c r="Y521" s="112"/>
      <c r="Z521" s="112"/>
    </row>
    <row r="522" spans="1:26" x14ac:dyDescent="0.2">
      <c r="A522" s="113">
        <f>'THE BOARD'!A289</f>
        <v>0</v>
      </c>
      <c r="B522" s="115">
        <f>'THE BOARD'!B289</f>
        <v>0</v>
      </c>
      <c r="C522" s="115"/>
      <c r="D522" s="115"/>
      <c r="E522" s="115"/>
      <c r="F522" s="115"/>
      <c r="G522" s="115"/>
      <c r="H522" s="115"/>
      <c r="I522" s="115"/>
      <c r="J522" s="115"/>
      <c r="K522" s="112"/>
      <c r="L522" s="112"/>
      <c r="M522" s="112"/>
      <c r="N522" s="112"/>
      <c r="O522" s="112"/>
      <c r="P522" s="112"/>
      <c r="Q522" s="112"/>
      <c r="R522" s="112"/>
      <c r="S522" s="112"/>
      <c r="T522" s="112"/>
      <c r="U522" s="112"/>
      <c r="V522" s="112"/>
      <c r="W522" s="112"/>
      <c r="X522" s="112"/>
      <c r="Y522" s="112"/>
      <c r="Z522" s="112"/>
    </row>
    <row r="523" spans="1:26" x14ac:dyDescent="0.2">
      <c r="A523" s="113">
        <f>'THE BOARD'!A290</f>
        <v>0</v>
      </c>
      <c r="B523" s="115">
        <f>'THE BOARD'!B290</f>
        <v>0</v>
      </c>
      <c r="C523" s="115"/>
      <c r="D523" s="115"/>
      <c r="E523" s="115"/>
      <c r="F523" s="115"/>
      <c r="G523" s="115"/>
      <c r="H523" s="115"/>
      <c r="I523" s="115"/>
      <c r="J523" s="115"/>
      <c r="K523" s="112"/>
      <c r="L523" s="112"/>
      <c r="M523" s="112"/>
      <c r="N523" s="112"/>
      <c r="O523" s="112"/>
      <c r="P523" s="112"/>
      <c r="Q523" s="112"/>
      <c r="R523" s="112"/>
      <c r="S523" s="112"/>
      <c r="T523" s="112"/>
      <c r="U523" s="112"/>
      <c r="V523" s="112"/>
      <c r="W523" s="112"/>
      <c r="X523" s="112"/>
      <c r="Y523" s="112"/>
      <c r="Z523" s="112"/>
    </row>
    <row r="524" spans="1:26" x14ac:dyDescent="0.2">
      <c r="A524" s="113">
        <f>'THE BOARD'!A291</f>
        <v>0</v>
      </c>
      <c r="B524" s="115">
        <f>'THE BOARD'!B291</f>
        <v>0</v>
      </c>
      <c r="C524" s="115"/>
      <c r="D524" s="115"/>
      <c r="E524" s="115"/>
      <c r="F524" s="115"/>
      <c r="G524" s="115"/>
      <c r="H524" s="115"/>
      <c r="I524" s="115"/>
      <c r="J524" s="115"/>
      <c r="K524" s="112"/>
      <c r="L524" s="112"/>
      <c r="M524" s="112"/>
      <c r="N524" s="112"/>
      <c r="O524" s="112"/>
      <c r="P524" s="112"/>
      <c r="Q524" s="112"/>
      <c r="R524" s="112"/>
      <c r="S524" s="112"/>
      <c r="T524" s="112"/>
      <c r="U524" s="112"/>
      <c r="V524" s="112"/>
      <c r="W524" s="112"/>
      <c r="X524" s="112"/>
      <c r="Y524" s="112"/>
      <c r="Z524" s="112"/>
    </row>
    <row r="525" spans="1:26" x14ac:dyDescent="0.2">
      <c r="A525" s="113">
        <f>'THE BOARD'!A292</f>
        <v>0</v>
      </c>
      <c r="B525" s="115">
        <f>'THE BOARD'!B292</f>
        <v>0</v>
      </c>
      <c r="C525" s="115"/>
      <c r="D525" s="115"/>
      <c r="E525" s="115"/>
      <c r="F525" s="115"/>
      <c r="G525" s="115"/>
      <c r="H525" s="115"/>
      <c r="I525" s="115"/>
      <c r="J525" s="115"/>
      <c r="K525" s="112"/>
      <c r="L525" s="112"/>
      <c r="M525" s="112"/>
      <c r="N525" s="112"/>
      <c r="O525" s="112"/>
      <c r="P525" s="112"/>
      <c r="Q525" s="112"/>
      <c r="R525" s="112"/>
      <c r="S525" s="112"/>
      <c r="T525" s="112"/>
      <c r="U525" s="112"/>
      <c r="V525" s="112"/>
      <c r="W525" s="112"/>
      <c r="X525" s="112"/>
      <c r="Y525" s="112"/>
      <c r="Z525" s="112"/>
    </row>
    <row r="526" spans="1:26" x14ac:dyDescent="0.2">
      <c r="A526" s="113">
        <f>'THE BOARD'!A293</f>
        <v>0</v>
      </c>
      <c r="B526" s="115">
        <f>'THE BOARD'!B293</f>
        <v>0</v>
      </c>
      <c r="C526" s="115"/>
      <c r="D526" s="115"/>
      <c r="E526" s="115"/>
      <c r="F526" s="115"/>
      <c r="G526" s="115"/>
      <c r="H526" s="115"/>
      <c r="I526" s="115"/>
      <c r="J526" s="115"/>
      <c r="K526" s="112"/>
      <c r="L526" s="112"/>
      <c r="M526" s="112"/>
      <c r="N526" s="112"/>
      <c r="O526" s="112"/>
      <c r="P526" s="112"/>
      <c r="Q526" s="112"/>
      <c r="R526" s="112"/>
      <c r="S526" s="112"/>
      <c r="T526" s="112"/>
      <c r="U526" s="112"/>
      <c r="V526" s="112"/>
      <c r="W526" s="112"/>
      <c r="X526" s="112"/>
      <c r="Y526" s="112"/>
      <c r="Z526" s="112"/>
    </row>
    <row r="527" spans="1:26" x14ac:dyDescent="0.2">
      <c r="A527" s="113">
        <f>'THE BOARD'!A294</f>
        <v>0</v>
      </c>
      <c r="B527" s="115">
        <f>'THE BOARD'!B294</f>
        <v>0</v>
      </c>
      <c r="C527" s="115"/>
      <c r="D527" s="115"/>
      <c r="E527" s="115"/>
      <c r="F527" s="115"/>
      <c r="G527" s="115"/>
      <c r="H527" s="115"/>
      <c r="I527" s="115"/>
      <c r="J527" s="115"/>
      <c r="K527" s="112"/>
      <c r="L527" s="112"/>
      <c r="M527" s="112"/>
      <c r="N527" s="112"/>
      <c r="O527" s="112"/>
      <c r="P527" s="112"/>
      <c r="Q527" s="112"/>
      <c r="R527" s="112"/>
      <c r="S527" s="112"/>
      <c r="T527" s="112"/>
      <c r="U527" s="112"/>
      <c r="V527" s="112"/>
      <c r="W527" s="112"/>
      <c r="X527" s="112"/>
      <c r="Y527" s="112"/>
      <c r="Z527" s="112"/>
    </row>
    <row r="528" spans="1:26" x14ac:dyDescent="0.2">
      <c r="A528" s="113">
        <f>'THE BOARD'!A295</f>
        <v>0</v>
      </c>
      <c r="B528" s="115">
        <f>'THE BOARD'!B295</f>
        <v>0</v>
      </c>
      <c r="C528" s="115"/>
      <c r="D528" s="115"/>
      <c r="E528" s="115"/>
      <c r="F528" s="115"/>
      <c r="G528" s="115"/>
      <c r="H528" s="115"/>
      <c r="I528" s="115"/>
      <c r="J528" s="115"/>
      <c r="K528" s="112"/>
      <c r="L528" s="112"/>
      <c r="M528" s="112"/>
      <c r="N528" s="112"/>
      <c r="O528" s="112"/>
      <c r="P528" s="112"/>
      <c r="Q528" s="112"/>
      <c r="R528" s="112"/>
      <c r="S528" s="112"/>
      <c r="T528" s="112"/>
      <c r="U528" s="112"/>
      <c r="V528" s="112"/>
      <c r="W528" s="112"/>
      <c r="X528" s="112"/>
      <c r="Y528" s="112"/>
      <c r="Z528" s="112"/>
    </row>
    <row r="529" spans="1:26" x14ac:dyDescent="0.2">
      <c r="A529" s="113">
        <f>'THE BOARD'!A296</f>
        <v>0</v>
      </c>
      <c r="B529" s="115">
        <f>'THE BOARD'!B296</f>
        <v>0</v>
      </c>
      <c r="C529" s="115"/>
      <c r="D529" s="115"/>
      <c r="E529" s="115"/>
      <c r="F529" s="115"/>
      <c r="G529" s="115"/>
      <c r="H529" s="115"/>
      <c r="I529" s="115"/>
      <c r="J529" s="115"/>
      <c r="K529" s="112"/>
      <c r="L529" s="112"/>
      <c r="M529" s="112"/>
      <c r="N529" s="112"/>
      <c r="O529" s="112"/>
      <c r="P529" s="112"/>
      <c r="Q529" s="112"/>
      <c r="R529" s="112"/>
      <c r="S529" s="112"/>
      <c r="T529" s="112"/>
      <c r="U529" s="112"/>
      <c r="V529" s="112"/>
      <c r="W529" s="112"/>
      <c r="X529" s="112"/>
      <c r="Y529" s="112"/>
      <c r="Z529" s="112"/>
    </row>
    <row r="530" spans="1:26" x14ac:dyDescent="0.2">
      <c r="A530" s="113">
        <f>'THE BOARD'!A297</f>
        <v>0</v>
      </c>
      <c r="B530" s="115">
        <f>'THE BOARD'!B297</f>
        <v>0</v>
      </c>
      <c r="C530" s="115"/>
      <c r="D530" s="115"/>
      <c r="E530" s="115"/>
      <c r="F530" s="115"/>
      <c r="G530" s="115"/>
      <c r="H530" s="115"/>
      <c r="I530" s="115"/>
      <c r="J530" s="115"/>
      <c r="K530" s="112"/>
      <c r="L530" s="112"/>
      <c r="M530" s="112"/>
      <c r="N530" s="112"/>
      <c r="O530" s="112"/>
      <c r="P530" s="112"/>
      <c r="Q530" s="112"/>
      <c r="R530" s="112"/>
      <c r="S530" s="112"/>
      <c r="T530" s="112"/>
      <c r="U530" s="112"/>
      <c r="V530" s="112"/>
      <c r="W530" s="112"/>
      <c r="X530" s="112"/>
      <c r="Y530" s="112"/>
      <c r="Z530" s="112"/>
    </row>
    <row r="531" spans="1:26" x14ac:dyDescent="0.2">
      <c r="A531" s="113">
        <f>'THE BOARD'!A298</f>
        <v>0</v>
      </c>
      <c r="B531" s="115">
        <f>'THE BOARD'!B298</f>
        <v>0</v>
      </c>
      <c r="C531" s="115"/>
      <c r="D531" s="115"/>
      <c r="E531" s="115"/>
      <c r="F531" s="115"/>
      <c r="G531" s="115"/>
      <c r="H531" s="115"/>
      <c r="I531" s="115"/>
      <c r="J531" s="115"/>
      <c r="K531" s="112"/>
      <c r="L531" s="112"/>
      <c r="M531" s="112"/>
      <c r="N531" s="112"/>
      <c r="O531" s="112"/>
      <c r="P531" s="112"/>
      <c r="Q531" s="112"/>
      <c r="R531" s="112"/>
      <c r="S531" s="112"/>
      <c r="T531" s="112"/>
      <c r="U531" s="112"/>
      <c r="V531" s="112"/>
      <c r="W531" s="112"/>
      <c r="X531" s="112"/>
      <c r="Y531" s="112"/>
      <c r="Z531" s="112"/>
    </row>
    <row r="532" spans="1:26" x14ac:dyDescent="0.2">
      <c r="A532" s="113">
        <f>'THE BOARD'!A299</f>
        <v>0</v>
      </c>
      <c r="B532" s="115">
        <f>'THE BOARD'!B299</f>
        <v>0</v>
      </c>
      <c r="C532" s="115"/>
      <c r="D532" s="115"/>
      <c r="E532" s="115"/>
      <c r="F532" s="115"/>
      <c r="G532" s="115"/>
      <c r="H532" s="115"/>
      <c r="I532" s="115"/>
      <c r="J532" s="115"/>
      <c r="K532" s="112"/>
      <c r="L532" s="112"/>
      <c r="M532" s="112"/>
      <c r="N532" s="112"/>
      <c r="O532" s="112"/>
      <c r="P532" s="112"/>
      <c r="Q532" s="112"/>
      <c r="R532" s="112"/>
      <c r="S532" s="112"/>
      <c r="T532" s="112"/>
      <c r="U532" s="112"/>
      <c r="V532" s="112"/>
      <c r="W532" s="112"/>
      <c r="X532" s="112"/>
      <c r="Y532" s="112"/>
      <c r="Z532" s="112"/>
    </row>
    <row r="533" spans="1:26" x14ac:dyDescent="0.2">
      <c r="A533" s="113">
        <f>'THE BOARD'!A300</f>
        <v>0</v>
      </c>
      <c r="B533" s="115">
        <f>'THE BOARD'!B300</f>
        <v>0</v>
      </c>
      <c r="C533" s="115"/>
      <c r="D533" s="115"/>
      <c r="E533" s="115"/>
      <c r="F533" s="115"/>
      <c r="G533" s="115"/>
      <c r="H533" s="115"/>
      <c r="I533" s="115"/>
      <c r="J533" s="115"/>
      <c r="K533" s="112"/>
      <c r="L533" s="112"/>
      <c r="M533" s="112"/>
      <c r="N533" s="112"/>
      <c r="O533" s="112"/>
      <c r="P533" s="112"/>
      <c r="Q533" s="112"/>
      <c r="R533" s="112"/>
      <c r="S533" s="112"/>
      <c r="T533" s="112"/>
      <c r="U533" s="112"/>
      <c r="V533" s="112"/>
      <c r="W533" s="112"/>
      <c r="X533" s="112"/>
      <c r="Y533" s="112"/>
      <c r="Z533" s="112"/>
    </row>
    <row r="534" spans="1:26" x14ac:dyDescent="0.2">
      <c r="A534" s="113">
        <f>'THE BOARD'!A301</f>
        <v>0</v>
      </c>
      <c r="B534" s="115">
        <f>'THE BOARD'!B301</f>
        <v>0</v>
      </c>
      <c r="C534" s="115"/>
      <c r="D534" s="115"/>
      <c r="E534" s="115"/>
      <c r="F534" s="115"/>
      <c r="G534" s="115"/>
      <c r="H534" s="115"/>
      <c r="I534" s="115"/>
      <c r="J534" s="115"/>
      <c r="K534" s="112"/>
      <c r="L534" s="112"/>
      <c r="M534" s="112"/>
      <c r="N534" s="112"/>
      <c r="O534" s="112"/>
      <c r="P534" s="112"/>
      <c r="Q534" s="112"/>
      <c r="R534" s="112"/>
      <c r="S534" s="112"/>
      <c r="T534" s="112"/>
      <c r="U534" s="112"/>
      <c r="V534" s="112"/>
      <c r="W534" s="112"/>
      <c r="X534" s="112"/>
      <c r="Y534" s="112"/>
      <c r="Z534" s="112"/>
    </row>
    <row r="535" spans="1:26" x14ac:dyDescent="0.2">
      <c r="A535" s="113">
        <f>'THE BOARD'!A302</f>
        <v>0</v>
      </c>
      <c r="B535" s="115">
        <f>'THE BOARD'!B302</f>
        <v>0</v>
      </c>
      <c r="C535" s="115"/>
      <c r="D535" s="115"/>
      <c r="E535" s="115"/>
      <c r="F535" s="115"/>
      <c r="G535" s="115"/>
      <c r="H535" s="115"/>
      <c r="I535" s="115"/>
      <c r="J535" s="115"/>
      <c r="K535" s="112"/>
      <c r="L535" s="112"/>
      <c r="M535" s="112"/>
      <c r="N535" s="112"/>
      <c r="O535" s="112"/>
      <c r="P535" s="112"/>
      <c r="Q535" s="112"/>
      <c r="R535" s="112"/>
      <c r="S535" s="112"/>
      <c r="T535" s="112"/>
      <c r="U535" s="112"/>
      <c r="V535" s="112"/>
      <c r="W535" s="112"/>
      <c r="X535" s="112"/>
      <c r="Y535" s="112"/>
      <c r="Z535" s="112"/>
    </row>
    <row r="536" spans="1:26" x14ac:dyDescent="0.2">
      <c r="A536" s="113">
        <f>'THE BOARD'!A303</f>
        <v>0</v>
      </c>
      <c r="B536" s="115">
        <f>'THE BOARD'!B303</f>
        <v>0</v>
      </c>
      <c r="C536" s="115"/>
      <c r="D536" s="115"/>
      <c r="E536" s="115"/>
      <c r="F536" s="115"/>
      <c r="G536" s="115"/>
      <c r="H536" s="115"/>
      <c r="I536" s="115"/>
      <c r="J536" s="115"/>
      <c r="K536" s="112"/>
      <c r="L536" s="112"/>
      <c r="M536" s="112"/>
      <c r="N536" s="112"/>
      <c r="O536" s="112"/>
      <c r="P536" s="112"/>
      <c r="Q536" s="112"/>
      <c r="R536" s="112"/>
      <c r="S536" s="112"/>
      <c r="T536" s="112"/>
      <c r="U536" s="112"/>
      <c r="V536" s="112"/>
      <c r="W536" s="112"/>
      <c r="X536" s="112"/>
      <c r="Y536" s="112"/>
      <c r="Z536" s="112"/>
    </row>
    <row r="537" spans="1:26" x14ac:dyDescent="0.2">
      <c r="A537" s="113">
        <f>'THE BOARD'!A304</f>
        <v>0</v>
      </c>
      <c r="B537" s="115">
        <f>'THE BOARD'!B304</f>
        <v>0</v>
      </c>
      <c r="C537" s="115"/>
      <c r="D537" s="115"/>
      <c r="E537" s="115"/>
      <c r="F537" s="115"/>
      <c r="G537" s="115"/>
      <c r="H537" s="115"/>
      <c r="I537" s="115"/>
      <c r="J537" s="115"/>
      <c r="K537" s="112"/>
      <c r="L537" s="112"/>
      <c r="M537" s="112"/>
      <c r="N537" s="112"/>
      <c r="O537" s="112"/>
      <c r="P537" s="112"/>
      <c r="Q537" s="112"/>
      <c r="R537" s="112"/>
      <c r="S537" s="112"/>
      <c r="T537" s="112"/>
      <c r="U537" s="112"/>
      <c r="V537" s="112"/>
      <c r="W537" s="112"/>
      <c r="X537" s="112"/>
      <c r="Y537" s="112"/>
      <c r="Z537" s="112"/>
    </row>
    <row r="538" spans="1:26" x14ac:dyDescent="0.2">
      <c r="A538" s="113">
        <f>'THE BOARD'!A305</f>
        <v>0</v>
      </c>
      <c r="B538" s="115">
        <f>'THE BOARD'!B305</f>
        <v>0</v>
      </c>
      <c r="C538" s="115"/>
      <c r="D538" s="115"/>
      <c r="E538" s="115"/>
      <c r="F538" s="115"/>
      <c r="G538" s="115"/>
      <c r="H538" s="115"/>
      <c r="I538" s="115"/>
      <c r="J538" s="115"/>
      <c r="K538" s="112"/>
      <c r="L538" s="112"/>
      <c r="M538" s="112"/>
      <c r="N538" s="112"/>
      <c r="O538" s="112"/>
      <c r="P538" s="112"/>
      <c r="Q538" s="112"/>
      <c r="R538" s="112"/>
      <c r="S538" s="112"/>
      <c r="T538" s="112"/>
      <c r="U538" s="112"/>
      <c r="V538" s="112"/>
      <c r="W538" s="112"/>
      <c r="X538" s="112"/>
      <c r="Y538" s="112"/>
      <c r="Z538" s="112"/>
    </row>
    <row r="539" spans="1:26" x14ac:dyDescent="0.2">
      <c r="A539" s="113">
        <f>'THE BOARD'!A306</f>
        <v>0</v>
      </c>
      <c r="B539" s="115">
        <f>'THE BOARD'!B306</f>
        <v>0</v>
      </c>
      <c r="C539" s="115"/>
      <c r="D539" s="115"/>
      <c r="E539" s="115"/>
      <c r="F539" s="115"/>
      <c r="G539" s="115"/>
      <c r="H539" s="115"/>
      <c r="I539" s="115"/>
      <c r="J539" s="115"/>
      <c r="K539" s="112"/>
      <c r="L539" s="112"/>
      <c r="M539" s="112"/>
      <c r="N539" s="112"/>
      <c r="O539" s="112"/>
      <c r="P539" s="112"/>
      <c r="Q539" s="112"/>
      <c r="R539" s="112"/>
      <c r="S539" s="112"/>
      <c r="T539" s="112"/>
      <c r="U539" s="112"/>
      <c r="V539" s="112"/>
      <c r="W539" s="112"/>
      <c r="X539" s="112"/>
      <c r="Y539" s="112"/>
      <c r="Z539" s="112"/>
    </row>
    <row r="540" spans="1:26" x14ac:dyDescent="0.2">
      <c r="A540" s="113">
        <f>'THE BOARD'!A307</f>
        <v>0</v>
      </c>
      <c r="B540" s="115">
        <f>'THE BOARD'!B307</f>
        <v>0</v>
      </c>
      <c r="C540" s="115"/>
      <c r="D540" s="115"/>
      <c r="E540" s="115"/>
      <c r="F540" s="115"/>
      <c r="G540" s="115"/>
      <c r="H540" s="115"/>
      <c r="I540" s="115"/>
      <c r="J540" s="115"/>
      <c r="K540" s="112"/>
      <c r="L540" s="112"/>
      <c r="M540" s="112"/>
      <c r="N540" s="112"/>
      <c r="O540" s="112"/>
      <c r="P540" s="112"/>
      <c r="Q540" s="112"/>
      <c r="R540" s="112"/>
      <c r="S540" s="112"/>
      <c r="T540" s="112"/>
      <c r="U540" s="112"/>
      <c r="V540" s="112"/>
      <c r="W540" s="112"/>
      <c r="X540" s="112"/>
      <c r="Y540" s="112"/>
      <c r="Z540" s="112"/>
    </row>
    <row r="541" spans="1:26" x14ac:dyDescent="0.2">
      <c r="A541" s="113">
        <f>'THE BOARD'!A308</f>
        <v>0</v>
      </c>
      <c r="B541" s="115">
        <f>'THE BOARD'!B308</f>
        <v>0</v>
      </c>
      <c r="C541" s="115"/>
      <c r="D541" s="115"/>
      <c r="E541" s="115"/>
      <c r="F541" s="115"/>
      <c r="G541" s="115"/>
      <c r="H541" s="115"/>
      <c r="I541" s="115"/>
      <c r="J541" s="115"/>
      <c r="K541" s="112"/>
      <c r="L541" s="112"/>
      <c r="M541" s="112"/>
      <c r="N541" s="112"/>
      <c r="O541" s="112"/>
      <c r="P541" s="112"/>
      <c r="Q541" s="112"/>
      <c r="R541" s="112"/>
      <c r="S541" s="112"/>
      <c r="T541" s="112"/>
      <c r="U541" s="112"/>
      <c r="V541" s="112"/>
      <c r="W541" s="112"/>
      <c r="X541" s="112"/>
      <c r="Y541" s="112"/>
      <c r="Z541" s="112"/>
    </row>
    <row r="542" spans="1:26" x14ac:dyDescent="0.2">
      <c r="A542" s="113">
        <f>'THE BOARD'!A309</f>
        <v>0</v>
      </c>
      <c r="B542" s="115">
        <f>'THE BOARD'!B309</f>
        <v>0</v>
      </c>
      <c r="C542" s="115"/>
      <c r="D542" s="115"/>
      <c r="E542" s="115"/>
      <c r="F542" s="115"/>
      <c r="G542" s="115"/>
      <c r="H542" s="115"/>
      <c r="I542" s="115"/>
      <c r="J542" s="115"/>
      <c r="K542" s="112"/>
      <c r="L542" s="112"/>
      <c r="M542" s="112"/>
      <c r="N542" s="112"/>
      <c r="O542" s="112"/>
      <c r="P542" s="112"/>
      <c r="Q542" s="112"/>
      <c r="R542" s="112"/>
      <c r="S542" s="112"/>
      <c r="T542" s="112"/>
      <c r="U542" s="112"/>
      <c r="V542" s="112"/>
      <c r="W542" s="112"/>
      <c r="X542" s="112"/>
      <c r="Y542" s="112"/>
      <c r="Z542" s="112"/>
    </row>
    <row r="543" spans="1:26" x14ac:dyDescent="0.2">
      <c r="A543" s="113">
        <f>'THE BOARD'!A310</f>
        <v>0</v>
      </c>
      <c r="B543" s="115">
        <f>'THE BOARD'!B310</f>
        <v>0</v>
      </c>
      <c r="C543" s="115"/>
      <c r="D543" s="115"/>
      <c r="E543" s="115"/>
      <c r="F543" s="115"/>
      <c r="G543" s="115"/>
      <c r="H543" s="115"/>
      <c r="I543" s="115"/>
      <c r="J543" s="115"/>
      <c r="K543" s="112"/>
      <c r="L543" s="112"/>
      <c r="M543" s="112"/>
      <c r="N543" s="112"/>
      <c r="O543" s="112"/>
      <c r="P543" s="112"/>
      <c r="Q543" s="112"/>
      <c r="R543" s="112"/>
      <c r="S543" s="112"/>
      <c r="T543" s="112"/>
      <c r="U543" s="112"/>
      <c r="V543" s="112"/>
      <c r="W543" s="112"/>
      <c r="X543" s="112"/>
      <c r="Y543" s="112"/>
      <c r="Z543" s="112"/>
    </row>
    <row r="544" spans="1:26" x14ac:dyDescent="0.2">
      <c r="A544" s="113">
        <f>'THE BOARD'!A311</f>
        <v>0</v>
      </c>
      <c r="B544" s="115">
        <f>'THE BOARD'!B311</f>
        <v>0</v>
      </c>
      <c r="C544" s="115"/>
      <c r="D544" s="115"/>
      <c r="E544" s="115"/>
      <c r="F544" s="115"/>
      <c r="G544" s="115"/>
      <c r="H544" s="115"/>
      <c r="I544" s="115"/>
      <c r="J544" s="115"/>
      <c r="K544" s="112"/>
      <c r="L544" s="112"/>
      <c r="M544" s="112"/>
      <c r="N544" s="112"/>
      <c r="O544" s="112"/>
      <c r="P544" s="112"/>
      <c r="Q544" s="112"/>
      <c r="R544" s="112"/>
      <c r="S544" s="112"/>
      <c r="T544" s="112"/>
      <c r="U544" s="112"/>
      <c r="V544" s="112"/>
      <c r="W544" s="112"/>
      <c r="X544" s="112"/>
      <c r="Y544" s="112"/>
      <c r="Z544" s="112"/>
    </row>
    <row r="545" spans="1:26" x14ac:dyDescent="0.2">
      <c r="A545" s="113">
        <f>'THE BOARD'!A312</f>
        <v>0</v>
      </c>
      <c r="B545" s="115">
        <f>'THE BOARD'!B312</f>
        <v>0</v>
      </c>
      <c r="C545" s="115"/>
      <c r="D545" s="115"/>
      <c r="E545" s="115"/>
      <c r="F545" s="115"/>
      <c r="G545" s="115"/>
      <c r="H545" s="115"/>
      <c r="I545" s="115"/>
      <c r="J545" s="115"/>
      <c r="K545" s="112"/>
      <c r="L545" s="112"/>
      <c r="M545" s="112"/>
      <c r="N545" s="112"/>
      <c r="O545" s="112"/>
      <c r="P545" s="112"/>
      <c r="Q545" s="112"/>
      <c r="R545" s="112"/>
      <c r="S545" s="112"/>
      <c r="T545" s="112"/>
      <c r="U545" s="112"/>
      <c r="V545" s="112"/>
      <c r="W545" s="112"/>
      <c r="X545" s="112"/>
      <c r="Y545" s="112"/>
      <c r="Z545" s="112"/>
    </row>
    <row r="546" spans="1:26" x14ac:dyDescent="0.2">
      <c r="A546" s="113">
        <f>'THE BOARD'!A313</f>
        <v>0</v>
      </c>
      <c r="B546" s="115">
        <f>'THE BOARD'!B313</f>
        <v>0</v>
      </c>
      <c r="C546" s="115"/>
      <c r="D546" s="115"/>
      <c r="E546" s="115"/>
      <c r="F546" s="115"/>
      <c r="G546" s="115"/>
      <c r="H546" s="115"/>
      <c r="I546" s="115"/>
      <c r="J546" s="115"/>
      <c r="K546" s="112"/>
      <c r="L546" s="112"/>
      <c r="M546" s="112"/>
      <c r="N546" s="112"/>
      <c r="O546" s="112"/>
      <c r="P546" s="112"/>
      <c r="Q546" s="112"/>
      <c r="R546" s="112"/>
      <c r="S546" s="112"/>
      <c r="T546" s="112"/>
      <c r="U546" s="112"/>
      <c r="V546" s="112"/>
      <c r="W546" s="112"/>
      <c r="X546" s="112"/>
      <c r="Y546" s="112"/>
      <c r="Z546" s="112"/>
    </row>
    <row r="547" spans="1:26" x14ac:dyDescent="0.2">
      <c r="A547" s="113">
        <f>'THE BOARD'!A314</f>
        <v>0</v>
      </c>
      <c r="B547" s="115">
        <f>'THE BOARD'!B314</f>
        <v>0</v>
      </c>
      <c r="C547" s="115"/>
      <c r="D547" s="115"/>
      <c r="E547" s="115"/>
      <c r="F547" s="115"/>
      <c r="G547" s="115"/>
      <c r="H547" s="115"/>
      <c r="I547" s="115"/>
      <c r="J547" s="115"/>
      <c r="K547" s="112"/>
      <c r="L547" s="112"/>
      <c r="M547" s="112"/>
      <c r="N547" s="112"/>
      <c r="O547" s="112"/>
      <c r="P547" s="112"/>
      <c r="Q547" s="112"/>
      <c r="R547" s="112"/>
      <c r="S547" s="112"/>
      <c r="T547" s="112"/>
      <c r="U547" s="112"/>
      <c r="V547" s="112"/>
      <c r="W547" s="112"/>
      <c r="X547" s="112"/>
      <c r="Y547" s="112"/>
      <c r="Z547" s="112"/>
    </row>
    <row r="548" spans="1:26" x14ac:dyDescent="0.2">
      <c r="A548" s="113">
        <f>'THE BOARD'!A315</f>
        <v>0</v>
      </c>
      <c r="B548" s="115">
        <f>'THE BOARD'!B315</f>
        <v>0</v>
      </c>
      <c r="C548" s="115"/>
      <c r="D548" s="115"/>
      <c r="E548" s="115"/>
      <c r="F548" s="115"/>
      <c r="G548" s="115"/>
      <c r="H548" s="115"/>
      <c r="I548" s="115"/>
      <c r="J548" s="115"/>
      <c r="K548" s="112"/>
      <c r="L548" s="112"/>
      <c r="M548" s="112"/>
      <c r="N548" s="112"/>
      <c r="O548" s="112"/>
      <c r="P548" s="112"/>
      <c r="Q548" s="112"/>
      <c r="R548" s="112"/>
      <c r="S548" s="112"/>
      <c r="T548" s="112"/>
      <c r="U548" s="112"/>
      <c r="V548" s="112"/>
      <c r="W548" s="112"/>
      <c r="X548" s="112"/>
      <c r="Y548" s="112"/>
      <c r="Z548" s="112"/>
    </row>
    <row r="549" spans="1:26" x14ac:dyDescent="0.2">
      <c r="A549" s="113">
        <f>'THE BOARD'!A316</f>
        <v>0</v>
      </c>
      <c r="B549" s="115">
        <f>'THE BOARD'!B316</f>
        <v>0</v>
      </c>
      <c r="C549" s="115"/>
      <c r="D549" s="115"/>
      <c r="E549" s="115"/>
      <c r="F549" s="115"/>
      <c r="G549" s="115"/>
      <c r="H549" s="115"/>
      <c r="I549" s="115"/>
      <c r="J549" s="115"/>
      <c r="K549" s="112"/>
      <c r="L549" s="112"/>
      <c r="M549" s="112"/>
      <c r="N549" s="112"/>
      <c r="O549" s="112"/>
      <c r="P549" s="112"/>
      <c r="Q549" s="112"/>
      <c r="R549" s="112"/>
      <c r="S549" s="112"/>
      <c r="T549" s="112"/>
      <c r="U549" s="112"/>
      <c r="V549" s="112"/>
      <c r="W549" s="112"/>
      <c r="X549" s="112"/>
      <c r="Y549" s="112"/>
      <c r="Z549" s="112"/>
    </row>
    <row r="550" spans="1:26" x14ac:dyDescent="0.2">
      <c r="A550" s="113">
        <f>'THE BOARD'!A317</f>
        <v>0</v>
      </c>
      <c r="B550" s="115">
        <f>'THE BOARD'!B317</f>
        <v>0</v>
      </c>
      <c r="C550" s="115"/>
      <c r="D550" s="115"/>
      <c r="E550" s="115"/>
      <c r="F550" s="115"/>
      <c r="G550" s="115"/>
      <c r="H550" s="115"/>
      <c r="I550" s="115"/>
      <c r="J550" s="115"/>
      <c r="K550" s="112"/>
      <c r="L550" s="112"/>
      <c r="M550" s="112"/>
      <c r="N550" s="112"/>
      <c r="O550" s="112"/>
      <c r="P550" s="112"/>
      <c r="Q550" s="112"/>
      <c r="R550" s="112"/>
      <c r="S550" s="112"/>
      <c r="T550" s="112"/>
      <c r="U550" s="112"/>
      <c r="V550" s="112"/>
      <c r="W550" s="112"/>
      <c r="X550" s="112"/>
      <c r="Y550" s="112"/>
      <c r="Z550" s="112"/>
    </row>
    <row r="551" spans="1:26" x14ac:dyDescent="0.2">
      <c r="A551" s="113">
        <f>'THE BOARD'!A318</f>
        <v>0</v>
      </c>
      <c r="B551" s="115">
        <f>'THE BOARD'!B318</f>
        <v>0</v>
      </c>
      <c r="C551" s="115"/>
      <c r="D551" s="115"/>
      <c r="E551" s="115"/>
      <c r="F551" s="115"/>
      <c r="G551" s="115"/>
      <c r="H551" s="115"/>
      <c r="I551" s="115"/>
      <c r="J551" s="115"/>
      <c r="K551" s="112"/>
      <c r="L551" s="112"/>
      <c r="M551" s="112"/>
      <c r="N551" s="112"/>
      <c r="O551" s="112"/>
      <c r="P551" s="112"/>
      <c r="Q551" s="112"/>
      <c r="R551" s="112"/>
      <c r="S551" s="112"/>
      <c r="T551" s="112"/>
      <c r="U551" s="112"/>
      <c r="V551" s="112"/>
      <c r="W551" s="112"/>
      <c r="X551" s="112"/>
      <c r="Y551" s="112"/>
      <c r="Z551" s="112"/>
    </row>
    <row r="552" spans="1:26" x14ac:dyDescent="0.2">
      <c r="A552" s="113">
        <f>'THE BOARD'!A319</f>
        <v>0</v>
      </c>
      <c r="B552" s="115">
        <f>'THE BOARD'!B319</f>
        <v>0</v>
      </c>
      <c r="C552" s="115"/>
      <c r="D552" s="115"/>
      <c r="E552" s="115"/>
      <c r="F552" s="115"/>
      <c r="G552" s="115"/>
      <c r="H552" s="115"/>
      <c r="I552" s="115"/>
      <c r="J552" s="115"/>
      <c r="K552" s="112"/>
      <c r="L552" s="112"/>
      <c r="M552" s="112"/>
      <c r="N552" s="112"/>
      <c r="O552" s="112"/>
      <c r="P552" s="112"/>
      <c r="Q552" s="112"/>
      <c r="R552" s="112"/>
      <c r="S552" s="112"/>
      <c r="T552" s="112"/>
      <c r="U552" s="112"/>
      <c r="V552" s="112"/>
      <c r="W552" s="112"/>
      <c r="X552" s="112"/>
      <c r="Y552" s="112"/>
      <c r="Z552" s="112"/>
    </row>
    <row r="553" spans="1:26" x14ac:dyDescent="0.2">
      <c r="A553" s="113">
        <f>'THE BOARD'!A320</f>
        <v>0</v>
      </c>
      <c r="B553" s="115">
        <f>'THE BOARD'!B320</f>
        <v>0</v>
      </c>
      <c r="C553" s="115"/>
      <c r="D553" s="115"/>
      <c r="E553" s="115"/>
      <c r="F553" s="115"/>
      <c r="G553" s="115"/>
      <c r="H553" s="115"/>
      <c r="I553" s="115"/>
      <c r="J553" s="115"/>
      <c r="K553" s="112"/>
      <c r="L553" s="112"/>
      <c r="M553" s="112"/>
      <c r="N553" s="112"/>
      <c r="O553" s="112"/>
      <c r="P553" s="112"/>
      <c r="Q553" s="112"/>
      <c r="R553" s="112"/>
      <c r="S553" s="112"/>
      <c r="T553" s="112"/>
      <c r="U553" s="112"/>
      <c r="V553" s="112"/>
      <c r="W553" s="112"/>
      <c r="X553" s="112"/>
      <c r="Y553" s="112"/>
      <c r="Z553" s="112"/>
    </row>
    <row r="554" spans="1:26" x14ac:dyDescent="0.2">
      <c r="A554" s="113">
        <f>'THE BOARD'!A321</f>
        <v>0</v>
      </c>
      <c r="B554" s="115">
        <f>'THE BOARD'!B321</f>
        <v>0</v>
      </c>
      <c r="C554" s="115"/>
      <c r="D554" s="115"/>
      <c r="E554" s="115"/>
      <c r="F554" s="115"/>
      <c r="G554" s="115"/>
      <c r="H554" s="115"/>
      <c r="I554" s="115"/>
      <c r="J554" s="115"/>
      <c r="K554" s="112"/>
      <c r="L554" s="112"/>
      <c r="M554" s="112"/>
      <c r="N554" s="112"/>
      <c r="O554" s="112"/>
      <c r="P554" s="112"/>
      <c r="Q554" s="112"/>
      <c r="R554" s="112"/>
      <c r="S554" s="112"/>
      <c r="T554" s="112"/>
      <c r="U554" s="112"/>
      <c r="V554" s="112"/>
      <c r="W554" s="112"/>
      <c r="X554" s="112"/>
      <c r="Y554" s="112"/>
      <c r="Z554" s="112"/>
    </row>
    <row r="555" spans="1:26" x14ac:dyDescent="0.2">
      <c r="A555" s="113">
        <f>'THE BOARD'!A322</f>
        <v>0</v>
      </c>
      <c r="B555" s="115">
        <f>'THE BOARD'!B322</f>
        <v>0</v>
      </c>
      <c r="C555" s="115"/>
      <c r="D555" s="115"/>
      <c r="E555" s="115"/>
      <c r="F555" s="115"/>
      <c r="G555" s="115"/>
      <c r="H555" s="115"/>
      <c r="I555" s="115"/>
      <c r="J555" s="115"/>
      <c r="K555" s="112"/>
      <c r="L555" s="112"/>
      <c r="M555" s="112"/>
      <c r="N555" s="112"/>
      <c r="O555" s="112"/>
      <c r="P555" s="112"/>
      <c r="Q555" s="112"/>
      <c r="R555" s="112"/>
      <c r="S555" s="112"/>
      <c r="T555" s="112"/>
      <c r="U555" s="112"/>
      <c r="V555" s="112"/>
      <c r="W555" s="112"/>
      <c r="X555" s="112"/>
      <c r="Y555" s="112"/>
      <c r="Z555" s="112"/>
    </row>
    <row r="556" spans="1:26" x14ac:dyDescent="0.2">
      <c r="A556" s="113">
        <f>'THE BOARD'!A323</f>
        <v>0</v>
      </c>
      <c r="B556" s="115">
        <f>'THE BOARD'!B323</f>
        <v>0</v>
      </c>
      <c r="C556" s="115"/>
      <c r="D556" s="115"/>
      <c r="E556" s="115"/>
      <c r="F556" s="115"/>
      <c r="G556" s="115"/>
      <c r="H556" s="115"/>
      <c r="I556" s="115"/>
      <c r="J556" s="115"/>
      <c r="K556" s="112"/>
      <c r="L556" s="112"/>
      <c r="M556" s="112"/>
      <c r="N556" s="112"/>
      <c r="O556" s="112"/>
      <c r="P556" s="112"/>
      <c r="Q556" s="112"/>
      <c r="R556" s="112"/>
      <c r="S556" s="112"/>
      <c r="T556" s="112"/>
      <c r="U556" s="112"/>
      <c r="V556" s="112"/>
      <c r="W556" s="112"/>
      <c r="X556" s="112"/>
      <c r="Y556" s="112"/>
      <c r="Z556" s="112"/>
    </row>
    <row r="557" spans="1:26" x14ac:dyDescent="0.2">
      <c r="A557" s="113">
        <f>'THE BOARD'!A324</f>
        <v>0</v>
      </c>
      <c r="B557" s="115">
        <f>'THE BOARD'!B324</f>
        <v>0</v>
      </c>
      <c r="C557" s="115"/>
      <c r="D557" s="115"/>
      <c r="E557" s="115"/>
      <c r="F557" s="115"/>
      <c r="G557" s="115"/>
      <c r="H557" s="115"/>
      <c r="I557" s="115"/>
      <c r="J557" s="115"/>
      <c r="K557" s="112"/>
      <c r="L557" s="112"/>
      <c r="M557" s="112"/>
      <c r="N557" s="112"/>
      <c r="O557" s="112"/>
      <c r="P557" s="112"/>
      <c r="Q557" s="112"/>
      <c r="R557" s="112"/>
      <c r="S557" s="112"/>
      <c r="T557" s="112"/>
      <c r="U557" s="112"/>
      <c r="V557" s="112"/>
      <c r="W557" s="112"/>
      <c r="X557" s="112"/>
      <c r="Y557" s="112"/>
      <c r="Z557" s="112"/>
    </row>
    <row r="558" spans="1:26" x14ac:dyDescent="0.2">
      <c r="A558" s="113">
        <f>'THE BOARD'!A325</f>
        <v>0</v>
      </c>
      <c r="B558" s="115">
        <f>'THE BOARD'!B325</f>
        <v>0</v>
      </c>
      <c r="C558" s="115"/>
      <c r="D558" s="115"/>
      <c r="E558" s="115"/>
      <c r="F558" s="115"/>
      <c r="G558" s="115"/>
      <c r="H558" s="115"/>
      <c r="I558" s="115"/>
      <c r="J558" s="115"/>
      <c r="K558" s="112"/>
      <c r="L558" s="112"/>
      <c r="M558" s="112"/>
      <c r="N558" s="112"/>
      <c r="O558" s="112"/>
      <c r="P558" s="112"/>
      <c r="Q558" s="112"/>
      <c r="R558" s="112"/>
      <c r="S558" s="112"/>
      <c r="T558" s="112"/>
      <c r="U558" s="112"/>
      <c r="V558" s="112"/>
      <c r="W558" s="112"/>
      <c r="X558" s="112"/>
      <c r="Y558" s="112"/>
      <c r="Z558" s="112"/>
    </row>
    <row r="559" spans="1:26" x14ac:dyDescent="0.2">
      <c r="A559" s="113">
        <f>'THE BOARD'!A326</f>
        <v>0</v>
      </c>
      <c r="B559" s="115">
        <f>'THE BOARD'!B326</f>
        <v>0</v>
      </c>
      <c r="C559" s="115"/>
      <c r="D559" s="115"/>
      <c r="E559" s="115"/>
      <c r="F559" s="115"/>
      <c r="G559" s="115"/>
      <c r="H559" s="115"/>
      <c r="I559" s="115"/>
      <c r="J559" s="115"/>
      <c r="K559" s="112"/>
      <c r="L559" s="112"/>
      <c r="M559" s="112"/>
      <c r="N559" s="112"/>
      <c r="O559" s="112"/>
      <c r="P559" s="112"/>
      <c r="Q559" s="112"/>
      <c r="R559" s="112"/>
      <c r="S559" s="112"/>
      <c r="T559" s="112"/>
      <c r="U559" s="112"/>
      <c r="V559" s="112"/>
      <c r="W559" s="112"/>
      <c r="X559" s="112"/>
      <c r="Y559" s="112"/>
      <c r="Z559" s="112"/>
    </row>
    <row r="560" spans="1:26" x14ac:dyDescent="0.2">
      <c r="A560" s="113">
        <f>'THE BOARD'!A327</f>
        <v>0</v>
      </c>
      <c r="B560" s="115">
        <f>'THE BOARD'!B327</f>
        <v>0</v>
      </c>
      <c r="C560" s="115"/>
      <c r="D560" s="115"/>
      <c r="E560" s="115"/>
      <c r="F560" s="115"/>
      <c r="G560" s="115"/>
      <c r="H560" s="115"/>
      <c r="I560" s="115"/>
      <c r="J560" s="115"/>
      <c r="K560" s="112"/>
      <c r="L560" s="112"/>
      <c r="M560" s="112"/>
      <c r="N560" s="112"/>
      <c r="O560" s="112"/>
      <c r="P560" s="112"/>
      <c r="Q560" s="112"/>
      <c r="R560" s="112"/>
      <c r="S560" s="112"/>
      <c r="T560" s="112"/>
      <c r="U560" s="112"/>
      <c r="V560" s="112"/>
      <c r="W560" s="112"/>
      <c r="X560" s="112"/>
      <c r="Y560" s="112"/>
      <c r="Z560" s="112"/>
    </row>
    <row r="561" spans="1:26" x14ac:dyDescent="0.2">
      <c r="A561" s="113">
        <f>'THE BOARD'!A328</f>
        <v>0</v>
      </c>
      <c r="B561" s="115">
        <f>'THE BOARD'!B328</f>
        <v>0</v>
      </c>
      <c r="C561" s="115"/>
      <c r="D561" s="115"/>
      <c r="E561" s="115"/>
      <c r="F561" s="115"/>
      <c r="G561" s="115"/>
      <c r="H561" s="115"/>
      <c r="I561" s="115"/>
      <c r="J561" s="115"/>
      <c r="K561" s="112"/>
      <c r="L561" s="112"/>
      <c r="M561" s="112"/>
      <c r="N561" s="112"/>
      <c r="O561" s="112"/>
      <c r="P561" s="112"/>
      <c r="Q561" s="112"/>
      <c r="R561" s="112"/>
      <c r="S561" s="112"/>
      <c r="T561" s="112"/>
      <c r="U561" s="112"/>
      <c r="V561" s="112"/>
      <c r="W561" s="112"/>
      <c r="X561" s="112"/>
      <c r="Y561" s="112"/>
      <c r="Z561" s="112"/>
    </row>
    <row r="562" spans="1:26" x14ac:dyDescent="0.2">
      <c r="A562" s="113">
        <f>'THE BOARD'!A329</f>
        <v>0</v>
      </c>
      <c r="B562" s="115">
        <f>'THE BOARD'!B329</f>
        <v>0</v>
      </c>
      <c r="C562" s="115"/>
      <c r="D562" s="115"/>
      <c r="E562" s="115"/>
      <c r="F562" s="115"/>
      <c r="G562" s="115"/>
      <c r="H562" s="115"/>
      <c r="I562" s="115"/>
      <c r="J562" s="115"/>
      <c r="K562" s="112"/>
      <c r="L562" s="112"/>
      <c r="M562" s="112"/>
      <c r="N562" s="112"/>
      <c r="O562" s="112"/>
      <c r="P562" s="112"/>
      <c r="Q562" s="112"/>
      <c r="R562" s="112"/>
      <c r="S562" s="112"/>
      <c r="T562" s="112"/>
      <c r="U562" s="112"/>
      <c r="V562" s="112"/>
      <c r="W562" s="112"/>
      <c r="X562" s="112"/>
      <c r="Y562" s="112"/>
      <c r="Z562" s="112"/>
    </row>
    <row r="563" spans="1:26" x14ac:dyDescent="0.2">
      <c r="A563" s="113">
        <f>'THE BOARD'!A330</f>
        <v>0</v>
      </c>
      <c r="B563" s="115">
        <f>'THE BOARD'!B330</f>
        <v>0</v>
      </c>
      <c r="C563" s="115"/>
      <c r="D563" s="115"/>
      <c r="E563" s="115"/>
      <c r="F563" s="115"/>
      <c r="G563" s="115"/>
      <c r="H563" s="115"/>
      <c r="I563" s="115"/>
      <c r="J563" s="115"/>
      <c r="K563" s="112"/>
      <c r="L563" s="112"/>
      <c r="M563" s="112"/>
      <c r="N563" s="112"/>
      <c r="O563" s="112"/>
      <c r="P563" s="112"/>
      <c r="Q563" s="112"/>
      <c r="R563" s="112"/>
      <c r="S563" s="112"/>
      <c r="T563" s="112"/>
      <c r="U563" s="112"/>
      <c r="V563" s="112"/>
      <c r="W563" s="112"/>
      <c r="X563" s="112"/>
      <c r="Y563" s="112"/>
      <c r="Z563" s="112"/>
    </row>
    <row r="564" spans="1:26" x14ac:dyDescent="0.2">
      <c r="A564" s="113">
        <f>'THE BOARD'!A331</f>
        <v>0</v>
      </c>
      <c r="B564" s="115">
        <f>'THE BOARD'!B331</f>
        <v>0</v>
      </c>
      <c r="C564" s="115"/>
      <c r="D564" s="115"/>
      <c r="E564" s="115"/>
      <c r="F564" s="115"/>
      <c r="G564" s="115"/>
      <c r="H564" s="115"/>
      <c r="I564" s="115"/>
      <c r="J564" s="115"/>
      <c r="K564" s="112"/>
      <c r="L564" s="112"/>
      <c r="M564" s="112"/>
      <c r="N564" s="112"/>
      <c r="O564" s="112"/>
      <c r="P564" s="112"/>
      <c r="Q564" s="112"/>
      <c r="R564" s="112"/>
      <c r="S564" s="112"/>
      <c r="T564" s="112"/>
      <c r="U564" s="112"/>
      <c r="V564" s="112"/>
      <c r="W564" s="112"/>
      <c r="X564" s="112"/>
      <c r="Y564" s="112"/>
      <c r="Z564" s="112"/>
    </row>
    <row r="565" spans="1:26" x14ac:dyDescent="0.2">
      <c r="A565" s="113">
        <f>'THE BOARD'!A332</f>
        <v>0</v>
      </c>
      <c r="B565" s="115">
        <f>'THE BOARD'!B332</f>
        <v>0</v>
      </c>
      <c r="C565" s="115"/>
      <c r="D565" s="115"/>
      <c r="E565" s="115"/>
      <c r="F565" s="115"/>
      <c r="G565" s="115"/>
      <c r="H565" s="115"/>
      <c r="I565" s="115"/>
      <c r="J565" s="115"/>
      <c r="K565" s="112"/>
      <c r="L565" s="112"/>
      <c r="M565" s="112"/>
      <c r="N565" s="112"/>
      <c r="O565" s="112"/>
      <c r="P565" s="112"/>
      <c r="Q565" s="112"/>
      <c r="R565" s="112"/>
      <c r="S565" s="112"/>
      <c r="T565" s="112"/>
      <c r="U565" s="112"/>
      <c r="V565" s="112"/>
      <c r="W565" s="112"/>
      <c r="X565" s="112"/>
      <c r="Y565" s="112"/>
      <c r="Z565" s="112"/>
    </row>
    <row r="566" spans="1:26" x14ac:dyDescent="0.2">
      <c r="A566" s="113">
        <f>'THE BOARD'!A333</f>
        <v>0</v>
      </c>
      <c r="B566" s="115">
        <f>'THE BOARD'!B333</f>
        <v>0</v>
      </c>
      <c r="C566" s="115"/>
      <c r="D566" s="115"/>
      <c r="E566" s="115"/>
      <c r="F566" s="115"/>
      <c r="G566" s="115"/>
      <c r="H566" s="115"/>
      <c r="I566" s="115"/>
      <c r="J566" s="115"/>
      <c r="K566" s="112"/>
      <c r="L566" s="112"/>
      <c r="M566" s="112"/>
      <c r="N566" s="112"/>
      <c r="O566" s="112"/>
      <c r="P566" s="112"/>
      <c r="Q566" s="112"/>
      <c r="R566" s="112"/>
      <c r="S566" s="112"/>
      <c r="T566" s="112"/>
      <c r="U566" s="112"/>
      <c r="V566" s="112"/>
      <c r="W566" s="112"/>
      <c r="X566" s="112"/>
      <c r="Y566" s="112"/>
      <c r="Z566" s="112"/>
    </row>
    <row r="567" spans="1:26" x14ac:dyDescent="0.2">
      <c r="A567" s="113">
        <f>'THE BOARD'!A334</f>
        <v>0</v>
      </c>
      <c r="B567" s="115">
        <f>'THE BOARD'!B334</f>
        <v>0</v>
      </c>
      <c r="C567" s="115"/>
      <c r="D567" s="115"/>
      <c r="E567" s="115"/>
      <c r="F567" s="115"/>
      <c r="G567" s="115"/>
      <c r="H567" s="115"/>
      <c r="I567" s="115"/>
      <c r="J567" s="115"/>
      <c r="K567" s="112"/>
      <c r="L567" s="112"/>
      <c r="M567" s="112"/>
      <c r="N567" s="112"/>
      <c r="O567" s="112"/>
      <c r="P567" s="112"/>
      <c r="Q567" s="112"/>
      <c r="R567" s="112"/>
      <c r="S567" s="112"/>
      <c r="T567" s="112"/>
      <c r="U567" s="112"/>
      <c r="V567" s="112"/>
      <c r="W567" s="112"/>
      <c r="X567" s="112"/>
      <c r="Y567" s="112"/>
      <c r="Z567" s="112"/>
    </row>
    <row r="568" spans="1:26" x14ac:dyDescent="0.2">
      <c r="A568" s="113">
        <f>'THE BOARD'!A335</f>
        <v>0</v>
      </c>
      <c r="B568" s="115">
        <f>'THE BOARD'!B335</f>
        <v>0</v>
      </c>
      <c r="C568" s="115"/>
      <c r="D568" s="115"/>
      <c r="E568" s="115"/>
      <c r="F568" s="115"/>
      <c r="G568" s="115"/>
      <c r="H568" s="115"/>
      <c r="I568" s="115"/>
      <c r="J568" s="115"/>
      <c r="K568" s="112"/>
      <c r="L568" s="112"/>
      <c r="M568" s="112"/>
      <c r="N568" s="112"/>
      <c r="O568" s="112"/>
      <c r="P568" s="112"/>
      <c r="Q568" s="112"/>
      <c r="R568" s="112"/>
      <c r="S568" s="112"/>
      <c r="T568" s="112"/>
      <c r="U568" s="112"/>
      <c r="V568" s="112"/>
      <c r="W568" s="112"/>
      <c r="X568" s="112"/>
      <c r="Y568" s="112"/>
      <c r="Z568" s="112"/>
    </row>
    <row r="569" spans="1:26" x14ac:dyDescent="0.2">
      <c r="A569" s="113">
        <f>'THE BOARD'!A336</f>
        <v>0</v>
      </c>
      <c r="B569" s="115">
        <f>'THE BOARD'!B336</f>
        <v>0</v>
      </c>
      <c r="C569" s="115"/>
      <c r="D569" s="115"/>
      <c r="E569" s="115"/>
      <c r="F569" s="115"/>
      <c r="G569" s="115"/>
      <c r="H569" s="115"/>
      <c r="I569" s="115"/>
      <c r="J569" s="115"/>
      <c r="K569" s="112"/>
      <c r="L569" s="112"/>
      <c r="M569" s="112"/>
      <c r="N569" s="112"/>
      <c r="O569" s="112"/>
      <c r="P569" s="112"/>
      <c r="Q569" s="112"/>
      <c r="R569" s="112"/>
      <c r="S569" s="112"/>
      <c r="T569" s="112"/>
      <c r="U569" s="112"/>
      <c r="V569" s="112"/>
      <c r="W569" s="112"/>
      <c r="X569" s="112"/>
      <c r="Y569" s="112"/>
      <c r="Z569" s="112"/>
    </row>
    <row r="570" spans="1:26" x14ac:dyDescent="0.2">
      <c r="A570" s="113">
        <f>'THE BOARD'!A337</f>
        <v>0</v>
      </c>
      <c r="B570" s="115">
        <f>'THE BOARD'!B337</f>
        <v>0</v>
      </c>
      <c r="C570" s="115"/>
      <c r="D570" s="115"/>
      <c r="E570" s="115"/>
      <c r="F570" s="115"/>
      <c r="G570" s="115"/>
      <c r="H570" s="115"/>
      <c r="I570" s="115"/>
      <c r="J570" s="115"/>
      <c r="K570" s="112"/>
      <c r="L570" s="112"/>
      <c r="M570" s="112"/>
      <c r="N570" s="112"/>
      <c r="O570" s="112"/>
      <c r="P570" s="112"/>
      <c r="Q570" s="112"/>
      <c r="R570" s="112"/>
      <c r="S570" s="112"/>
      <c r="T570" s="112"/>
      <c r="U570" s="112"/>
      <c r="V570" s="112"/>
      <c r="W570" s="112"/>
      <c r="X570" s="112"/>
      <c r="Y570" s="112"/>
      <c r="Z570" s="112"/>
    </row>
    <row r="571" spans="1:26" x14ac:dyDescent="0.2">
      <c r="A571" s="113">
        <f>'THE BOARD'!A338</f>
        <v>0</v>
      </c>
      <c r="B571" s="115">
        <f>'THE BOARD'!B338</f>
        <v>0</v>
      </c>
      <c r="C571" s="115"/>
      <c r="D571" s="115"/>
      <c r="E571" s="115"/>
      <c r="F571" s="115"/>
      <c r="G571" s="115"/>
      <c r="H571" s="115"/>
      <c r="I571" s="115"/>
      <c r="J571" s="115"/>
      <c r="K571" s="112"/>
      <c r="L571" s="112"/>
      <c r="M571" s="112"/>
      <c r="N571" s="112"/>
      <c r="O571" s="112"/>
      <c r="P571" s="112"/>
      <c r="Q571" s="112"/>
      <c r="R571" s="112"/>
      <c r="S571" s="112"/>
      <c r="T571" s="112"/>
      <c r="U571" s="112"/>
      <c r="V571" s="112"/>
      <c r="W571" s="112"/>
      <c r="X571" s="112"/>
      <c r="Y571" s="112"/>
      <c r="Z571" s="112"/>
    </row>
    <row r="572" spans="1:26" x14ac:dyDescent="0.2">
      <c r="A572" s="113">
        <f>'THE BOARD'!A339</f>
        <v>0</v>
      </c>
      <c r="B572" s="115">
        <f>'THE BOARD'!B339</f>
        <v>0</v>
      </c>
      <c r="C572" s="115"/>
      <c r="D572" s="115"/>
      <c r="E572" s="115"/>
      <c r="F572" s="115"/>
      <c r="G572" s="115"/>
      <c r="H572" s="115"/>
      <c r="I572" s="115"/>
      <c r="J572" s="115"/>
      <c r="K572" s="112"/>
      <c r="L572" s="112"/>
      <c r="M572" s="112"/>
      <c r="N572" s="112"/>
      <c r="O572" s="112"/>
      <c r="P572" s="112"/>
      <c r="Q572" s="112"/>
      <c r="R572" s="112"/>
      <c r="S572" s="112"/>
      <c r="T572" s="112"/>
      <c r="U572" s="112"/>
      <c r="V572" s="112"/>
      <c r="W572" s="112"/>
      <c r="X572" s="112"/>
      <c r="Y572" s="112"/>
      <c r="Z572" s="112"/>
    </row>
    <row r="573" spans="1:26" x14ac:dyDescent="0.2">
      <c r="A573" s="113">
        <f>'THE BOARD'!A340</f>
        <v>0</v>
      </c>
      <c r="B573" s="115">
        <f>'THE BOARD'!B340</f>
        <v>0</v>
      </c>
      <c r="C573" s="115"/>
      <c r="D573" s="115"/>
      <c r="E573" s="115"/>
      <c r="F573" s="115"/>
      <c r="G573" s="115"/>
      <c r="H573" s="115"/>
      <c r="I573" s="115"/>
      <c r="J573" s="115"/>
      <c r="K573" s="112"/>
      <c r="L573" s="112"/>
      <c r="M573" s="112"/>
      <c r="N573" s="112"/>
      <c r="O573" s="112"/>
      <c r="P573" s="112"/>
      <c r="Q573" s="112"/>
      <c r="R573" s="112"/>
      <c r="S573" s="112"/>
      <c r="T573" s="112"/>
      <c r="U573" s="112"/>
      <c r="V573" s="112"/>
      <c r="W573" s="112"/>
      <c r="X573" s="112"/>
      <c r="Y573" s="112"/>
      <c r="Z573" s="112"/>
    </row>
    <row r="574" spans="1:26" x14ac:dyDescent="0.2">
      <c r="A574" s="113">
        <f>'THE BOARD'!A341</f>
        <v>0</v>
      </c>
      <c r="B574" s="115">
        <f>'THE BOARD'!B341</f>
        <v>0</v>
      </c>
      <c r="C574" s="115"/>
      <c r="D574" s="115"/>
      <c r="E574" s="115"/>
      <c r="F574" s="115"/>
      <c r="G574" s="115"/>
      <c r="H574" s="115"/>
      <c r="I574" s="115"/>
      <c r="J574" s="115"/>
      <c r="K574" s="112"/>
      <c r="L574" s="112"/>
      <c r="M574" s="112"/>
      <c r="N574" s="112"/>
      <c r="O574" s="112"/>
      <c r="P574" s="112"/>
      <c r="Q574" s="112"/>
      <c r="R574" s="112"/>
      <c r="S574" s="112"/>
      <c r="T574" s="112"/>
      <c r="U574" s="112"/>
      <c r="V574" s="112"/>
      <c r="W574" s="112"/>
      <c r="X574" s="112"/>
      <c r="Y574" s="112"/>
      <c r="Z574" s="112"/>
    </row>
    <row r="575" spans="1:26" x14ac:dyDescent="0.2">
      <c r="A575" s="113">
        <f>'THE BOARD'!A342</f>
        <v>0</v>
      </c>
      <c r="B575" s="115">
        <f>'THE BOARD'!B342</f>
        <v>0</v>
      </c>
      <c r="C575" s="115"/>
      <c r="D575" s="115"/>
      <c r="E575" s="115"/>
      <c r="F575" s="115"/>
      <c r="G575" s="115"/>
      <c r="H575" s="115"/>
      <c r="I575" s="115"/>
      <c r="J575" s="115"/>
      <c r="K575" s="112"/>
      <c r="L575" s="112"/>
      <c r="M575" s="112"/>
      <c r="N575" s="112"/>
      <c r="O575" s="112"/>
      <c r="P575" s="112"/>
      <c r="Q575" s="112"/>
      <c r="R575" s="112"/>
      <c r="S575" s="112"/>
      <c r="T575" s="112"/>
      <c r="U575" s="112"/>
      <c r="V575" s="112"/>
      <c r="W575" s="112"/>
      <c r="X575" s="112"/>
      <c r="Y575" s="112"/>
      <c r="Z575" s="112"/>
    </row>
    <row r="576" spans="1:26" x14ac:dyDescent="0.2">
      <c r="A576" s="113">
        <f>'THE BOARD'!A343</f>
        <v>0</v>
      </c>
      <c r="B576" s="115">
        <f>'THE BOARD'!B343</f>
        <v>0</v>
      </c>
      <c r="C576" s="115"/>
      <c r="D576" s="115"/>
      <c r="E576" s="115"/>
      <c r="F576" s="115"/>
      <c r="G576" s="115"/>
      <c r="H576" s="115"/>
      <c r="I576" s="115"/>
      <c r="J576" s="115"/>
      <c r="K576" s="112"/>
      <c r="L576" s="112"/>
      <c r="M576" s="112"/>
      <c r="N576" s="112"/>
      <c r="O576" s="112"/>
      <c r="P576" s="112"/>
      <c r="Q576" s="112"/>
      <c r="R576" s="112"/>
      <c r="S576" s="112"/>
      <c r="T576" s="112"/>
      <c r="U576" s="112"/>
      <c r="V576" s="112"/>
      <c r="W576" s="112"/>
      <c r="X576" s="112"/>
      <c r="Y576" s="112"/>
      <c r="Z576" s="112"/>
    </row>
    <row r="577" spans="1:26" x14ac:dyDescent="0.2">
      <c r="A577" s="113">
        <f>'THE BOARD'!A344</f>
        <v>0</v>
      </c>
      <c r="B577" s="115">
        <f>'THE BOARD'!B344</f>
        <v>0</v>
      </c>
      <c r="C577" s="115"/>
      <c r="D577" s="115"/>
      <c r="E577" s="115"/>
      <c r="F577" s="115"/>
      <c r="G577" s="115"/>
      <c r="H577" s="115"/>
      <c r="I577" s="115"/>
      <c r="J577" s="115"/>
      <c r="K577" s="112"/>
      <c r="L577" s="112"/>
      <c r="M577" s="112"/>
      <c r="N577" s="112"/>
      <c r="O577" s="112"/>
      <c r="P577" s="112"/>
      <c r="Q577" s="112"/>
      <c r="R577" s="112"/>
      <c r="S577" s="112"/>
      <c r="T577" s="112"/>
      <c r="U577" s="112"/>
      <c r="V577" s="112"/>
      <c r="W577" s="112"/>
      <c r="X577" s="112"/>
      <c r="Y577" s="112"/>
      <c r="Z577" s="112"/>
    </row>
    <row r="578" spans="1:26" x14ac:dyDescent="0.2">
      <c r="A578" s="113">
        <f>'THE BOARD'!A345</f>
        <v>0</v>
      </c>
      <c r="B578" s="115">
        <f>'THE BOARD'!B345</f>
        <v>0</v>
      </c>
      <c r="C578" s="115"/>
      <c r="D578" s="115"/>
      <c r="E578" s="115"/>
      <c r="F578" s="115"/>
      <c r="G578" s="115"/>
      <c r="H578" s="115"/>
      <c r="I578" s="115"/>
      <c r="J578" s="115"/>
      <c r="K578" s="112"/>
      <c r="L578" s="112"/>
      <c r="M578" s="112"/>
      <c r="N578" s="112"/>
      <c r="O578" s="112"/>
      <c r="P578" s="112"/>
      <c r="Q578" s="112"/>
      <c r="R578" s="112"/>
      <c r="S578" s="112"/>
      <c r="T578" s="112"/>
      <c r="U578" s="112"/>
      <c r="V578" s="112"/>
      <c r="W578" s="112"/>
      <c r="X578" s="112"/>
      <c r="Y578" s="112"/>
      <c r="Z578" s="112"/>
    </row>
    <row r="579" spans="1:26" x14ac:dyDescent="0.2">
      <c r="A579" s="113">
        <f>'THE BOARD'!A346</f>
        <v>0</v>
      </c>
      <c r="B579" s="115">
        <f>'THE BOARD'!B346</f>
        <v>0</v>
      </c>
      <c r="C579" s="115"/>
      <c r="D579" s="115"/>
      <c r="E579" s="115"/>
      <c r="F579" s="115"/>
      <c r="G579" s="115"/>
      <c r="H579" s="115"/>
      <c r="I579" s="115"/>
      <c r="J579" s="115"/>
      <c r="K579" s="112"/>
      <c r="L579" s="112"/>
      <c r="M579" s="112"/>
      <c r="N579" s="112"/>
      <c r="O579" s="112"/>
      <c r="P579" s="112"/>
      <c r="Q579" s="112"/>
      <c r="R579" s="112"/>
      <c r="S579" s="112"/>
      <c r="T579" s="112"/>
      <c r="U579" s="112"/>
      <c r="V579" s="112"/>
      <c r="W579" s="112"/>
      <c r="X579" s="112"/>
      <c r="Y579" s="112"/>
      <c r="Z579" s="112"/>
    </row>
    <row r="580" spans="1:26" x14ac:dyDescent="0.2">
      <c r="A580" s="113">
        <f>'THE BOARD'!A347</f>
        <v>0</v>
      </c>
      <c r="B580" s="115">
        <f>'THE BOARD'!B347</f>
        <v>0</v>
      </c>
      <c r="C580" s="115"/>
      <c r="D580" s="115"/>
      <c r="E580" s="115"/>
      <c r="F580" s="115"/>
      <c r="G580" s="115"/>
      <c r="H580" s="115"/>
      <c r="I580" s="115"/>
      <c r="J580" s="115"/>
      <c r="K580" s="112"/>
      <c r="L580" s="112"/>
      <c r="M580" s="112"/>
      <c r="N580" s="112"/>
      <c r="O580" s="112"/>
      <c r="P580" s="112"/>
      <c r="Q580" s="112"/>
      <c r="R580" s="112"/>
      <c r="S580" s="112"/>
      <c r="T580" s="112"/>
      <c r="U580" s="112"/>
      <c r="V580" s="112"/>
      <c r="W580" s="112"/>
      <c r="X580" s="112"/>
      <c r="Y580" s="112"/>
      <c r="Z580" s="112"/>
    </row>
    <row r="581" spans="1:26" x14ac:dyDescent="0.2">
      <c r="A581" s="113">
        <f>'THE BOARD'!A348</f>
        <v>0</v>
      </c>
      <c r="B581" s="115">
        <f>'THE BOARD'!B348</f>
        <v>0</v>
      </c>
      <c r="C581" s="115"/>
      <c r="D581" s="115"/>
      <c r="E581" s="115"/>
      <c r="F581" s="115"/>
      <c r="G581" s="115"/>
      <c r="H581" s="115"/>
      <c r="I581" s="115"/>
      <c r="J581" s="115"/>
      <c r="K581" s="112"/>
      <c r="L581" s="112"/>
      <c r="M581" s="112"/>
      <c r="N581" s="112"/>
      <c r="O581" s="112"/>
      <c r="P581" s="112"/>
      <c r="Q581" s="112"/>
      <c r="R581" s="112"/>
      <c r="S581" s="112"/>
      <c r="T581" s="112"/>
      <c r="U581" s="112"/>
      <c r="V581" s="112"/>
      <c r="W581" s="112"/>
      <c r="X581" s="112"/>
      <c r="Y581" s="112"/>
      <c r="Z581" s="112"/>
    </row>
    <row r="582" spans="1:26" x14ac:dyDescent="0.2">
      <c r="A582" s="113">
        <f>'THE BOARD'!A349</f>
        <v>0</v>
      </c>
      <c r="B582" s="115">
        <f>'THE BOARD'!B349</f>
        <v>0</v>
      </c>
      <c r="C582" s="115"/>
      <c r="D582" s="115"/>
      <c r="E582" s="115"/>
      <c r="F582" s="115"/>
      <c r="G582" s="115"/>
      <c r="H582" s="115"/>
      <c r="I582" s="115"/>
      <c r="J582" s="115"/>
      <c r="K582" s="112"/>
      <c r="L582" s="112"/>
      <c r="M582" s="112"/>
      <c r="N582" s="112"/>
      <c r="O582" s="112"/>
      <c r="P582" s="112"/>
      <c r="Q582" s="112"/>
      <c r="R582" s="112"/>
      <c r="S582" s="112"/>
      <c r="T582" s="112"/>
      <c r="U582" s="112"/>
      <c r="V582" s="112"/>
      <c r="W582" s="112"/>
      <c r="X582" s="112"/>
      <c r="Y582" s="112"/>
      <c r="Z582" s="112"/>
    </row>
    <row r="583" spans="1:26" x14ac:dyDescent="0.2">
      <c r="A583" s="113">
        <f>'THE BOARD'!A350</f>
        <v>0</v>
      </c>
      <c r="B583" s="115">
        <f>'THE BOARD'!B350</f>
        <v>0</v>
      </c>
      <c r="C583" s="115"/>
      <c r="D583" s="115"/>
      <c r="E583" s="115"/>
      <c r="F583" s="115"/>
      <c r="G583" s="115"/>
      <c r="H583" s="115"/>
      <c r="I583" s="115"/>
      <c r="J583" s="115"/>
      <c r="K583" s="112"/>
      <c r="L583" s="112"/>
      <c r="M583" s="112"/>
      <c r="N583" s="112"/>
      <c r="O583" s="112"/>
      <c r="P583" s="112"/>
      <c r="Q583" s="112"/>
      <c r="R583" s="112"/>
      <c r="S583" s="112"/>
      <c r="T583" s="112"/>
      <c r="U583" s="112"/>
      <c r="V583" s="112"/>
      <c r="W583" s="112"/>
      <c r="X583" s="112"/>
      <c r="Y583" s="112"/>
      <c r="Z583" s="112"/>
    </row>
    <row r="584" spans="1:26" x14ac:dyDescent="0.2">
      <c r="A584" s="113">
        <f>'THE BOARD'!A351</f>
        <v>0</v>
      </c>
      <c r="B584" s="115">
        <f>'THE BOARD'!B351</f>
        <v>0</v>
      </c>
      <c r="C584" s="115"/>
      <c r="D584" s="115"/>
      <c r="E584" s="115"/>
      <c r="F584" s="115"/>
      <c r="G584" s="115"/>
      <c r="H584" s="115"/>
      <c r="I584" s="115"/>
      <c r="J584" s="115"/>
      <c r="K584" s="112"/>
      <c r="L584" s="112"/>
      <c r="M584" s="112"/>
      <c r="N584" s="112"/>
      <c r="O584" s="112"/>
      <c r="P584" s="112"/>
      <c r="Q584" s="112"/>
      <c r="R584" s="112"/>
      <c r="S584" s="112"/>
      <c r="T584" s="112"/>
      <c r="U584" s="112"/>
      <c r="V584" s="112"/>
      <c r="W584" s="112"/>
      <c r="X584" s="112"/>
      <c r="Y584" s="112"/>
      <c r="Z584" s="112"/>
    </row>
    <row r="585" spans="1:26" x14ac:dyDescent="0.2">
      <c r="A585" s="113">
        <f>'THE BOARD'!A352</f>
        <v>0</v>
      </c>
      <c r="B585" s="115">
        <f>'THE BOARD'!B352</f>
        <v>0</v>
      </c>
      <c r="C585" s="115"/>
      <c r="D585" s="115"/>
      <c r="E585" s="115"/>
      <c r="F585" s="115"/>
      <c r="G585" s="115"/>
      <c r="H585" s="115"/>
      <c r="I585" s="115"/>
      <c r="J585" s="115"/>
      <c r="K585" s="112"/>
      <c r="L585" s="112"/>
      <c r="M585" s="112"/>
      <c r="N585" s="112"/>
      <c r="O585" s="112"/>
      <c r="P585" s="112"/>
      <c r="Q585" s="112"/>
      <c r="R585" s="112"/>
      <c r="S585" s="112"/>
      <c r="T585" s="112"/>
      <c r="U585" s="112"/>
      <c r="V585" s="112"/>
      <c r="W585" s="112"/>
      <c r="X585" s="112"/>
      <c r="Y585" s="112"/>
      <c r="Z585" s="112"/>
    </row>
    <row r="586" spans="1:26" x14ac:dyDescent="0.2">
      <c r="A586" s="113">
        <f>'THE BOARD'!A353</f>
        <v>0</v>
      </c>
      <c r="B586" s="115">
        <f>'THE BOARD'!B353</f>
        <v>0</v>
      </c>
      <c r="C586" s="115"/>
      <c r="D586" s="115"/>
      <c r="E586" s="115"/>
      <c r="F586" s="115"/>
      <c r="G586" s="115"/>
      <c r="H586" s="115"/>
      <c r="I586" s="115"/>
      <c r="J586" s="115"/>
      <c r="K586" s="112"/>
      <c r="L586" s="112"/>
      <c r="M586" s="112"/>
      <c r="N586" s="112"/>
      <c r="O586" s="112"/>
      <c r="P586" s="112"/>
      <c r="Q586" s="112"/>
      <c r="R586" s="112"/>
      <c r="S586" s="112"/>
      <c r="T586" s="112"/>
      <c r="U586" s="112"/>
      <c r="V586" s="112"/>
      <c r="W586" s="112"/>
      <c r="X586" s="112"/>
      <c r="Y586" s="112"/>
      <c r="Z586" s="112"/>
    </row>
    <row r="587" spans="1:26" x14ac:dyDescent="0.2">
      <c r="A587" s="113">
        <f>'THE BOARD'!A354</f>
        <v>0</v>
      </c>
      <c r="B587" s="115">
        <f>'THE BOARD'!B354</f>
        <v>0</v>
      </c>
      <c r="C587" s="115"/>
      <c r="D587" s="115"/>
      <c r="E587" s="115"/>
      <c r="F587" s="115"/>
      <c r="G587" s="115"/>
      <c r="H587" s="115"/>
      <c r="I587" s="115"/>
      <c r="J587" s="115"/>
      <c r="K587" s="112"/>
      <c r="L587" s="112"/>
      <c r="M587" s="112"/>
      <c r="N587" s="112"/>
      <c r="O587" s="112"/>
      <c r="P587" s="112"/>
      <c r="Q587" s="112"/>
      <c r="R587" s="112"/>
      <c r="S587" s="112"/>
      <c r="T587" s="112"/>
      <c r="U587" s="112"/>
      <c r="V587" s="112"/>
      <c r="W587" s="112"/>
      <c r="X587" s="112"/>
      <c r="Y587" s="112"/>
      <c r="Z587" s="112"/>
    </row>
    <row r="588" spans="1:26" x14ac:dyDescent="0.2">
      <c r="A588" s="113">
        <f>'THE BOARD'!A355</f>
        <v>0</v>
      </c>
      <c r="B588" s="115">
        <f>'THE BOARD'!B355</f>
        <v>0</v>
      </c>
      <c r="C588" s="115"/>
      <c r="D588" s="115"/>
      <c r="E588" s="115"/>
      <c r="F588" s="115"/>
      <c r="G588" s="115"/>
      <c r="H588" s="115"/>
      <c r="I588" s="115"/>
      <c r="J588" s="115"/>
      <c r="K588" s="112"/>
      <c r="L588" s="112"/>
      <c r="M588" s="112"/>
      <c r="N588" s="112"/>
      <c r="O588" s="112"/>
      <c r="P588" s="112"/>
      <c r="Q588" s="112"/>
      <c r="R588" s="112"/>
      <c r="S588" s="112"/>
      <c r="T588" s="112"/>
      <c r="U588" s="112"/>
      <c r="V588" s="112"/>
      <c r="W588" s="112"/>
      <c r="X588" s="112"/>
      <c r="Y588" s="112"/>
      <c r="Z588" s="112"/>
    </row>
    <row r="589" spans="1:26" x14ac:dyDescent="0.2">
      <c r="A589" s="113">
        <f>'THE BOARD'!A356</f>
        <v>0</v>
      </c>
      <c r="B589" s="115">
        <f>'THE BOARD'!B356</f>
        <v>0</v>
      </c>
      <c r="C589" s="115"/>
      <c r="D589" s="115"/>
      <c r="E589" s="115"/>
      <c r="F589" s="115"/>
      <c r="G589" s="115"/>
      <c r="H589" s="115"/>
      <c r="I589" s="115"/>
      <c r="J589" s="115"/>
      <c r="K589" s="112"/>
      <c r="L589" s="112"/>
      <c r="M589" s="112"/>
      <c r="N589" s="112"/>
      <c r="O589" s="112"/>
      <c r="P589" s="112"/>
      <c r="Q589" s="112"/>
      <c r="R589" s="112"/>
      <c r="S589" s="112"/>
      <c r="T589" s="112"/>
      <c r="U589" s="112"/>
      <c r="V589" s="112"/>
      <c r="W589" s="112"/>
      <c r="X589" s="112"/>
      <c r="Y589" s="112"/>
      <c r="Z589" s="112"/>
    </row>
    <row r="590" spans="1:26" x14ac:dyDescent="0.2">
      <c r="A590" s="113">
        <f>'THE BOARD'!A357</f>
        <v>0</v>
      </c>
      <c r="B590" s="115">
        <f>'THE BOARD'!B357</f>
        <v>0</v>
      </c>
      <c r="C590" s="115"/>
      <c r="D590" s="115"/>
      <c r="E590" s="115"/>
      <c r="F590" s="115"/>
      <c r="G590" s="115"/>
      <c r="H590" s="115"/>
      <c r="I590" s="115"/>
      <c r="J590" s="115"/>
      <c r="K590" s="112"/>
      <c r="L590" s="112"/>
      <c r="M590" s="112"/>
      <c r="N590" s="112"/>
      <c r="O590" s="112"/>
      <c r="P590" s="112"/>
      <c r="Q590" s="112"/>
      <c r="R590" s="112"/>
      <c r="S590" s="112"/>
      <c r="T590" s="112"/>
      <c r="U590" s="112"/>
      <c r="V590" s="112"/>
      <c r="W590" s="112"/>
      <c r="X590" s="112"/>
      <c r="Y590" s="112"/>
      <c r="Z590" s="112"/>
    </row>
    <row r="591" spans="1:26" x14ac:dyDescent="0.2">
      <c r="A591" s="113">
        <f>'THE BOARD'!A358</f>
        <v>0</v>
      </c>
      <c r="B591" s="115">
        <f>'THE BOARD'!B358</f>
        <v>0</v>
      </c>
      <c r="C591" s="115"/>
      <c r="D591" s="115"/>
      <c r="E591" s="115"/>
      <c r="F591" s="115"/>
      <c r="G591" s="115"/>
      <c r="H591" s="115"/>
      <c r="I591" s="115"/>
      <c r="J591" s="115"/>
      <c r="K591" s="112"/>
      <c r="L591" s="112"/>
      <c r="M591" s="112"/>
      <c r="N591" s="112"/>
      <c r="O591" s="112"/>
      <c r="P591" s="112"/>
      <c r="Q591" s="112"/>
      <c r="R591" s="112"/>
      <c r="S591" s="112"/>
      <c r="T591" s="112"/>
      <c r="U591" s="112"/>
      <c r="V591" s="112"/>
      <c r="W591" s="112"/>
      <c r="X591" s="112"/>
      <c r="Y591" s="112"/>
      <c r="Z591" s="112"/>
    </row>
    <row r="592" spans="1:26" x14ac:dyDescent="0.2">
      <c r="A592" s="113">
        <f>'THE BOARD'!A359</f>
        <v>0</v>
      </c>
      <c r="B592" s="115">
        <f>'THE BOARD'!B359</f>
        <v>0</v>
      </c>
      <c r="C592" s="115"/>
      <c r="D592" s="115"/>
      <c r="E592" s="115"/>
      <c r="F592" s="115"/>
      <c r="G592" s="115"/>
      <c r="H592" s="115"/>
      <c r="I592" s="115"/>
      <c r="J592" s="115"/>
      <c r="K592" s="112"/>
      <c r="L592" s="112"/>
      <c r="M592" s="112"/>
      <c r="N592" s="112"/>
      <c r="O592" s="112"/>
      <c r="P592" s="112"/>
      <c r="Q592" s="112"/>
      <c r="R592" s="112"/>
      <c r="S592" s="112"/>
      <c r="T592" s="112"/>
      <c r="U592" s="112"/>
      <c r="V592" s="112"/>
      <c r="W592" s="112"/>
      <c r="X592" s="112"/>
      <c r="Y592" s="112"/>
      <c r="Z592" s="112"/>
    </row>
    <row r="593" spans="1:26" x14ac:dyDescent="0.2">
      <c r="A593" s="113">
        <f>'THE BOARD'!A360</f>
        <v>0</v>
      </c>
      <c r="B593" s="115">
        <f>'THE BOARD'!B360</f>
        <v>0</v>
      </c>
      <c r="C593" s="115"/>
      <c r="D593" s="115"/>
      <c r="E593" s="115"/>
      <c r="F593" s="115"/>
      <c r="G593" s="115"/>
      <c r="H593" s="115"/>
      <c r="I593" s="115"/>
      <c r="J593" s="115"/>
      <c r="K593" s="112"/>
      <c r="L593" s="112"/>
      <c r="M593" s="112"/>
      <c r="N593" s="112"/>
      <c r="O593" s="112"/>
      <c r="P593" s="112"/>
      <c r="Q593" s="112"/>
      <c r="R593" s="112"/>
      <c r="S593" s="112"/>
      <c r="T593" s="112"/>
      <c r="U593" s="112"/>
      <c r="V593" s="112"/>
      <c r="W593" s="112"/>
      <c r="X593" s="112"/>
      <c r="Y593" s="112"/>
      <c r="Z593" s="112"/>
    </row>
    <row r="594" spans="1:26" x14ac:dyDescent="0.2">
      <c r="A594" s="113">
        <f>'THE BOARD'!A361</f>
        <v>0</v>
      </c>
      <c r="B594" s="115">
        <f>'THE BOARD'!B361</f>
        <v>0</v>
      </c>
      <c r="C594" s="115"/>
      <c r="D594" s="115"/>
      <c r="E594" s="115"/>
      <c r="F594" s="115"/>
      <c r="G594" s="115"/>
      <c r="H594" s="115"/>
      <c r="I594" s="115"/>
      <c r="J594" s="115"/>
      <c r="K594" s="112"/>
      <c r="L594" s="112"/>
      <c r="M594" s="112"/>
      <c r="N594" s="112"/>
      <c r="O594" s="112"/>
      <c r="P594" s="112"/>
      <c r="Q594" s="112"/>
      <c r="R594" s="112"/>
      <c r="S594" s="112"/>
      <c r="T594" s="112"/>
      <c r="U594" s="112"/>
      <c r="V594" s="112"/>
      <c r="W594" s="112"/>
      <c r="X594" s="112"/>
      <c r="Y594" s="112"/>
      <c r="Z594" s="112"/>
    </row>
    <row r="595" spans="1:26" x14ac:dyDescent="0.2">
      <c r="A595" s="113">
        <f>'THE BOARD'!A362</f>
        <v>0</v>
      </c>
      <c r="B595" s="115">
        <f>'THE BOARD'!B362</f>
        <v>0</v>
      </c>
      <c r="C595" s="115"/>
      <c r="D595" s="115"/>
      <c r="E595" s="115"/>
      <c r="F595" s="115"/>
      <c r="G595" s="115"/>
      <c r="H595" s="115"/>
      <c r="I595" s="115"/>
      <c r="J595" s="115"/>
      <c r="K595" s="112"/>
      <c r="L595" s="112"/>
      <c r="M595" s="112"/>
      <c r="N595" s="112"/>
      <c r="O595" s="112"/>
      <c r="P595" s="112"/>
      <c r="Q595" s="112"/>
      <c r="R595" s="112"/>
      <c r="S595" s="112"/>
      <c r="T595" s="112"/>
      <c r="U595" s="112"/>
      <c r="V595" s="112"/>
      <c r="W595" s="112"/>
      <c r="X595" s="112"/>
      <c r="Y595" s="112"/>
      <c r="Z595" s="112"/>
    </row>
    <row r="596" spans="1:26" x14ac:dyDescent="0.2">
      <c r="A596" s="113">
        <f>'THE BOARD'!A363</f>
        <v>0</v>
      </c>
      <c r="B596" s="115">
        <f>'THE BOARD'!B363</f>
        <v>0</v>
      </c>
      <c r="C596" s="115"/>
      <c r="D596" s="115"/>
      <c r="E596" s="115"/>
      <c r="F596" s="115"/>
      <c r="G596" s="115"/>
      <c r="H596" s="115"/>
      <c r="I596" s="115"/>
      <c r="J596" s="115"/>
      <c r="K596" s="112"/>
      <c r="L596" s="112"/>
      <c r="M596" s="112"/>
      <c r="N596" s="112"/>
      <c r="O596" s="112"/>
      <c r="P596" s="112"/>
      <c r="Q596" s="112"/>
      <c r="R596" s="112"/>
      <c r="S596" s="112"/>
      <c r="T596" s="112"/>
      <c r="U596" s="112"/>
      <c r="V596" s="112"/>
      <c r="W596" s="112"/>
      <c r="X596" s="112"/>
      <c r="Y596" s="112"/>
      <c r="Z596" s="112"/>
    </row>
    <row r="597" spans="1:26" x14ac:dyDescent="0.2">
      <c r="A597" s="113">
        <f>'THE BOARD'!A364</f>
        <v>0</v>
      </c>
      <c r="B597" s="115">
        <f>'THE BOARD'!B364</f>
        <v>0</v>
      </c>
      <c r="C597" s="115"/>
      <c r="D597" s="115"/>
      <c r="E597" s="115"/>
      <c r="F597" s="115"/>
      <c r="G597" s="115"/>
      <c r="H597" s="115"/>
      <c r="I597" s="115"/>
      <c r="J597" s="115"/>
      <c r="K597" s="112"/>
      <c r="L597" s="112"/>
      <c r="M597" s="112"/>
      <c r="N597" s="112"/>
      <c r="O597" s="112"/>
      <c r="P597" s="112"/>
      <c r="Q597" s="112"/>
      <c r="R597" s="112"/>
      <c r="S597" s="112"/>
      <c r="T597" s="112"/>
      <c r="U597" s="112"/>
      <c r="V597" s="112"/>
      <c r="W597" s="112"/>
      <c r="X597" s="112"/>
      <c r="Y597" s="112"/>
      <c r="Z597" s="112"/>
    </row>
    <row r="598" spans="1:26" x14ac:dyDescent="0.2">
      <c r="A598" s="113">
        <f>'THE BOARD'!A365</f>
        <v>0</v>
      </c>
      <c r="B598" s="115">
        <f>'THE BOARD'!B365</f>
        <v>0</v>
      </c>
      <c r="C598" s="115"/>
      <c r="D598" s="115"/>
      <c r="E598" s="115"/>
      <c r="F598" s="115"/>
      <c r="G598" s="115"/>
      <c r="H598" s="115"/>
      <c r="I598" s="115"/>
      <c r="J598" s="115"/>
      <c r="K598" s="112"/>
      <c r="L598" s="112"/>
      <c r="M598" s="112"/>
      <c r="N598" s="112"/>
      <c r="O598" s="112"/>
      <c r="P598" s="112"/>
      <c r="Q598" s="112"/>
      <c r="R598" s="112"/>
      <c r="S598" s="112"/>
      <c r="T598" s="112"/>
      <c r="U598" s="112"/>
      <c r="V598" s="112"/>
      <c r="W598" s="112"/>
      <c r="X598" s="112"/>
      <c r="Y598" s="112"/>
      <c r="Z598" s="112"/>
    </row>
    <row r="599" spans="1:26" x14ac:dyDescent="0.2">
      <c r="A599" s="113">
        <f>'THE BOARD'!A366</f>
        <v>0</v>
      </c>
      <c r="B599" s="115">
        <f>'THE BOARD'!B366</f>
        <v>0</v>
      </c>
      <c r="C599" s="115"/>
      <c r="D599" s="115"/>
      <c r="E599" s="115"/>
      <c r="F599" s="115"/>
      <c r="G599" s="115"/>
      <c r="H599" s="115"/>
      <c r="I599" s="115"/>
      <c r="J599" s="115"/>
      <c r="K599" s="112"/>
      <c r="L599" s="112"/>
      <c r="M599" s="112"/>
      <c r="N599" s="112"/>
      <c r="O599" s="112"/>
      <c r="P599" s="112"/>
      <c r="Q599" s="112"/>
      <c r="R599" s="112"/>
      <c r="S599" s="112"/>
      <c r="T599" s="112"/>
      <c r="U599" s="112"/>
      <c r="V599" s="112"/>
      <c r="W599" s="112"/>
      <c r="X599" s="112"/>
      <c r="Y599" s="112"/>
      <c r="Z599" s="112"/>
    </row>
    <row r="600" spans="1:26" x14ac:dyDescent="0.2">
      <c r="A600" s="113">
        <f>'THE BOARD'!A367</f>
        <v>0</v>
      </c>
      <c r="B600" s="115">
        <f>'THE BOARD'!B367</f>
        <v>0</v>
      </c>
      <c r="C600" s="115"/>
      <c r="D600" s="115"/>
      <c r="E600" s="115"/>
      <c r="F600" s="115"/>
      <c r="G600" s="115"/>
      <c r="H600" s="115"/>
      <c r="I600" s="115"/>
      <c r="J600" s="115"/>
      <c r="K600" s="112"/>
      <c r="L600" s="112"/>
      <c r="M600" s="112"/>
      <c r="N600" s="112"/>
      <c r="O600" s="112"/>
      <c r="P600" s="112"/>
      <c r="Q600" s="112"/>
      <c r="R600" s="112"/>
      <c r="S600" s="112"/>
      <c r="T600" s="112"/>
      <c r="U600" s="112"/>
      <c r="V600" s="112"/>
      <c r="W600" s="112"/>
      <c r="X600" s="112"/>
      <c r="Y600" s="112"/>
      <c r="Z600" s="112"/>
    </row>
    <row r="601" spans="1:26" x14ac:dyDescent="0.2">
      <c r="A601" s="113">
        <f>'THE BOARD'!A368</f>
        <v>0</v>
      </c>
      <c r="B601" s="115">
        <f>'THE BOARD'!B368</f>
        <v>0</v>
      </c>
      <c r="C601" s="115"/>
      <c r="D601" s="115"/>
      <c r="E601" s="115"/>
      <c r="F601" s="115"/>
      <c r="G601" s="115"/>
      <c r="H601" s="115"/>
      <c r="I601" s="115"/>
      <c r="J601" s="115"/>
      <c r="K601" s="112"/>
      <c r="L601" s="112"/>
      <c r="M601" s="112"/>
      <c r="N601" s="112"/>
      <c r="O601" s="112"/>
      <c r="P601" s="112"/>
      <c r="Q601" s="112"/>
      <c r="R601" s="112"/>
      <c r="S601" s="112"/>
      <c r="T601" s="112"/>
      <c r="U601" s="112"/>
      <c r="V601" s="112"/>
      <c r="W601" s="112"/>
      <c r="X601" s="112"/>
      <c r="Y601" s="112"/>
      <c r="Z601" s="112"/>
    </row>
    <row r="602" spans="1:26" x14ac:dyDescent="0.2">
      <c r="A602" s="113">
        <f>'THE BOARD'!A369</f>
        <v>0</v>
      </c>
      <c r="B602" s="115">
        <f>'THE BOARD'!B369</f>
        <v>0</v>
      </c>
      <c r="C602" s="115"/>
      <c r="D602" s="115"/>
      <c r="E602" s="115"/>
      <c r="F602" s="115"/>
      <c r="G602" s="115"/>
      <c r="H602" s="115"/>
      <c r="I602" s="115"/>
      <c r="J602" s="115"/>
      <c r="K602" s="112"/>
      <c r="L602" s="112"/>
      <c r="M602" s="112"/>
      <c r="N602" s="112"/>
      <c r="O602" s="112"/>
      <c r="P602" s="112"/>
      <c r="Q602" s="112"/>
      <c r="R602" s="112"/>
      <c r="S602" s="112"/>
      <c r="T602" s="112"/>
      <c r="U602" s="112"/>
      <c r="V602" s="112"/>
      <c r="W602" s="112"/>
      <c r="X602" s="112"/>
      <c r="Y602" s="112"/>
      <c r="Z602" s="112"/>
    </row>
    <row r="603" spans="1:26" x14ac:dyDescent="0.2">
      <c r="A603" s="113">
        <f>'THE BOARD'!A370</f>
        <v>0</v>
      </c>
      <c r="B603" s="115">
        <f>'THE BOARD'!B370</f>
        <v>0</v>
      </c>
      <c r="C603" s="115"/>
      <c r="D603" s="115"/>
      <c r="E603" s="115"/>
      <c r="F603" s="115"/>
      <c r="G603" s="115"/>
      <c r="H603" s="115"/>
      <c r="I603" s="115"/>
      <c r="J603" s="115"/>
      <c r="K603" s="112"/>
      <c r="L603" s="112"/>
      <c r="M603" s="112"/>
      <c r="N603" s="112"/>
      <c r="O603" s="112"/>
      <c r="P603" s="112"/>
      <c r="Q603" s="112"/>
      <c r="R603" s="112"/>
      <c r="S603" s="112"/>
      <c r="T603" s="112"/>
      <c r="U603" s="112"/>
      <c r="V603" s="112"/>
      <c r="W603" s="112"/>
      <c r="X603" s="112"/>
      <c r="Y603" s="112"/>
      <c r="Z603" s="112"/>
    </row>
    <row r="604" spans="1:26" x14ac:dyDescent="0.2">
      <c r="A604" s="113">
        <f>'THE BOARD'!A371</f>
        <v>0</v>
      </c>
      <c r="B604" s="115">
        <f>'THE BOARD'!B371</f>
        <v>0</v>
      </c>
      <c r="C604" s="115"/>
      <c r="D604" s="115"/>
      <c r="E604" s="115"/>
      <c r="F604" s="115"/>
      <c r="G604" s="115"/>
      <c r="H604" s="115"/>
      <c r="I604" s="115"/>
      <c r="J604" s="115"/>
      <c r="K604" s="112"/>
      <c r="L604" s="112"/>
      <c r="M604" s="112"/>
      <c r="N604" s="112"/>
      <c r="O604" s="112"/>
      <c r="P604" s="112"/>
      <c r="Q604" s="112"/>
      <c r="R604" s="112"/>
      <c r="S604" s="112"/>
      <c r="T604" s="112"/>
      <c r="U604" s="112"/>
      <c r="V604" s="112"/>
      <c r="W604" s="112"/>
      <c r="X604" s="112"/>
      <c r="Y604" s="112"/>
      <c r="Z604" s="112"/>
    </row>
    <row r="605" spans="1:26" x14ac:dyDescent="0.2">
      <c r="A605" s="113">
        <f>'THE BOARD'!A372</f>
        <v>0</v>
      </c>
      <c r="B605" s="115">
        <f>'THE BOARD'!B372</f>
        <v>0</v>
      </c>
      <c r="C605" s="115"/>
      <c r="D605" s="115"/>
      <c r="E605" s="115"/>
      <c r="F605" s="115"/>
      <c r="G605" s="115"/>
      <c r="H605" s="115"/>
      <c r="I605" s="115"/>
      <c r="J605" s="115"/>
      <c r="K605" s="112"/>
      <c r="L605" s="112"/>
      <c r="M605" s="112"/>
      <c r="N605" s="112"/>
      <c r="O605" s="112"/>
      <c r="P605" s="112"/>
      <c r="Q605" s="112"/>
      <c r="R605" s="112"/>
      <c r="S605" s="112"/>
      <c r="T605" s="112"/>
      <c r="U605" s="112"/>
      <c r="V605" s="112"/>
      <c r="W605" s="112"/>
      <c r="X605" s="112"/>
      <c r="Y605" s="112"/>
      <c r="Z605" s="112"/>
    </row>
    <row r="606" spans="1:26" x14ac:dyDescent="0.2">
      <c r="A606" s="113">
        <f>'THE BOARD'!A373</f>
        <v>0</v>
      </c>
      <c r="B606" s="115">
        <f>'THE BOARD'!B373</f>
        <v>0</v>
      </c>
      <c r="C606" s="115"/>
      <c r="D606" s="115"/>
      <c r="E606" s="115"/>
      <c r="F606" s="115"/>
      <c r="G606" s="115"/>
      <c r="H606" s="115"/>
      <c r="I606" s="115"/>
      <c r="J606" s="115"/>
      <c r="K606" s="112"/>
      <c r="L606" s="112"/>
      <c r="M606" s="112"/>
      <c r="N606" s="112"/>
      <c r="O606" s="112"/>
      <c r="P606" s="112"/>
      <c r="Q606" s="112"/>
      <c r="R606" s="112"/>
      <c r="S606" s="112"/>
      <c r="T606" s="112"/>
      <c r="U606" s="112"/>
      <c r="V606" s="112"/>
      <c r="W606" s="112"/>
      <c r="X606" s="112"/>
      <c r="Y606" s="112"/>
      <c r="Z606" s="112"/>
    </row>
    <row r="607" spans="1:26" x14ac:dyDescent="0.2">
      <c r="A607" s="113">
        <f>'THE BOARD'!A374</f>
        <v>0</v>
      </c>
      <c r="B607" s="115">
        <f>'THE BOARD'!B374</f>
        <v>0</v>
      </c>
      <c r="C607" s="115"/>
      <c r="D607" s="115"/>
      <c r="E607" s="115"/>
      <c r="F607" s="115"/>
      <c r="G607" s="115"/>
      <c r="H607" s="115"/>
      <c r="I607" s="115"/>
      <c r="J607" s="115"/>
      <c r="K607" s="112"/>
      <c r="L607" s="112"/>
      <c r="M607" s="112"/>
      <c r="N607" s="112"/>
      <c r="O607" s="112"/>
      <c r="P607" s="112"/>
      <c r="Q607" s="112"/>
      <c r="R607" s="112"/>
      <c r="S607" s="112"/>
      <c r="T607" s="112"/>
      <c r="U607" s="112"/>
      <c r="V607" s="112"/>
      <c r="W607" s="112"/>
      <c r="X607" s="112"/>
      <c r="Y607" s="112"/>
      <c r="Z607" s="112"/>
    </row>
    <row r="608" spans="1:26" x14ac:dyDescent="0.2">
      <c r="A608" s="113">
        <f>'THE BOARD'!A375</f>
        <v>0</v>
      </c>
      <c r="B608" s="115">
        <f>'THE BOARD'!B375</f>
        <v>0</v>
      </c>
      <c r="C608" s="115"/>
      <c r="D608" s="115"/>
      <c r="E608" s="115"/>
      <c r="F608" s="115"/>
      <c r="G608" s="115"/>
      <c r="H608" s="115"/>
      <c r="I608" s="115"/>
      <c r="J608" s="115"/>
      <c r="K608" s="112"/>
      <c r="L608" s="112"/>
      <c r="M608" s="112"/>
      <c r="N608" s="112"/>
      <c r="O608" s="112"/>
      <c r="P608" s="112"/>
      <c r="Q608" s="112"/>
      <c r="R608" s="112"/>
      <c r="S608" s="112"/>
      <c r="T608" s="112"/>
      <c r="U608" s="112"/>
      <c r="V608" s="112"/>
      <c r="W608" s="112"/>
      <c r="X608" s="112"/>
      <c r="Y608" s="112"/>
      <c r="Z608" s="112"/>
    </row>
    <row r="609" spans="1:26" x14ac:dyDescent="0.2">
      <c r="A609" s="113">
        <f>'THE BOARD'!A376</f>
        <v>0</v>
      </c>
      <c r="B609" s="115">
        <f>'THE BOARD'!B376</f>
        <v>0</v>
      </c>
      <c r="C609" s="115"/>
      <c r="D609" s="115"/>
      <c r="E609" s="115"/>
      <c r="F609" s="115"/>
      <c r="G609" s="115"/>
      <c r="H609" s="115"/>
      <c r="I609" s="115"/>
      <c r="J609" s="115"/>
      <c r="K609" s="112"/>
      <c r="L609" s="112"/>
      <c r="M609" s="112"/>
      <c r="N609" s="112"/>
      <c r="O609" s="112"/>
      <c r="P609" s="112"/>
      <c r="Q609" s="112"/>
      <c r="R609" s="112"/>
      <c r="S609" s="112"/>
      <c r="T609" s="112"/>
      <c r="U609" s="112"/>
      <c r="V609" s="112"/>
      <c r="W609" s="112"/>
      <c r="X609" s="112"/>
      <c r="Y609" s="112"/>
      <c r="Z609" s="112"/>
    </row>
    <row r="610" spans="1:26" x14ac:dyDescent="0.2">
      <c r="A610" s="113">
        <f>'THE BOARD'!A377</f>
        <v>0</v>
      </c>
      <c r="B610" s="115">
        <f>'THE BOARD'!B377</f>
        <v>0</v>
      </c>
      <c r="C610" s="115"/>
      <c r="D610" s="115"/>
      <c r="E610" s="115"/>
      <c r="F610" s="115"/>
      <c r="G610" s="115"/>
      <c r="H610" s="115"/>
      <c r="I610" s="115"/>
      <c r="J610" s="115"/>
      <c r="K610" s="112"/>
      <c r="L610" s="112"/>
      <c r="M610" s="112"/>
      <c r="N610" s="112"/>
      <c r="O610" s="112"/>
      <c r="P610" s="112"/>
      <c r="Q610" s="112"/>
      <c r="R610" s="112"/>
      <c r="S610" s="112"/>
      <c r="T610" s="112"/>
      <c r="U610" s="112"/>
      <c r="V610" s="112"/>
      <c r="W610" s="112"/>
      <c r="X610" s="112"/>
      <c r="Y610" s="112"/>
      <c r="Z610" s="112"/>
    </row>
    <row r="611" spans="1:26" x14ac:dyDescent="0.2">
      <c r="A611" s="113">
        <f>'THE BOARD'!A378</f>
        <v>0</v>
      </c>
      <c r="B611" s="115">
        <f>'THE BOARD'!B378</f>
        <v>0</v>
      </c>
      <c r="C611" s="115"/>
      <c r="D611" s="115"/>
      <c r="E611" s="115"/>
      <c r="F611" s="115"/>
      <c r="G611" s="115"/>
      <c r="H611" s="115"/>
      <c r="I611" s="115"/>
      <c r="J611" s="115"/>
      <c r="K611" s="112"/>
      <c r="L611" s="112"/>
      <c r="M611" s="112"/>
      <c r="N611" s="112"/>
      <c r="O611" s="112"/>
      <c r="P611" s="112"/>
      <c r="Q611" s="112"/>
      <c r="R611" s="112"/>
      <c r="S611" s="112"/>
      <c r="T611" s="112"/>
      <c r="U611" s="112"/>
      <c r="V611" s="112"/>
      <c r="W611" s="112"/>
      <c r="X611" s="112"/>
      <c r="Y611" s="112"/>
      <c r="Z611" s="112"/>
    </row>
    <row r="612" spans="1:26" x14ac:dyDescent="0.2">
      <c r="A612" s="113">
        <f>'THE BOARD'!A379</f>
        <v>0</v>
      </c>
      <c r="B612" s="115">
        <f>'THE BOARD'!B379</f>
        <v>0</v>
      </c>
      <c r="C612" s="115"/>
      <c r="D612" s="115"/>
      <c r="E612" s="115"/>
      <c r="F612" s="115"/>
      <c r="G612" s="115"/>
      <c r="H612" s="115"/>
      <c r="I612" s="115"/>
      <c r="J612" s="115"/>
      <c r="K612" s="112"/>
      <c r="L612" s="112"/>
      <c r="M612" s="112"/>
      <c r="N612" s="112"/>
      <c r="O612" s="112"/>
      <c r="P612" s="112"/>
      <c r="Q612" s="112"/>
      <c r="R612" s="112"/>
      <c r="S612" s="112"/>
      <c r="T612" s="112"/>
      <c r="U612" s="112"/>
      <c r="V612" s="112"/>
      <c r="W612" s="112"/>
      <c r="X612" s="112"/>
      <c r="Y612" s="112"/>
      <c r="Z612" s="112"/>
    </row>
    <row r="613" spans="1:26" x14ac:dyDescent="0.2">
      <c r="A613" s="113">
        <f>'THE BOARD'!A380</f>
        <v>0</v>
      </c>
      <c r="B613" s="115">
        <f>'THE BOARD'!B380</f>
        <v>0</v>
      </c>
      <c r="C613" s="115"/>
      <c r="D613" s="115"/>
      <c r="E613" s="115"/>
      <c r="F613" s="115"/>
      <c r="G613" s="115"/>
      <c r="H613" s="115"/>
      <c r="I613" s="115"/>
      <c r="J613" s="115"/>
      <c r="K613" s="112"/>
      <c r="L613" s="112"/>
      <c r="M613" s="112"/>
      <c r="N613" s="112"/>
      <c r="O613" s="112"/>
      <c r="P613" s="112"/>
      <c r="Q613" s="112"/>
      <c r="R613" s="112"/>
      <c r="S613" s="112"/>
      <c r="T613" s="112"/>
      <c r="U613" s="112"/>
      <c r="V613" s="112"/>
      <c r="W613" s="112"/>
      <c r="X613" s="112"/>
      <c r="Y613" s="112"/>
      <c r="Z613" s="112"/>
    </row>
    <row r="614" spans="1:26" x14ac:dyDescent="0.2">
      <c r="A614" s="113">
        <f>'THE BOARD'!A381</f>
        <v>0</v>
      </c>
      <c r="B614" s="115">
        <f>'THE BOARD'!B381</f>
        <v>0</v>
      </c>
      <c r="C614" s="115"/>
      <c r="D614" s="115"/>
      <c r="E614" s="115"/>
      <c r="F614" s="115"/>
      <c r="G614" s="115"/>
      <c r="H614" s="115"/>
      <c r="I614" s="115"/>
      <c r="J614" s="115"/>
      <c r="K614" s="112"/>
      <c r="L614" s="112"/>
      <c r="M614" s="112"/>
      <c r="N614" s="112"/>
      <c r="O614" s="112"/>
      <c r="P614" s="112"/>
      <c r="Q614" s="112"/>
      <c r="R614" s="112"/>
      <c r="S614" s="112"/>
      <c r="T614" s="112"/>
      <c r="U614" s="112"/>
      <c r="V614" s="112"/>
      <c r="W614" s="112"/>
      <c r="X614" s="112"/>
      <c r="Y614" s="112"/>
      <c r="Z614" s="112"/>
    </row>
    <row r="615" spans="1:26" x14ac:dyDescent="0.2">
      <c r="A615" s="113">
        <f>'THE BOARD'!A382</f>
        <v>0</v>
      </c>
      <c r="B615" s="115">
        <f>'THE BOARD'!B382</f>
        <v>0</v>
      </c>
      <c r="C615" s="115"/>
      <c r="D615" s="115"/>
      <c r="E615" s="115"/>
      <c r="F615" s="115"/>
      <c r="G615" s="115"/>
      <c r="H615" s="115"/>
      <c r="I615" s="115"/>
      <c r="J615" s="115"/>
      <c r="K615" s="112"/>
      <c r="L615" s="112"/>
      <c r="M615" s="112"/>
      <c r="N615" s="112"/>
      <c r="O615" s="112"/>
      <c r="P615" s="112"/>
      <c r="Q615" s="112"/>
      <c r="R615" s="112"/>
      <c r="S615" s="112"/>
      <c r="T615" s="112"/>
      <c r="U615" s="112"/>
      <c r="V615" s="112"/>
      <c r="W615" s="112"/>
      <c r="X615" s="112"/>
      <c r="Y615" s="112"/>
      <c r="Z615" s="112"/>
    </row>
    <row r="616" spans="1:26" x14ac:dyDescent="0.2">
      <c r="A616" s="113">
        <f>'THE BOARD'!A383</f>
        <v>0</v>
      </c>
      <c r="B616" s="115">
        <f>'THE BOARD'!B383</f>
        <v>0</v>
      </c>
      <c r="C616" s="115"/>
      <c r="D616" s="115"/>
      <c r="E616" s="115"/>
      <c r="F616" s="115"/>
      <c r="G616" s="115"/>
      <c r="H616" s="115"/>
      <c r="I616" s="115"/>
      <c r="J616" s="115"/>
      <c r="K616" s="112"/>
      <c r="L616" s="112"/>
      <c r="M616" s="112"/>
      <c r="N616" s="112"/>
      <c r="O616" s="112"/>
      <c r="P616" s="112"/>
      <c r="Q616" s="112"/>
      <c r="R616" s="112"/>
      <c r="S616" s="112"/>
      <c r="T616" s="112"/>
      <c r="U616" s="112"/>
      <c r="V616" s="112"/>
      <c r="W616" s="112"/>
      <c r="X616" s="112"/>
      <c r="Y616" s="112"/>
      <c r="Z616" s="112"/>
    </row>
    <row r="617" spans="1:26" x14ac:dyDescent="0.2">
      <c r="A617" s="113">
        <f>'THE BOARD'!A384</f>
        <v>0</v>
      </c>
      <c r="B617" s="115">
        <f>'THE BOARD'!B384</f>
        <v>0</v>
      </c>
      <c r="C617" s="115"/>
      <c r="D617" s="115"/>
      <c r="E617" s="115"/>
      <c r="F617" s="115"/>
      <c r="G617" s="115"/>
      <c r="H617" s="115"/>
      <c r="I617" s="115"/>
      <c r="J617" s="115"/>
      <c r="K617" s="112"/>
      <c r="L617" s="112"/>
      <c r="M617" s="112"/>
      <c r="N617" s="112"/>
      <c r="O617" s="112"/>
      <c r="P617" s="112"/>
      <c r="Q617" s="112"/>
      <c r="R617" s="112"/>
      <c r="S617" s="112"/>
      <c r="T617" s="112"/>
      <c r="U617" s="112"/>
      <c r="V617" s="112"/>
      <c r="W617" s="112"/>
      <c r="X617" s="112"/>
      <c r="Y617" s="112"/>
      <c r="Z617" s="112"/>
    </row>
    <row r="618" spans="1:26" x14ac:dyDescent="0.2">
      <c r="A618" s="113">
        <f>'THE BOARD'!A385</f>
        <v>0</v>
      </c>
      <c r="B618" s="115">
        <f>'THE BOARD'!B385</f>
        <v>0</v>
      </c>
      <c r="C618" s="115"/>
      <c r="D618" s="115"/>
      <c r="E618" s="115"/>
      <c r="F618" s="115"/>
      <c r="G618" s="115"/>
      <c r="H618" s="115"/>
      <c r="I618" s="115"/>
      <c r="J618" s="115"/>
      <c r="K618" s="112"/>
      <c r="L618" s="112"/>
      <c r="M618" s="112"/>
      <c r="N618" s="112"/>
      <c r="O618" s="112"/>
      <c r="P618" s="112"/>
      <c r="Q618" s="112"/>
      <c r="R618" s="112"/>
      <c r="S618" s="112"/>
      <c r="T618" s="112"/>
      <c r="U618" s="112"/>
      <c r="V618" s="112"/>
      <c r="W618" s="112"/>
      <c r="X618" s="112"/>
      <c r="Y618" s="112"/>
      <c r="Z618" s="112"/>
    </row>
    <row r="619" spans="1:26" x14ac:dyDescent="0.2">
      <c r="A619" s="113">
        <f>'THE BOARD'!A386</f>
        <v>0</v>
      </c>
      <c r="B619" s="115">
        <f>'THE BOARD'!B386</f>
        <v>0</v>
      </c>
      <c r="C619" s="115"/>
      <c r="D619" s="115"/>
      <c r="E619" s="115"/>
      <c r="F619" s="115"/>
      <c r="G619" s="115"/>
      <c r="H619" s="115"/>
      <c r="I619" s="115"/>
      <c r="J619" s="115"/>
      <c r="K619" s="112"/>
      <c r="L619" s="112"/>
      <c r="M619" s="112"/>
      <c r="N619" s="112"/>
      <c r="O619" s="112"/>
      <c r="P619" s="112"/>
      <c r="Q619" s="112"/>
      <c r="R619" s="112"/>
      <c r="S619" s="112"/>
      <c r="T619" s="112"/>
      <c r="U619" s="112"/>
      <c r="V619" s="112"/>
      <c r="W619" s="112"/>
      <c r="X619" s="112"/>
      <c r="Y619" s="112"/>
      <c r="Z619" s="112"/>
    </row>
    <row r="620" spans="1:26" x14ac:dyDescent="0.2">
      <c r="A620" s="113">
        <f>'THE BOARD'!A387</f>
        <v>0</v>
      </c>
      <c r="B620" s="115">
        <f>'THE BOARD'!B387</f>
        <v>0</v>
      </c>
      <c r="C620" s="115"/>
      <c r="D620" s="115"/>
      <c r="E620" s="115"/>
      <c r="F620" s="115"/>
      <c r="G620" s="115"/>
      <c r="H620" s="115"/>
      <c r="I620" s="115"/>
      <c r="J620" s="115"/>
      <c r="K620" s="112"/>
      <c r="L620" s="112"/>
      <c r="M620" s="112"/>
      <c r="N620" s="112"/>
      <c r="O620" s="112"/>
      <c r="P620" s="112"/>
      <c r="Q620" s="112"/>
      <c r="R620" s="112"/>
      <c r="S620" s="112"/>
      <c r="T620" s="112"/>
      <c r="U620" s="112"/>
      <c r="V620" s="112"/>
      <c r="W620" s="112"/>
      <c r="X620" s="112"/>
      <c r="Y620" s="112"/>
      <c r="Z620" s="112"/>
    </row>
    <row r="621" spans="1:26" x14ac:dyDescent="0.2">
      <c r="A621" s="113">
        <f>'THE BOARD'!A388</f>
        <v>0</v>
      </c>
      <c r="B621" s="115">
        <f>'THE BOARD'!B388</f>
        <v>0</v>
      </c>
      <c r="C621" s="115"/>
      <c r="D621" s="115"/>
      <c r="E621" s="115"/>
      <c r="F621" s="115"/>
      <c r="G621" s="115"/>
      <c r="H621" s="115"/>
      <c r="I621" s="115"/>
      <c r="J621" s="115"/>
      <c r="K621" s="112"/>
      <c r="L621" s="112"/>
      <c r="M621" s="112"/>
      <c r="N621" s="112"/>
      <c r="O621" s="112"/>
      <c r="P621" s="112"/>
      <c r="Q621" s="112"/>
      <c r="R621" s="112"/>
      <c r="S621" s="112"/>
      <c r="T621" s="112"/>
      <c r="U621" s="112"/>
      <c r="V621" s="112"/>
      <c r="W621" s="112"/>
      <c r="X621" s="112"/>
      <c r="Y621" s="112"/>
      <c r="Z621" s="112"/>
    </row>
    <row r="622" spans="1:26" x14ac:dyDescent="0.2">
      <c r="A622" s="113">
        <f>'THE BOARD'!A389</f>
        <v>0</v>
      </c>
      <c r="B622" s="115">
        <f>'THE BOARD'!B389</f>
        <v>0</v>
      </c>
      <c r="C622" s="115"/>
      <c r="D622" s="115"/>
      <c r="E622" s="115"/>
      <c r="F622" s="115"/>
      <c r="G622" s="115"/>
      <c r="H622" s="115"/>
      <c r="I622" s="115"/>
      <c r="J622" s="115"/>
      <c r="K622" s="112"/>
      <c r="L622" s="112"/>
      <c r="M622" s="112"/>
      <c r="N622" s="112"/>
      <c r="O622" s="112"/>
      <c r="P622" s="112"/>
      <c r="Q622" s="112"/>
      <c r="R622" s="112"/>
      <c r="S622" s="112"/>
      <c r="T622" s="112"/>
      <c r="U622" s="112"/>
      <c r="V622" s="112"/>
      <c r="W622" s="112"/>
      <c r="X622" s="112"/>
      <c r="Y622" s="112"/>
      <c r="Z622" s="112"/>
    </row>
    <row r="623" spans="1:26" x14ac:dyDescent="0.2">
      <c r="A623" s="113">
        <f>'THE BOARD'!A390</f>
        <v>0</v>
      </c>
      <c r="B623" s="115">
        <f>'THE BOARD'!B390</f>
        <v>0</v>
      </c>
      <c r="C623" s="115"/>
      <c r="D623" s="115"/>
      <c r="E623" s="115"/>
      <c r="F623" s="115"/>
      <c r="G623" s="115"/>
      <c r="H623" s="115"/>
      <c r="I623" s="115"/>
      <c r="J623" s="115"/>
      <c r="K623" s="112"/>
      <c r="L623" s="112"/>
      <c r="M623" s="112"/>
      <c r="N623" s="112"/>
      <c r="O623" s="112"/>
      <c r="P623" s="112"/>
      <c r="Q623" s="112"/>
      <c r="R623" s="112"/>
      <c r="S623" s="112"/>
      <c r="T623" s="112"/>
      <c r="U623" s="112"/>
      <c r="V623" s="112"/>
      <c r="W623" s="112"/>
      <c r="X623" s="112"/>
      <c r="Y623" s="112"/>
      <c r="Z623" s="112"/>
    </row>
    <row r="624" spans="1:26" x14ac:dyDescent="0.2">
      <c r="A624" s="113">
        <f>'THE BOARD'!A391</f>
        <v>0</v>
      </c>
      <c r="B624" s="115">
        <f>'THE BOARD'!B391</f>
        <v>0</v>
      </c>
      <c r="C624" s="115"/>
      <c r="D624" s="115"/>
      <c r="E624" s="115"/>
      <c r="F624" s="115"/>
      <c r="G624" s="115"/>
      <c r="H624" s="115"/>
      <c r="I624" s="115"/>
      <c r="J624" s="115"/>
      <c r="K624" s="112"/>
      <c r="L624" s="112"/>
      <c r="M624" s="112"/>
      <c r="N624" s="112"/>
      <c r="O624" s="112"/>
      <c r="P624" s="112"/>
      <c r="Q624" s="112"/>
      <c r="R624" s="112"/>
      <c r="S624" s="112"/>
      <c r="T624" s="112"/>
      <c r="U624" s="112"/>
      <c r="V624" s="112"/>
      <c r="W624" s="112"/>
      <c r="X624" s="112"/>
      <c r="Y624" s="112"/>
      <c r="Z624" s="112"/>
    </row>
    <row r="625" spans="1:26" x14ac:dyDescent="0.2">
      <c r="A625" s="113">
        <f>'THE BOARD'!A392</f>
        <v>0</v>
      </c>
      <c r="B625" s="115">
        <f>'THE BOARD'!B392</f>
        <v>0</v>
      </c>
      <c r="C625" s="115"/>
      <c r="D625" s="115"/>
      <c r="E625" s="115"/>
      <c r="F625" s="115"/>
      <c r="G625" s="115"/>
      <c r="H625" s="115"/>
      <c r="I625" s="115"/>
      <c r="J625" s="115"/>
      <c r="K625" s="112"/>
      <c r="L625" s="112"/>
      <c r="M625" s="112"/>
      <c r="N625" s="112"/>
      <c r="O625" s="112"/>
      <c r="P625" s="112"/>
      <c r="Q625" s="112"/>
      <c r="R625" s="112"/>
      <c r="S625" s="112"/>
      <c r="T625" s="112"/>
      <c r="U625" s="112"/>
      <c r="V625" s="112"/>
      <c r="W625" s="112"/>
      <c r="X625" s="112"/>
      <c r="Y625" s="112"/>
      <c r="Z625" s="112"/>
    </row>
    <row r="626" spans="1:26" x14ac:dyDescent="0.2">
      <c r="A626" s="113">
        <f>'THE BOARD'!A393</f>
        <v>0</v>
      </c>
      <c r="B626" s="115">
        <f>'THE BOARD'!B393</f>
        <v>0</v>
      </c>
      <c r="C626" s="115"/>
      <c r="D626" s="115"/>
      <c r="E626" s="115"/>
      <c r="F626" s="115"/>
      <c r="G626" s="115"/>
      <c r="H626" s="115"/>
      <c r="I626" s="115"/>
      <c r="J626" s="115"/>
      <c r="K626" s="112"/>
      <c r="L626" s="112"/>
      <c r="M626" s="112"/>
      <c r="N626" s="112"/>
      <c r="O626" s="112"/>
      <c r="P626" s="112"/>
      <c r="Q626" s="112"/>
      <c r="R626" s="112"/>
      <c r="S626" s="112"/>
      <c r="T626" s="112"/>
      <c r="U626" s="112"/>
      <c r="V626" s="112"/>
      <c r="W626" s="112"/>
      <c r="X626" s="112"/>
      <c r="Y626" s="112"/>
      <c r="Z626" s="112"/>
    </row>
    <row r="627" spans="1:26" x14ac:dyDescent="0.2">
      <c r="A627" s="113">
        <f>'THE BOARD'!A394</f>
        <v>0</v>
      </c>
      <c r="B627" s="115">
        <f>'THE BOARD'!B394</f>
        <v>0</v>
      </c>
      <c r="C627" s="115"/>
      <c r="D627" s="115"/>
      <c r="E627" s="115"/>
      <c r="F627" s="115"/>
      <c r="G627" s="115"/>
      <c r="H627" s="115"/>
      <c r="I627" s="115"/>
      <c r="J627" s="115"/>
      <c r="K627" s="112"/>
      <c r="L627" s="112"/>
      <c r="M627" s="112"/>
      <c r="N627" s="112"/>
      <c r="O627" s="112"/>
      <c r="P627" s="112"/>
      <c r="Q627" s="112"/>
      <c r="R627" s="112"/>
      <c r="S627" s="112"/>
      <c r="T627" s="112"/>
      <c r="U627" s="112"/>
      <c r="V627" s="112"/>
      <c r="W627" s="112"/>
      <c r="X627" s="112"/>
      <c r="Y627" s="112"/>
      <c r="Z627" s="112"/>
    </row>
    <row r="628" spans="1:26" x14ac:dyDescent="0.2">
      <c r="A628" s="113">
        <f>'THE BOARD'!A395</f>
        <v>0</v>
      </c>
      <c r="B628" s="115">
        <f>'THE BOARD'!B395</f>
        <v>0</v>
      </c>
      <c r="C628" s="115"/>
      <c r="D628" s="115"/>
      <c r="E628" s="115"/>
      <c r="F628" s="115"/>
      <c r="G628" s="115"/>
      <c r="H628" s="115"/>
      <c r="I628" s="115"/>
      <c r="J628" s="115"/>
      <c r="K628" s="112"/>
      <c r="L628" s="112"/>
      <c r="M628" s="112"/>
      <c r="N628" s="112"/>
      <c r="O628" s="112"/>
      <c r="P628" s="112"/>
      <c r="Q628" s="112"/>
      <c r="R628" s="112"/>
      <c r="S628" s="112"/>
      <c r="T628" s="112"/>
      <c r="U628" s="112"/>
      <c r="V628" s="112"/>
      <c r="W628" s="112"/>
      <c r="X628" s="112"/>
      <c r="Y628" s="112"/>
      <c r="Z628" s="112"/>
    </row>
    <row r="629" spans="1:26" x14ac:dyDescent="0.2">
      <c r="A629" s="113">
        <f>'THE BOARD'!A396</f>
        <v>0</v>
      </c>
      <c r="B629" s="115">
        <f>'THE BOARD'!B396</f>
        <v>0</v>
      </c>
      <c r="C629" s="115"/>
      <c r="D629" s="115"/>
      <c r="E629" s="115"/>
      <c r="F629" s="115"/>
      <c r="G629" s="115"/>
      <c r="H629" s="115"/>
      <c r="I629" s="115"/>
      <c r="J629" s="115"/>
      <c r="K629" s="112"/>
      <c r="L629" s="112"/>
      <c r="M629" s="112"/>
      <c r="N629" s="112"/>
      <c r="O629" s="112"/>
      <c r="P629" s="112"/>
      <c r="Q629" s="112"/>
      <c r="R629" s="112"/>
      <c r="S629" s="112"/>
      <c r="T629" s="112"/>
      <c r="U629" s="112"/>
      <c r="V629" s="112"/>
      <c r="W629" s="112"/>
      <c r="X629" s="112"/>
      <c r="Y629" s="112"/>
      <c r="Z629" s="112"/>
    </row>
    <row r="630" spans="1:26" x14ac:dyDescent="0.2">
      <c r="A630" s="113">
        <f>'THE BOARD'!A397</f>
        <v>0</v>
      </c>
      <c r="B630" s="115">
        <f>'THE BOARD'!B397</f>
        <v>0</v>
      </c>
      <c r="C630" s="115"/>
      <c r="D630" s="115"/>
      <c r="E630" s="115"/>
      <c r="F630" s="115"/>
      <c r="G630" s="115"/>
      <c r="H630" s="115"/>
      <c r="I630" s="115"/>
      <c r="J630" s="115"/>
      <c r="K630" s="112"/>
      <c r="L630" s="112"/>
      <c r="M630" s="112"/>
      <c r="N630" s="112"/>
      <c r="O630" s="112"/>
      <c r="P630" s="112"/>
      <c r="Q630" s="112"/>
      <c r="R630" s="112"/>
      <c r="S630" s="112"/>
      <c r="T630" s="112"/>
      <c r="U630" s="112"/>
      <c r="V630" s="112"/>
      <c r="W630" s="112"/>
      <c r="X630" s="112"/>
      <c r="Y630" s="112"/>
      <c r="Z630" s="112"/>
    </row>
    <row r="631" spans="1:26" x14ac:dyDescent="0.2">
      <c r="A631" s="113">
        <f>'THE BOARD'!A398</f>
        <v>0</v>
      </c>
      <c r="B631" s="115">
        <f>'THE BOARD'!B398</f>
        <v>0</v>
      </c>
      <c r="C631" s="115"/>
      <c r="D631" s="115"/>
      <c r="E631" s="115"/>
      <c r="F631" s="115"/>
      <c r="G631" s="115"/>
      <c r="H631" s="115"/>
      <c r="I631" s="115"/>
      <c r="J631" s="115"/>
      <c r="K631" s="112"/>
      <c r="L631" s="112"/>
      <c r="M631" s="112"/>
      <c r="N631" s="112"/>
      <c r="O631" s="112"/>
      <c r="P631" s="112"/>
      <c r="Q631" s="112"/>
      <c r="R631" s="112"/>
      <c r="S631" s="112"/>
      <c r="T631" s="112"/>
      <c r="U631" s="112"/>
      <c r="V631" s="112"/>
      <c r="W631" s="112"/>
      <c r="X631" s="112"/>
      <c r="Y631" s="112"/>
      <c r="Z631" s="112"/>
    </row>
    <row r="632" spans="1:26" x14ac:dyDescent="0.2">
      <c r="A632" s="113">
        <f>'THE BOARD'!A399</f>
        <v>0</v>
      </c>
      <c r="B632" s="115">
        <f>'THE BOARD'!B399</f>
        <v>0</v>
      </c>
      <c r="C632" s="115"/>
      <c r="D632" s="115"/>
      <c r="E632" s="115"/>
      <c r="F632" s="115"/>
      <c r="G632" s="115"/>
      <c r="H632" s="115"/>
      <c r="I632" s="115"/>
      <c r="J632" s="115"/>
      <c r="K632" s="112"/>
      <c r="L632" s="112"/>
      <c r="M632" s="112"/>
      <c r="N632" s="112"/>
      <c r="O632" s="112"/>
      <c r="P632" s="112"/>
      <c r="Q632" s="112"/>
      <c r="R632" s="112"/>
      <c r="S632" s="112"/>
      <c r="T632" s="112"/>
      <c r="U632" s="112"/>
      <c r="V632" s="112"/>
      <c r="W632" s="112"/>
      <c r="X632" s="112"/>
      <c r="Y632" s="112"/>
      <c r="Z632" s="112"/>
    </row>
    <row r="633" spans="1:26" x14ac:dyDescent="0.2">
      <c r="A633" s="113">
        <f>'THE BOARD'!A400</f>
        <v>0</v>
      </c>
      <c r="B633" s="115">
        <f>'THE BOARD'!B400</f>
        <v>0</v>
      </c>
      <c r="C633" s="115"/>
      <c r="D633" s="115"/>
      <c r="E633" s="115"/>
      <c r="F633" s="115"/>
      <c r="G633" s="115"/>
      <c r="H633" s="115"/>
      <c r="I633" s="115"/>
      <c r="J633" s="115"/>
      <c r="K633" s="112"/>
      <c r="L633" s="112"/>
      <c r="M633" s="112"/>
      <c r="N633" s="112"/>
      <c r="O633" s="112"/>
      <c r="P633" s="112"/>
      <c r="Q633" s="112"/>
      <c r="R633" s="112"/>
      <c r="S633" s="112"/>
      <c r="T633" s="112"/>
      <c r="U633" s="112"/>
      <c r="V633" s="112"/>
      <c r="W633" s="112"/>
      <c r="X633" s="112"/>
      <c r="Y633" s="112"/>
      <c r="Z633" s="112"/>
    </row>
    <row r="634" spans="1:26" x14ac:dyDescent="0.2">
      <c r="A634" s="113">
        <f>'THE BOARD'!A401</f>
        <v>0</v>
      </c>
      <c r="B634" s="115">
        <f>'THE BOARD'!B401</f>
        <v>0</v>
      </c>
      <c r="C634" s="115"/>
      <c r="D634" s="115"/>
      <c r="E634" s="115"/>
      <c r="F634" s="115"/>
      <c r="G634" s="115"/>
      <c r="H634" s="115"/>
      <c r="I634" s="115"/>
      <c r="J634" s="115"/>
      <c r="K634" s="112"/>
      <c r="L634" s="112"/>
      <c r="M634" s="112"/>
      <c r="N634" s="112"/>
      <c r="O634" s="112"/>
      <c r="P634" s="112"/>
      <c r="Q634" s="112"/>
      <c r="R634" s="112"/>
      <c r="S634" s="112"/>
      <c r="T634" s="112"/>
      <c r="U634" s="112"/>
      <c r="V634" s="112"/>
      <c r="W634" s="112"/>
      <c r="X634" s="112"/>
      <c r="Y634" s="112"/>
      <c r="Z634" s="112"/>
    </row>
    <row r="635" spans="1:26" x14ac:dyDescent="0.2">
      <c r="A635" s="113">
        <f>'THE BOARD'!A402</f>
        <v>0</v>
      </c>
      <c r="B635" s="115">
        <f>'THE BOARD'!B402</f>
        <v>0</v>
      </c>
      <c r="C635" s="115"/>
      <c r="D635" s="115"/>
      <c r="E635" s="115"/>
      <c r="F635" s="115"/>
      <c r="G635" s="115"/>
      <c r="H635" s="115"/>
      <c r="I635" s="115"/>
      <c r="J635" s="115"/>
      <c r="K635" s="112"/>
      <c r="L635" s="112"/>
      <c r="M635" s="112"/>
      <c r="N635" s="112"/>
      <c r="O635" s="112"/>
      <c r="P635" s="112"/>
      <c r="Q635" s="112"/>
      <c r="R635" s="112"/>
      <c r="S635" s="112"/>
      <c r="T635" s="112"/>
      <c r="U635" s="112"/>
      <c r="V635" s="112"/>
      <c r="W635" s="112"/>
      <c r="X635" s="112"/>
      <c r="Y635" s="112"/>
      <c r="Z635" s="112"/>
    </row>
    <row r="636" spans="1:26" x14ac:dyDescent="0.2">
      <c r="A636" s="113">
        <f>'THE BOARD'!A403</f>
        <v>0</v>
      </c>
      <c r="B636" s="115">
        <f>'THE BOARD'!B403</f>
        <v>0</v>
      </c>
      <c r="C636" s="115"/>
      <c r="D636" s="115"/>
      <c r="E636" s="115"/>
      <c r="F636" s="115"/>
      <c r="G636" s="115"/>
      <c r="H636" s="115"/>
      <c r="I636" s="115"/>
      <c r="J636" s="115"/>
      <c r="K636" s="112"/>
      <c r="L636" s="112"/>
      <c r="M636" s="112"/>
      <c r="N636" s="112"/>
      <c r="O636" s="112"/>
      <c r="P636" s="112"/>
      <c r="Q636" s="112"/>
      <c r="R636" s="112"/>
      <c r="S636" s="112"/>
      <c r="T636" s="112"/>
      <c r="U636" s="112"/>
      <c r="V636" s="112"/>
      <c r="W636" s="112"/>
      <c r="X636" s="112"/>
      <c r="Y636" s="112"/>
      <c r="Z636" s="112"/>
    </row>
    <row r="637" spans="1:26" x14ac:dyDescent="0.2">
      <c r="A637" s="113">
        <f>'THE BOARD'!A404</f>
        <v>0</v>
      </c>
      <c r="B637" s="115">
        <f>'THE BOARD'!B404</f>
        <v>0</v>
      </c>
      <c r="C637" s="115"/>
      <c r="D637" s="115"/>
      <c r="E637" s="115"/>
      <c r="F637" s="115"/>
      <c r="G637" s="115"/>
      <c r="H637" s="115"/>
      <c r="I637" s="115"/>
      <c r="J637" s="115"/>
      <c r="K637" s="112"/>
      <c r="L637" s="112"/>
      <c r="M637" s="112"/>
      <c r="N637" s="112"/>
      <c r="O637" s="112"/>
      <c r="P637" s="112"/>
      <c r="Q637" s="112"/>
      <c r="R637" s="112"/>
      <c r="S637" s="112"/>
      <c r="T637" s="112"/>
      <c r="U637" s="112"/>
      <c r="V637" s="112"/>
      <c r="W637" s="112"/>
      <c r="X637" s="112"/>
      <c r="Y637" s="112"/>
      <c r="Z637" s="112"/>
    </row>
    <row r="638" spans="1:26" x14ac:dyDescent="0.2">
      <c r="A638" s="113">
        <f>'THE BOARD'!A405</f>
        <v>0</v>
      </c>
      <c r="B638" s="115">
        <f>'THE BOARD'!B405</f>
        <v>0</v>
      </c>
      <c r="C638" s="115"/>
      <c r="D638" s="115"/>
      <c r="E638" s="115"/>
      <c r="F638" s="115"/>
      <c r="G638" s="115"/>
      <c r="H638" s="115"/>
      <c r="I638" s="115"/>
      <c r="J638" s="115"/>
      <c r="K638" s="112"/>
      <c r="L638" s="112"/>
      <c r="M638" s="112"/>
      <c r="N638" s="112"/>
      <c r="O638" s="112"/>
      <c r="P638" s="112"/>
      <c r="Q638" s="112"/>
      <c r="R638" s="112"/>
      <c r="S638" s="112"/>
      <c r="T638" s="112"/>
      <c r="U638" s="112"/>
      <c r="V638" s="112"/>
      <c r="W638" s="112"/>
      <c r="X638" s="112"/>
      <c r="Y638" s="112"/>
      <c r="Z638" s="112"/>
    </row>
    <row r="639" spans="1:26" x14ac:dyDescent="0.2">
      <c r="A639" s="113">
        <f>'THE BOARD'!A406</f>
        <v>0</v>
      </c>
      <c r="B639" s="115">
        <f>'THE BOARD'!B406</f>
        <v>0</v>
      </c>
      <c r="C639" s="115"/>
      <c r="D639" s="115"/>
      <c r="E639" s="115"/>
      <c r="F639" s="115"/>
      <c r="G639" s="115"/>
      <c r="H639" s="115"/>
      <c r="I639" s="115"/>
      <c r="J639" s="115"/>
      <c r="K639" s="112"/>
      <c r="L639" s="112"/>
      <c r="M639" s="112"/>
      <c r="N639" s="112"/>
      <c r="O639" s="112"/>
      <c r="P639" s="112"/>
      <c r="Q639" s="112"/>
      <c r="R639" s="112"/>
      <c r="S639" s="112"/>
      <c r="T639" s="112"/>
      <c r="U639" s="112"/>
      <c r="V639" s="112"/>
      <c r="W639" s="112"/>
      <c r="X639" s="112"/>
      <c r="Y639" s="112"/>
      <c r="Z639" s="112"/>
    </row>
    <row r="640" spans="1:26" x14ac:dyDescent="0.2">
      <c r="A640" s="113">
        <f>'THE BOARD'!A407</f>
        <v>0</v>
      </c>
      <c r="B640" s="115">
        <f>'THE BOARD'!B407</f>
        <v>0</v>
      </c>
      <c r="C640" s="115"/>
      <c r="D640" s="115"/>
      <c r="E640" s="115"/>
      <c r="F640" s="115"/>
      <c r="G640" s="115"/>
      <c r="H640" s="115"/>
      <c r="I640" s="115"/>
      <c r="J640" s="115"/>
      <c r="K640" s="112"/>
      <c r="L640" s="112"/>
      <c r="M640" s="112"/>
      <c r="N640" s="112"/>
      <c r="O640" s="112"/>
      <c r="P640" s="112"/>
      <c r="Q640" s="112"/>
      <c r="R640" s="112"/>
      <c r="S640" s="112"/>
      <c r="T640" s="112"/>
      <c r="U640" s="112"/>
      <c r="V640" s="112"/>
      <c r="W640" s="112"/>
      <c r="X640" s="112"/>
      <c r="Y640" s="112"/>
      <c r="Z640" s="112"/>
    </row>
    <row r="641" spans="1:26" x14ac:dyDescent="0.2">
      <c r="A641" s="113">
        <f>'THE BOARD'!A408</f>
        <v>0</v>
      </c>
      <c r="B641" s="115">
        <f>'THE BOARD'!B408</f>
        <v>0</v>
      </c>
      <c r="C641" s="115"/>
      <c r="D641" s="115"/>
      <c r="E641" s="115"/>
      <c r="F641" s="115"/>
      <c r="G641" s="115"/>
      <c r="H641" s="115"/>
      <c r="I641" s="115"/>
      <c r="J641" s="115"/>
      <c r="K641" s="112"/>
      <c r="L641" s="112"/>
      <c r="M641" s="112"/>
      <c r="N641" s="112"/>
      <c r="O641" s="112"/>
      <c r="P641" s="112"/>
      <c r="Q641" s="112"/>
      <c r="R641" s="112"/>
      <c r="S641" s="112"/>
      <c r="T641" s="112"/>
      <c r="U641" s="112"/>
      <c r="V641" s="112"/>
      <c r="W641" s="112"/>
      <c r="X641" s="112"/>
      <c r="Y641" s="112"/>
      <c r="Z641" s="112"/>
    </row>
    <row r="642" spans="1:26" x14ac:dyDescent="0.2">
      <c r="A642" s="113">
        <f>'THE BOARD'!A409</f>
        <v>0</v>
      </c>
      <c r="B642" s="115">
        <f>'THE BOARD'!B409</f>
        <v>0</v>
      </c>
      <c r="C642" s="115"/>
      <c r="D642" s="115"/>
      <c r="E642" s="115"/>
      <c r="F642" s="115"/>
      <c r="G642" s="115"/>
      <c r="H642" s="115"/>
      <c r="I642" s="115"/>
      <c r="J642" s="115"/>
      <c r="K642" s="112"/>
      <c r="L642" s="112"/>
      <c r="M642" s="112"/>
      <c r="N642" s="112"/>
      <c r="O642" s="112"/>
      <c r="P642" s="112"/>
      <c r="Q642" s="112"/>
      <c r="R642" s="112"/>
      <c r="S642" s="112"/>
      <c r="T642" s="112"/>
      <c r="U642" s="112"/>
      <c r="V642" s="112"/>
      <c r="W642" s="112"/>
      <c r="X642" s="112"/>
      <c r="Y642" s="112"/>
      <c r="Z642" s="112"/>
    </row>
    <row r="643" spans="1:26" x14ac:dyDescent="0.2">
      <c r="A643" s="113">
        <f>'THE BOARD'!A410</f>
        <v>0</v>
      </c>
      <c r="B643" s="115">
        <f>'THE BOARD'!B410</f>
        <v>0</v>
      </c>
      <c r="C643" s="115"/>
      <c r="D643" s="115"/>
      <c r="E643" s="115"/>
      <c r="F643" s="115"/>
      <c r="G643" s="115"/>
      <c r="H643" s="115"/>
      <c r="I643" s="115"/>
      <c r="J643" s="115"/>
      <c r="K643" s="112"/>
      <c r="L643" s="112"/>
      <c r="M643" s="112"/>
      <c r="N643" s="112"/>
      <c r="O643" s="112"/>
      <c r="P643" s="112"/>
      <c r="Q643" s="112"/>
      <c r="R643" s="112"/>
      <c r="S643" s="112"/>
      <c r="T643" s="112"/>
      <c r="U643" s="112"/>
      <c r="V643" s="112"/>
      <c r="W643" s="112"/>
      <c r="X643" s="112"/>
      <c r="Y643" s="112"/>
      <c r="Z643" s="112"/>
    </row>
    <row r="644" spans="1:26" x14ac:dyDescent="0.2">
      <c r="A644" s="113">
        <f>'THE BOARD'!A411</f>
        <v>0</v>
      </c>
      <c r="B644" s="115">
        <f>'THE BOARD'!B411</f>
        <v>0</v>
      </c>
      <c r="C644" s="115"/>
      <c r="D644" s="115"/>
      <c r="E644" s="115"/>
      <c r="F644" s="115"/>
      <c r="G644" s="115"/>
      <c r="H644" s="115"/>
      <c r="I644" s="115"/>
      <c r="J644" s="115"/>
      <c r="K644" s="112"/>
      <c r="L644" s="112"/>
      <c r="M644" s="112"/>
      <c r="N644" s="112"/>
      <c r="O644" s="112"/>
      <c r="P644" s="112"/>
      <c r="Q644" s="112"/>
      <c r="R644" s="112"/>
      <c r="S644" s="112"/>
      <c r="T644" s="112"/>
      <c r="U644" s="112"/>
      <c r="V644" s="112"/>
      <c r="W644" s="112"/>
      <c r="X644" s="112"/>
      <c r="Y644" s="112"/>
      <c r="Z644" s="112"/>
    </row>
    <row r="645" spans="1:26" x14ac:dyDescent="0.2">
      <c r="A645" s="113">
        <f>'THE BOARD'!A412</f>
        <v>0</v>
      </c>
      <c r="B645" s="115">
        <f>'THE BOARD'!B412</f>
        <v>0</v>
      </c>
      <c r="C645" s="115"/>
      <c r="D645" s="115"/>
      <c r="E645" s="115"/>
      <c r="F645" s="115"/>
      <c r="G645" s="115"/>
      <c r="H645" s="115"/>
      <c r="I645" s="115"/>
      <c r="J645" s="115"/>
      <c r="K645" s="112"/>
      <c r="L645" s="112"/>
      <c r="M645" s="112"/>
      <c r="N645" s="112"/>
      <c r="O645" s="112"/>
      <c r="P645" s="112"/>
      <c r="Q645" s="112"/>
      <c r="R645" s="112"/>
      <c r="S645" s="112"/>
      <c r="T645" s="112"/>
      <c r="U645" s="112"/>
      <c r="V645" s="112"/>
      <c r="W645" s="112"/>
      <c r="X645" s="112"/>
      <c r="Y645" s="112"/>
      <c r="Z645" s="112"/>
    </row>
    <row r="646" spans="1:26" x14ac:dyDescent="0.2">
      <c r="A646" s="113">
        <f>'THE BOARD'!A413</f>
        <v>0</v>
      </c>
      <c r="B646" s="115">
        <f>'THE BOARD'!B413</f>
        <v>0</v>
      </c>
      <c r="C646" s="115"/>
      <c r="D646" s="115"/>
      <c r="E646" s="115"/>
      <c r="F646" s="115"/>
      <c r="G646" s="115"/>
      <c r="H646" s="115"/>
      <c r="I646" s="115"/>
      <c r="J646" s="115"/>
      <c r="K646" s="112"/>
      <c r="L646" s="112"/>
      <c r="M646" s="112"/>
      <c r="N646" s="112"/>
      <c r="O646" s="112"/>
      <c r="P646" s="112"/>
      <c r="Q646" s="112"/>
      <c r="R646" s="112"/>
      <c r="S646" s="112"/>
      <c r="T646" s="112"/>
      <c r="U646" s="112"/>
      <c r="V646" s="112"/>
      <c r="W646" s="112"/>
      <c r="X646" s="112"/>
      <c r="Y646" s="112"/>
      <c r="Z646" s="112"/>
    </row>
    <row r="647" spans="1:26" x14ac:dyDescent="0.2">
      <c r="A647" s="113">
        <f>'THE BOARD'!A414</f>
        <v>0</v>
      </c>
      <c r="B647" s="115">
        <f>'THE BOARD'!B414</f>
        <v>0</v>
      </c>
      <c r="C647" s="115"/>
      <c r="D647" s="115"/>
      <c r="E647" s="115"/>
      <c r="F647" s="115"/>
      <c r="G647" s="115"/>
      <c r="H647" s="115"/>
      <c r="I647" s="115"/>
      <c r="J647" s="115"/>
      <c r="K647" s="112"/>
      <c r="L647" s="112"/>
      <c r="M647" s="112"/>
      <c r="N647" s="112"/>
      <c r="O647" s="112"/>
      <c r="P647" s="112"/>
      <c r="Q647" s="112"/>
      <c r="R647" s="112"/>
      <c r="S647" s="112"/>
      <c r="T647" s="112"/>
      <c r="U647" s="112"/>
      <c r="V647" s="112"/>
      <c r="W647" s="112"/>
      <c r="X647" s="112"/>
      <c r="Y647" s="112"/>
      <c r="Z647" s="112"/>
    </row>
    <row r="648" spans="1:26" x14ac:dyDescent="0.2">
      <c r="A648" s="113">
        <f>'THE BOARD'!A415</f>
        <v>0</v>
      </c>
      <c r="B648" s="115">
        <f>'THE BOARD'!B415</f>
        <v>0</v>
      </c>
      <c r="C648" s="115"/>
      <c r="D648" s="115"/>
      <c r="E648" s="115"/>
      <c r="F648" s="115"/>
      <c r="G648" s="115"/>
      <c r="H648" s="115"/>
      <c r="I648" s="115"/>
      <c r="J648" s="115"/>
      <c r="K648" s="112"/>
      <c r="L648" s="112"/>
      <c r="M648" s="112"/>
      <c r="N648" s="112"/>
      <c r="O648" s="112"/>
      <c r="P648" s="112"/>
      <c r="Q648" s="112"/>
      <c r="R648" s="112"/>
      <c r="S648" s="112"/>
      <c r="T648" s="112"/>
      <c r="U648" s="112"/>
      <c r="V648" s="112"/>
      <c r="W648" s="112"/>
      <c r="X648" s="112"/>
      <c r="Y648" s="112"/>
      <c r="Z648" s="112"/>
    </row>
    <row r="649" spans="1:26" x14ac:dyDescent="0.2">
      <c r="A649" s="113">
        <f>'THE BOARD'!A416</f>
        <v>0</v>
      </c>
      <c r="B649" s="115">
        <f>'THE BOARD'!B416</f>
        <v>0</v>
      </c>
      <c r="C649" s="115"/>
      <c r="D649" s="115"/>
      <c r="E649" s="115"/>
      <c r="F649" s="115"/>
      <c r="G649" s="115"/>
      <c r="H649" s="115"/>
      <c r="I649" s="115"/>
      <c r="J649" s="115"/>
      <c r="K649" s="112"/>
      <c r="L649" s="112"/>
      <c r="M649" s="112"/>
      <c r="N649" s="112"/>
      <c r="O649" s="112"/>
      <c r="P649" s="112"/>
      <c r="Q649" s="112"/>
      <c r="R649" s="112"/>
      <c r="S649" s="112"/>
      <c r="T649" s="112"/>
      <c r="U649" s="112"/>
      <c r="V649" s="112"/>
      <c r="W649" s="112"/>
      <c r="X649" s="112"/>
      <c r="Y649" s="112"/>
      <c r="Z649" s="112"/>
    </row>
    <row r="650" spans="1:26" x14ac:dyDescent="0.2">
      <c r="A650" s="113">
        <f>'THE BOARD'!A417</f>
        <v>0</v>
      </c>
      <c r="B650" s="115">
        <f>'THE BOARD'!B417</f>
        <v>0</v>
      </c>
      <c r="C650" s="115"/>
      <c r="D650" s="115"/>
      <c r="E650" s="115"/>
      <c r="F650" s="115"/>
      <c r="G650" s="115"/>
      <c r="H650" s="115"/>
      <c r="I650" s="115"/>
      <c r="J650" s="115"/>
      <c r="K650" s="112"/>
      <c r="L650" s="112"/>
      <c r="M650" s="112"/>
      <c r="N650" s="112"/>
      <c r="O650" s="112"/>
      <c r="P650" s="112"/>
      <c r="Q650" s="112"/>
      <c r="R650" s="112"/>
      <c r="S650" s="112"/>
      <c r="T650" s="112"/>
      <c r="U650" s="112"/>
      <c r="V650" s="112"/>
      <c r="W650" s="112"/>
      <c r="X650" s="112"/>
      <c r="Y650" s="112"/>
      <c r="Z650" s="112"/>
    </row>
    <row r="651" spans="1:26" x14ac:dyDescent="0.2">
      <c r="A651" s="113">
        <f>'THE BOARD'!A418</f>
        <v>0</v>
      </c>
      <c r="B651" s="115">
        <f>'THE BOARD'!B418</f>
        <v>0</v>
      </c>
      <c r="C651" s="115"/>
      <c r="D651" s="115"/>
      <c r="E651" s="115"/>
      <c r="F651" s="115"/>
      <c r="G651" s="115"/>
      <c r="H651" s="115"/>
      <c r="I651" s="115"/>
      <c r="J651" s="115"/>
      <c r="K651" s="112"/>
      <c r="L651" s="112"/>
      <c r="M651" s="112"/>
      <c r="N651" s="112"/>
      <c r="O651" s="112"/>
      <c r="P651" s="112"/>
      <c r="Q651" s="112"/>
      <c r="R651" s="112"/>
      <c r="S651" s="112"/>
      <c r="T651" s="112"/>
      <c r="U651" s="112"/>
      <c r="V651" s="112"/>
      <c r="W651" s="112"/>
      <c r="X651" s="112"/>
      <c r="Y651" s="112"/>
      <c r="Z651" s="112"/>
    </row>
    <row r="652" spans="1:26" x14ac:dyDescent="0.2">
      <c r="A652" s="113">
        <f>'THE BOARD'!A419</f>
        <v>0</v>
      </c>
      <c r="B652" s="115">
        <f>'THE BOARD'!B419</f>
        <v>0</v>
      </c>
      <c r="C652" s="115"/>
      <c r="D652" s="115"/>
      <c r="E652" s="115"/>
      <c r="F652" s="115"/>
      <c r="G652" s="115"/>
      <c r="H652" s="115"/>
      <c r="I652" s="115"/>
      <c r="J652" s="115"/>
      <c r="K652" s="112"/>
      <c r="L652" s="112"/>
      <c r="M652" s="112"/>
      <c r="N652" s="112"/>
      <c r="O652" s="112"/>
      <c r="P652" s="112"/>
      <c r="Q652" s="112"/>
      <c r="R652" s="112"/>
      <c r="S652" s="112"/>
      <c r="T652" s="112"/>
      <c r="U652" s="112"/>
      <c r="V652" s="112"/>
      <c r="W652" s="112"/>
      <c r="X652" s="112"/>
      <c r="Y652" s="112"/>
      <c r="Z652" s="112"/>
    </row>
    <row r="653" spans="1:26" x14ac:dyDescent="0.2">
      <c r="A653" s="113">
        <f>'THE BOARD'!A420</f>
        <v>0</v>
      </c>
      <c r="B653" s="115">
        <f>'THE BOARD'!B420</f>
        <v>0</v>
      </c>
      <c r="C653" s="115"/>
      <c r="D653" s="115"/>
      <c r="E653" s="115"/>
      <c r="F653" s="115"/>
      <c r="G653" s="115"/>
      <c r="H653" s="115"/>
      <c r="I653" s="115"/>
      <c r="J653" s="115"/>
      <c r="K653" s="112"/>
      <c r="L653" s="112"/>
      <c r="M653" s="112"/>
      <c r="N653" s="112"/>
      <c r="O653" s="112"/>
      <c r="P653" s="112"/>
      <c r="Q653" s="112"/>
      <c r="R653" s="112"/>
      <c r="S653" s="112"/>
      <c r="T653" s="112"/>
      <c r="U653" s="112"/>
      <c r="V653" s="112"/>
      <c r="W653" s="112"/>
      <c r="X653" s="112"/>
      <c r="Y653" s="112"/>
      <c r="Z653" s="112"/>
    </row>
    <row r="654" spans="1:26" x14ac:dyDescent="0.2">
      <c r="A654" s="113">
        <f>'THE BOARD'!A421</f>
        <v>0</v>
      </c>
      <c r="B654" s="115">
        <f>'THE BOARD'!B421</f>
        <v>0</v>
      </c>
      <c r="C654" s="115"/>
      <c r="D654" s="115"/>
      <c r="E654" s="115"/>
      <c r="F654" s="115"/>
      <c r="G654" s="115"/>
      <c r="H654" s="115"/>
      <c r="I654" s="115"/>
      <c r="J654" s="115"/>
      <c r="K654" s="112"/>
      <c r="L654" s="112"/>
      <c r="M654" s="112"/>
      <c r="N654" s="112"/>
      <c r="O654" s="112"/>
      <c r="P654" s="112"/>
      <c r="Q654" s="112"/>
      <c r="R654" s="112"/>
      <c r="S654" s="112"/>
      <c r="T654" s="112"/>
      <c r="U654" s="112"/>
      <c r="V654" s="112"/>
      <c r="W654" s="112"/>
      <c r="X654" s="112"/>
      <c r="Y654" s="112"/>
      <c r="Z654" s="112"/>
    </row>
    <row r="655" spans="1:26" x14ac:dyDescent="0.2">
      <c r="A655" s="113">
        <f>'THE BOARD'!A422</f>
        <v>0</v>
      </c>
      <c r="B655" s="115">
        <f>'THE BOARD'!B422</f>
        <v>0</v>
      </c>
      <c r="C655" s="115"/>
      <c r="D655" s="115"/>
      <c r="E655" s="115"/>
      <c r="F655" s="115"/>
      <c r="G655" s="115"/>
      <c r="H655" s="115"/>
      <c r="I655" s="115"/>
      <c r="J655" s="115"/>
      <c r="K655" s="112"/>
      <c r="L655" s="112"/>
      <c r="M655" s="112"/>
      <c r="N655" s="112"/>
      <c r="O655" s="112"/>
      <c r="P655" s="112"/>
      <c r="Q655" s="112"/>
      <c r="R655" s="112"/>
      <c r="S655" s="112"/>
      <c r="T655" s="112"/>
      <c r="U655" s="112"/>
      <c r="V655" s="112"/>
      <c r="W655" s="112"/>
      <c r="X655" s="112"/>
      <c r="Y655" s="112"/>
      <c r="Z655" s="112"/>
    </row>
    <row r="656" spans="1:26" x14ac:dyDescent="0.2">
      <c r="A656" s="113">
        <f>'THE BOARD'!A423</f>
        <v>0</v>
      </c>
      <c r="B656" s="115">
        <f>'THE BOARD'!B423</f>
        <v>0</v>
      </c>
      <c r="C656" s="115"/>
      <c r="D656" s="115"/>
      <c r="E656" s="115"/>
      <c r="F656" s="115"/>
      <c r="G656" s="115"/>
      <c r="H656" s="115"/>
      <c r="I656" s="115"/>
      <c r="J656" s="115"/>
      <c r="K656" s="112"/>
      <c r="L656" s="112"/>
      <c r="M656" s="112"/>
      <c r="N656" s="112"/>
      <c r="O656" s="112"/>
      <c r="P656" s="112"/>
      <c r="Q656" s="112"/>
      <c r="R656" s="112"/>
      <c r="S656" s="112"/>
      <c r="T656" s="112"/>
      <c r="U656" s="112"/>
      <c r="V656" s="112"/>
      <c r="W656" s="112"/>
      <c r="X656" s="112"/>
      <c r="Y656" s="112"/>
      <c r="Z656" s="112"/>
    </row>
    <row r="657" spans="1:26" x14ac:dyDescent="0.2">
      <c r="A657" s="113">
        <f>'THE BOARD'!A424</f>
        <v>0</v>
      </c>
      <c r="B657" s="115">
        <f>'THE BOARD'!B424</f>
        <v>0</v>
      </c>
      <c r="C657" s="115"/>
      <c r="D657" s="115"/>
      <c r="E657" s="115"/>
      <c r="F657" s="115"/>
      <c r="G657" s="115"/>
      <c r="H657" s="115"/>
      <c r="I657" s="115"/>
      <c r="J657" s="115"/>
      <c r="K657" s="112"/>
      <c r="L657" s="112"/>
      <c r="M657" s="112"/>
      <c r="N657" s="112"/>
      <c r="O657" s="112"/>
      <c r="P657" s="112"/>
      <c r="Q657" s="112"/>
      <c r="R657" s="112"/>
      <c r="S657" s="112"/>
      <c r="T657" s="112"/>
      <c r="U657" s="112"/>
      <c r="V657" s="112"/>
      <c r="W657" s="112"/>
      <c r="X657" s="112"/>
      <c r="Y657" s="112"/>
      <c r="Z657" s="112"/>
    </row>
    <row r="658" spans="1:26" x14ac:dyDescent="0.2">
      <c r="A658" s="113">
        <f>'THE BOARD'!A425</f>
        <v>0</v>
      </c>
      <c r="B658" s="115">
        <f>'THE BOARD'!B425</f>
        <v>0</v>
      </c>
      <c r="C658" s="115"/>
      <c r="D658" s="115"/>
      <c r="E658" s="115"/>
      <c r="F658" s="115"/>
      <c r="G658" s="115"/>
      <c r="H658" s="115"/>
      <c r="I658" s="115"/>
      <c r="J658" s="115"/>
      <c r="K658" s="112"/>
      <c r="L658" s="112"/>
      <c r="M658" s="112"/>
      <c r="N658" s="112"/>
      <c r="O658" s="112"/>
      <c r="P658" s="112"/>
      <c r="Q658" s="112"/>
      <c r="R658" s="112"/>
      <c r="S658" s="112"/>
      <c r="T658" s="112"/>
      <c r="U658" s="112"/>
      <c r="V658" s="112"/>
      <c r="W658" s="112"/>
      <c r="X658" s="112"/>
      <c r="Y658" s="112"/>
      <c r="Z658" s="112"/>
    </row>
    <row r="659" spans="1:26" x14ac:dyDescent="0.2">
      <c r="A659" s="113">
        <f>'THE BOARD'!A426</f>
        <v>0</v>
      </c>
      <c r="B659" s="115">
        <f>'THE BOARD'!B426</f>
        <v>0</v>
      </c>
      <c r="C659" s="115"/>
      <c r="D659" s="115"/>
      <c r="E659" s="115"/>
      <c r="F659" s="115"/>
      <c r="G659" s="115"/>
      <c r="H659" s="115"/>
      <c r="I659" s="115"/>
      <c r="J659" s="115"/>
      <c r="K659" s="112"/>
      <c r="L659" s="112"/>
      <c r="M659" s="112"/>
      <c r="N659" s="112"/>
      <c r="O659" s="112"/>
      <c r="P659" s="112"/>
      <c r="Q659" s="112"/>
      <c r="R659" s="112"/>
      <c r="S659" s="112"/>
      <c r="T659" s="112"/>
      <c r="U659" s="112"/>
      <c r="V659" s="112"/>
      <c r="W659" s="112"/>
      <c r="X659" s="112"/>
      <c r="Y659" s="112"/>
      <c r="Z659" s="112"/>
    </row>
    <row r="660" spans="1:26" x14ac:dyDescent="0.2">
      <c r="A660" s="113">
        <f>'THE BOARD'!A427</f>
        <v>0</v>
      </c>
      <c r="B660" s="115">
        <f>'THE BOARD'!B427</f>
        <v>0</v>
      </c>
      <c r="C660" s="115"/>
      <c r="D660" s="115"/>
      <c r="E660" s="115"/>
      <c r="F660" s="115"/>
      <c r="G660" s="115"/>
      <c r="H660" s="115"/>
      <c r="I660" s="115"/>
      <c r="J660" s="115"/>
      <c r="K660" s="112"/>
      <c r="L660" s="112"/>
      <c r="M660" s="112"/>
      <c r="N660" s="112"/>
      <c r="O660" s="112"/>
      <c r="P660" s="112"/>
      <c r="Q660" s="112"/>
      <c r="R660" s="112"/>
      <c r="S660" s="112"/>
      <c r="T660" s="112"/>
      <c r="U660" s="112"/>
      <c r="V660" s="112"/>
      <c r="W660" s="112"/>
      <c r="X660" s="112"/>
      <c r="Y660" s="112"/>
      <c r="Z660" s="112"/>
    </row>
    <row r="661" spans="1:26" x14ac:dyDescent="0.2">
      <c r="A661" s="113">
        <f>'THE BOARD'!A428</f>
        <v>0</v>
      </c>
      <c r="B661" s="115">
        <f>'THE BOARD'!B428</f>
        <v>0</v>
      </c>
      <c r="C661" s="115"/>
      <c r="D661" s="115"/>
      <c r="E661" s="115"/>
      <c r="F661" s="115"/>
      <c r="G661" s="115"/>
      <c r="H661" s="115"/>
      <c r="I661" s="115"/>
      <c r="J661" s="115"/>
      <c r="K661" s="112"/>
      <c r="L661" s="112"/>
      <c r="M661" s="112"/>
      <c r="N661" s="112"/>
      <c r="O661" s="112"/>
      <c r="P661" s="112"/>
      <c r="Q661" s="112"/>
      <c r="R661" s="112"/>
      <c r="S661" s="112"/>
      <c r="T661" s="112"/>
      <c r="U661" s="112"/>
      <c r="V661" s="112"/>
      <c r="W661" s="112"/>
      <c r="X661" s="112"/>
      <c r="Y661" s="112"/>
      <c r="Z661" s="112"/>
    </row>
    <row r="662" spans="1:26" x14ac:dyDescent="0.2">
      <c r="A662" s="113">
        <f>'THE BOARD'!A429</f>
        <v>0</v>
      </c>
      <c r="B662" s="115">
        <f>'THE BOARD'!B429</f>
        <v>0</v>
      </c>
      <c r="C662" s="115"/>
      <c r="D662" s="115"/>
      <c r="E662" s="115"/>
      <c r="F662" s="115"/>
      <c r="G662" s="115"/>
      <c r="H662" s="115"/>
      <c r="I662" s="115"/>
      <c r="J662" s="115"/>
      <c r="K662" s="112"/>
      <c r="L662" s="112"/>
      <c r="M662" s="112"/>
      <c r="N662" s="112"/>
      <c r="O662" s="112"/>
      <c r="P662" s="112"/>
      <c r="Q662" s="112"/>
      <c r="R662" s="112"/>
      <c r="S662" s="112"/>
      <c r="T662" s="112"/>
      <c r="U662" s="112"/>
      <c r="V662" s="112"/>
      <c r="W662" s="112"/>
      <c r="X662" s="112"/>
      <c r="Y662" s="112"/>
      <c r="Z662" s="112"/>
    </row>
    <row r="663" spans="1:26" x14ac:dyDescent="0.2">
      <c r="A663" s="113">
        <f>'THE BOARD'!A430</f>
        <v>0</v>
      </c>
      <c r="B663" s="115">
        <f>'THE BOARD'!B430</f>
        <v>0</v>
      </c>
      <c r="C663" s="115"/>
      <c r="D663" s="115"/>
      <c r="E663" s="115"/>
      <c r="F663" s="115"/>
      <c r="G663" s="115"/>
      <c r="H663" s="115"/>
      <c r="I663" s="115"/>
      <c r="J663" s="115"/>
      <c r="K663" s="112"/>
      <c r="L663" s="112"/>
      <c r="M663" s="112"/>
      <c r="N663" s="112"/>
      <c r="O663" s="112"/>
      <c r="P663" s="112"/>
      <c r="Q663" s="112"/>
      <c r="R663" s="112"/>
      <c r="S663" s="112"/>
      <c r="T663" s="112"/>
      <c r="U663" s="112"/>
      <c r="V663" s="112"/>
      <c r="W663" s="112"/>
      <c r="X663" s="112"/>
      <c r="Y663" s="112"/>
      <c r="Z663" s="112"/>
    </row>
    <row r="664" spans="1:26" x14ac:dyDescent="0.2">
      <c r="A664" s="113">
        <f>'THE BOARD'!A431</f>
        <v>0</v>
      </c>
      <c r="B664" s="115">
        <f>'THE BOARD'!B431</f>
        <v>0</v>
      </c>
      <c r="C664" s="115"/>
      <c r="D664" s="115"/>
      <c r="E664" s="115"/>
      <c r="F664" s="115"/>
      <c r="G664" s="115"/>
      <c r="H664" s="115"/>
      <c r="I664" s="115"/>
      <c r="J664" s="115"/>
      <c r="K664" s="112"/>
      <c r="L664" s="112"/>
      <c r="M664" s="112"/>
      <c r="N664" s="112"/>
      <c r="O664" s="112"/>
      <c r="P664" s="112"/>
      <c r="Q664" s="112"/>
      <c r="R664" s="112"/>
      <c r="S664" s="112"/>
      <c r="T664" s="112"/>
      <c r="U664" s="112"/>
      <c r="V664" s="112"/>
      <c r="W664" s="112"/>
      <c r="X664" s="112"/>
      <c r="Y664" s="112"/>
      <c r="Z664" s="112"/>
    </row>
    <row r="665" spans="1:26" x14ac:dyDescent="0.2">
      <c r="A665" s="113">
        <f>'THE BOARD'!A432</f>
        <v>0</v>
      </c>
      <c r="B665" s="115">
        <f>'THE BOARD'!B432</f>
        <v>0</v>
      </c>
      <c r="C665" s="115"/>
      <c r="D665" s="115"/>
      <c r="E665" s="115"/>
      <c r="F665" s="115"/>
      <c r="G665" s="115"/>
      <c r="H665" s="115"/>
      <c r="I665" s="115"/>
      <c r="J665" s="115"/>
      <c r="K665" s="112"/>
      <c r="L665" s="112"/>
      <c r="M665" s="112"/>
      <c r="N665" s="112"/>
      <c r="O665" s="112"/>
      <c r="P665" s="112"/>
      <c r="Q665" s="112"/>
      <c r="R665" s="112"/>
      <c r="S665" s="112"/>
      <c r="T665" s="112"/>
      <c r="U665" s="112"/>
      <c r="V665" s="112"/>
      <c r="W665" s="112"/>
      <c r="X665" s="112"/>
      <c r="Y665" s="112"/>
      <c r="Z665" s="112"/>
    </row>
    <row r="666" spans="1:26" x14ac:dyDescent="0.2">
      <c r="A666" s="113">
        <f>'THE BOARD'!A433</f>
        <v>0</v>
      </c>
      <c r="B666" s="115">
        <f>'THE BOARD'!B433</f>
        <v>0</v>
      </c>
      <c r="C666" s="115"/>
      <c r="D666" s="115"/>
      <c r="E666" s="115"/>
      <c r="F666" s="115"/>
      <c r="G666" s="115"/>
      <c r="H666" s="115"/>
      <c r="I666" s="115"/>
      <c r="J666" s="115"/>
      <c r="K666" s="112"/>
      <c r="L666" s="112"/>
      <c r="M666" s="112"/>
      <c r="N666" s="112"/>
      <c r="O666" s="112"/>
      <c r="P666" s="112"/>
      <c r="Q666" s="112"/>
      <c r="R666" s="112"/>
      <c r="S666" s="112"/>
      <c r="T666" s="112"/>
      <c r="U666" s="112"/>
      <c r="V666" s="112"/>
      <c r="W666" s="112"/>
      <c r="X666" s="112"/>
      <c r="Y666" s="112"/>
      <c r="Z666" s="112"/>
    </row>
    <row r="667" spans="1:26" x14ac:dyDescent="0.2">
      <c r="A667" s="113">
        <f>'THE BOARD'!A434</f>
        <v>0</v>
      </c>
      <c r="B667" s="115">
        <f>'THE BOARD'!B434</f>
        <v>0</v>
      </c>
      <c r="C667" s="115"/>
      <c r="D667" s="115"/>
      <c r="E667" s="115"/>
      <c r="F667" s="115"/>
      <c r="G667" s="115"/>
      <c r="H667" s="115"/>
      <c r="I667" s="115"/>
      <c r="J667" s="115"/>
      <c r="K667" s="112"/>
      <c r="L667" s="112"/>
      <c r="M667" s="112"/>
      <c r="N667" s="112"/>
      <c r="O667" s="112"/>
      <c r="P667" s="112"/>
      <c r="Q667" s="112"/>
      <c r="R667" s="112"/>
      <c r="S667" s="112"/>
      <c r="T667" s="112"/>
      <c r="U667" s="112"/>
      <c r="V667" s="112"/>
      <c r="W667" s="112"/>
      <c r="X667" s="112"/>
      <c r="Y667" s="112"/>
      <c r="Z667" s="112"/>
    </row>
    <row r="668" spans="1:26" x14ac:dyDescent="0.2">
      <c r="A668" s="113">
        <f>'THE BOARD'!A435</f>
        <v>0</v>
      </c>
      <c r="B668" s="115">
        <f>'THE BOARD'!B435</f>
        <v>0</v>
      </c>
      <c r="C668" s="115"/>
      <c r="D668" s="115"/>
      <c r="E668" s="115"/>
      <c r="F668" s="115"/>
      <c r="G668" s="115"/>
      <c r="H668" s="115"/>
      <c r="I668" s="115"/>
      <c r="J668" s="115"/>
      <c r="K668" s="112"/>
      <c r="L668" s="112"/>
      <c r="M668" s="112"/>
      <c r="N668" s="112"/>
      <c r="O668" s="112"/>
      <c r="P668" s="112"/>
      <c r="Q668" s="112"/>
      <c r="R668" s="112"/>
      <c r="S668" s="112"/>
      <c r="T668" s="112"/>
      <c r="U668" s="112"/>
      <c r="V668" s="112"/>
      <c r="W668" s="112"/>
      <c r="X668" s="112"/>
      <c r="Y668" s="112"/>
      <c r="Z668" s="112"/>
    </row>
    <row r="669" spans="1:26" x14ac:dyDescent="0.2">
      <c r="A669" s="113">
        <f>'THE BOARD'!A436</f>
        <v>0</v>
      </c>
      <c r="B669" s="115">
        <f>'THE BOARD'!B436</f>
        <v>0</v>
      </c>
      <c r="C669" s="115"/>
      <c r="D669" s="115"/>
      <c r="E669" s="115"/>
      <c r="F669" s="115"/>
      <c r="G669" s="115"/>
      <c r="H669" s="115"/>
      <c r="I669" s="115"/>
      <c r="J669" s="115"/>
      <c r="K669" s="112"/>
      <c r="L669" s="112"/>
      <c r="M669" s="112"/>
      <c r="N669" s="112"/>
      <c r="O669" s="112"/>
      <c r="P669" s="112"/>
      <c r="Q669" s="112"/>
      <c r="R669" s="112"/>
      <c r="S669" s="112"/>
      <c r="T669" s="112"/>
      <c r="U669" s="112"/>
      <c r="V669" s="112"/>
      <c r="W669" s="112"/>
      <c r="X669" s="112"/>
      <c r="Y669" s="112"/>
      <c r="Z669" s="112"/>
    </row>
    <row r="670" spans="1:26" x14ac:dyDescent="0.2">
      <c r="A670" s="113">
        <f>'THE BOARD'!A437</f>
        <v>0</v>
      </c>
      <c r="B670" s="115">
        <f>'THE BOARD'!B437</f>
        <v>0</v>
      </c>
      <c r="C670" s="115"/>
      <c r="D670" s="115"/>
      <c r="E670" s="115"/>
      <c r="F670" s="115"/>
      <c r="G670" s="115"/>
      <c r="H670" s="115"/>
      <c r="I670" s="115"/>
      <c r="J670" s="115"/>
      <c r="K670" s="112"/>
      <c r="L670" s="112"/>
      <c r="M670" s="112"/>
      <c r="N670" s="112"/>
      <c r="O670" s="112"/>
      <c r="P670" s="112"/>
      <c r="Q670" s="112"/>
      <c r="R670" s="112"/>
      <c r="S670" s="112"/>
      <c r="T670" s="112"/>
      <c r="U670" s="112"/>
      <c r="V670" s="112"/>
      <c r="W670" s="112"/>
      <c r="X670" s="112"/>
      <c r="Y670" s="112"/>
      <c r="Z670" s="112"/>
    </row>
    <row r="671" spans="1:26" x14ac:dyDescent="0.2">
      <c r="A671" s="113">
        <f>'THE BOARD'!A438</f>
        <v>0</v>
      </c>
      <c r="B671" s="115">
        <f>'THE BOARD'!B438</f>
        <v>0</v>
      </c>
      <c r="C671" s="115"/>
      <c r="D671" s="115"/>
      <c r="E671" s="115"/>
      <c r="F671" s="115"/>
      <c r="G671" s="115"/>
      <c r="H671" s="115"/>
      <c r="I671" s="115"/>
      <c r="J671" s="115"/>
      <c r="K671" s="112"/>
      <c r="L671" s="112"/>
      <c r="M671" s="112"/>
      <c r="N671" s="112"/>
      <c r="O671" s="112"/>
      <c r="P671" s="112"/>
      <c r="Q671" s="112"/>
      <c r="R671" s="112"/>
      <c r="S671" s="112"/>
      <c r="T671" s="112"/>
      <c r="U671" s="112"/>
      <c r="V671" s="112"/>
      <c r="W671" s="112"/>
      <c r="X671" s="112"/>
      <c r="Y671" s="112"/>
      <c r="Z671" s="112"/>
    </row>
    <row r="672" spans="1:26" x14ac:dyDescent="0.2">
      <c r="A672" s="113">
        <f>'THE BOARD'!A439</f>
        <v>0</v>
      </c>
      <c r="B672" s="115">
        <f>'THE BOARD'!B439</f>
        <v>0</v>
      </c>
      <c r="C672" s="115"/>
      <c r="D672" s="115"/>
      <c r="E672" s="115"/>
      <c r="F672" s="115"/>
      <c r="G672" s="115"/>
      <c r="H672" s="115"/>
      <c r="I672" s="115"/>
      <c r="J672" s="115"/>
      <c r="K672" s="112"/>
      <c r="L672" s="112"/>
      <c r="M672" s="112"/>
      <c r="N672" s="112"/>
      <c r="O672" s="112"/>
      <c r="P672" s="112"/>
      <c r="Q672" s="112"/>
      <c r="R672" s="112"/>
      <c r="S672" s="112"/>
      <c r="T672" s="112"/>
      <c r="U672" s="112"/>
      <c r="V672" s="112"/>
      <c r="W672" s="112"/>
      <c r="X672" s="112"/>
      <c r="Y672" s="112"/>
      <c r="Z672" s="112"/>
    </row>
    <row r="673" spans="1:26" x14ac:dyDescent="0.2">
      <c r="A673" s="113">
        <f>'THE BOARD'!A440</f>
        <v>0</v>
      </c>
      <c r="B673" s="115">
        <f>'THE BOARD'!B440</f>
        <v>0</v>
      </c>
      <c r="C673" s="115"/>
      <c r="D673" s="115"/>
      <c r="E673" s="115"/>
      <c r="F673" s="115"/>
      <c r="G673" s="115"/>
      <c r="H673" s="115"/>
      <c r="I673" s="115"/>
      <c r="J673" s="115"/>
      <c r="K673" s="112"/>
      <c r="L673" s="112"/>
      <c r="M673" s="112"/>
      <c r="N673" s="112"/>
      <c r="O673" s="112"/>
      <c r="P673" s="112"/>
      <c r="Q673" s="112"/>
      <c r="R673" s="112"/>
      <c r="S673" s="112"/>
      <c r="T673" s="112"/>
      <c r="U673" s="112"/>
      <c r="V673" s="112"/>
      <c r="W673" s="112"/>
      <c r="X673" s="112"/>
      <c r="Y673" s="112"/>
      <c r="Z673" s="112"/>
    </row>
    <row r="674" spans="1:26" x14ac:dyDescent="0.2">
      <c r="A674" s="113">
        <f>'THE BOARD'!A441</f>
        <v>0</v>
      </c>
      <c r="B674" s="115">
        <f>'THE BOARD'!B441</f>
        <v>0</v>
      </c>
      <c r="C674" s="115"/>
      <c r="D674" s="115"/>
      <c r="E674" s="115"/>
      <c r="F674" s="115"/>
      <c r="G674" s="115"/>
      <c r="H674" s="115"/>
      <c r="I674" s="115"/>
      <c r="J674" s="115"/>
      <c r="K674" s="112"/>
      <c r="L674" s="112"/>
      <c r="M674" s="112"/>
      <c r="N674" s="112"/>
      <c r="O674" s="112"/>
      <c r="P674" s="112"/>
      <c r="Q674" s="112"/>
      <c r="R674" s="112"/>
      <c r="S674" s="112"/>
      <c r="T674" s="112"/>
      <c r="U674" s="112"/>
      <c r="V674" s="112"/>
      <c r="W674" s="112"/>
      <c r="X674" s="112"/>
      <c r="Y674" s="112"/>
      <c r="Z674" s="112"/>
    </row>
    <row r="675" spans="1:26" x14ac:dyDescent="0.2">
      <c r="A675" s="113">
        <f>'THE BOARD'!A442</f>
        <v>0</v>
      </c>
      <c r="B675" s="115">
        <f>'THE BOARD'!B442</f>
        <v>0</v>
      </c>
      <c r="C675" s="115"/>
      <c r="D675" s="115"/>
      <c r="E675" s="115"/>
      <c r="F675" s="115"/>
      <c r="G675" s="115"/>
      <c r="H675" s="115"/>
      <c r="I675" s="115"/>
      <c r="J675" s="115"/>
      <c r="K675" s="112"/>
      <c r="L675" s="112"/>
      <c r="M675" s="112"/>
      <c r="N675" s="112"/>
      <c r="O675" s="112"/>
      <c r="P675" s="112"/>
      <c r="Q675" s="112"/>
      <c r="R675" s="112"/>
      <c r="S675" s="112"/>
      <c r="T675" s="112"/>
      <c r="U675" s="112"/>
      <c r="V675" s="112"/>
      <c r="W675" s="112"/>
      <c r="X675" s="112"/>
      <c r="Y675" s="112"/>
      <c r="Z675" s="112"/>
    </row>
    <row r="676" spans="1:26" x14ac:dyDescent="0.2">
      <c r="A676" s="113">
        <f>'THE BOARD'!A443</f>
        <v>0</v>
      </c>
      <c r="B676" s="115">
        <f>'THE BOARD'!B443</f>
        <v>0</v>
      </c>
      <c r="C676" s="115"/>
      <c r="D676" s="115"/>
      <c r="E676" s="115"/>
      <c r="F676" s="115"/>
      <c r="G676" s="115"/>
      <c r="H676" s="115"/>
      <c r="I676" s="115"/>
      <c r="J676" s="115"/>
      <c r="K676" s="112"/>
      <c r="L676" s="112"/>
      <c r="M676" s="112"/>
      <c r="N676" s="112"/>
      <c r="O676" s="112"/>
      <c r="P676" s="112"/>
      <c r="Q676" s="112"/>
      <c r="R676" s="112"/>
      <c r="S676" s="112"/>
      <c r="T676" s="112"/>
      <c r="U676" s="112"/>
      <c r="V676" s="112"/>
      <c r="W676" s="112"/>
      <c r="X676" s="112"/>
      <c r="Y676" s="112"/>
      <c r="Z676" s="112"/>
    </row>
    <row r="677" spans="1:26" x14ac:dyDescent="0.2">
      <c r="A677" s="113">
        <f>'THE BOARD'!A444</f>
        <v>0</v>
      </c>
      <c r="B677" s="115">
        <f>'THE BOARD'!B444</f>
        <v>0</v>
      </c>
      <c r="C677" s="115"/>
      <c r="D677" s="115"/>
      <c r="E677" s="115"/>
      <c r="F677" s="115"/>
      <c r="G677" s="115"/>
      <c r="H677" s="115"/>
      <c r="I677" s="115"/>
      <c r="J677" s="115"/>
      <c r="K677" s="112"/>
      <c r="L677" s="112"/>
      <c r="M677" s="112"/>
      <c r="N677" s="112"/>
      <c r="O677" s="112"/>
      <c r="P677" s="112"/>
      <c r="Q677" s="112"/>
      <c r="R677" s="112"/>
      <c r="S677" s="112"/>
      <c r="T677" s="112"/>
      <c r="U677" s="112"/>
      <c r="V677" s="112"/>
      <c r="W677" s="112"/>
      <c r="X677" s="112"/>
      <c r="Y677" s="112"/>
      <c r="Z677" s="112"/>
    </row>
    <row r="678" spans="1:26" x14ac:dyDescent="0.2">
      <c r="A678" s="113">
        <f>'THE BOARD'!A445</f>
        <v>0</v>
      </c>
      <c r="B678" s="115">
        <f>'THE BOARD'!B445</f>
        <v>0</v>
      </c>
      <c r="C678" s="115"/>
      <c r="D678" s="115"/>
      <c r="E678" s="115"/>
      <c r="F678" s="115"/>
      <c r="G678" s="115"/>
      <c r="H678" s="115"/>
      <c r="I678" s="115"/>
      <c r="J678" s="115"/>
      <c r="K678" s="112"/>
      <c r="L678" s="112"/>
      <c r="M678" s="112"/>
      <c r="N678" s="112"/>
      <c r="O678" s="112"/>
      <c r="P678" s="112"/>
      <c r="Q678" s="112"/>
      <c r="R678" s="112"/>
      <c r="S678" s="112"/>
      <c r="T678" s="112"/>
      <c r="U678" s="112"/>
      <c r="V678" s="112"/>
      <c r="W678" s="112"/>
      <c r="X678" s="112"/>
      <c r="Y678" s="112"/>
      <c r="Z678" s="112"/>
    </row>
    <row r="679" spans="1:26" x14ac:dyDescent="0.2">
      <c r="A679" s="113">
        <f>'THE BOARD'!A446</f>
        <v>0</v>
      </c>
      <c r="B679" s="115">
        <f>'THE BOARD'!B446</f>
        <v>0</v>
      </c>
      <c r="C679" s="115"/>
      <c r="D679" s="115"/>
      <c r="E679" s="115"/>
      <c r="F679" s="115"/>
      <c r="G679" s="115"/>
      <c r="H679" s="115"/>
      <c r="I679" s="115"/>
      <c r="J679" s="115"/>
      <c r="K679" s="112"/>
      <c r="L679" s="112"/>
      <c r="M679" s="112"/>
      <c r="N679" s="112"/>
      <c r="O679" s="112"/>
      <c r="P679" s="112"/>
      <c r="Q679" s="112"/>
      <c r="R679" s="112"/>
      <c r="S679" s="112"/>
      <c r="T679" s="112"/>
      <c r="U679" s="112"/>
      <c r="V679" s="112"/>
      <c r="W679" s="112"/>
      <c r="X679" s="112"/>
      <c r="Y679" s="112"/>
      <c r="Z679" s="112"/>
    </row>
    <row r="680" spans="1:26" x14ac:dyDescent="0.2">
      <c r="A680" s="113">
        <f>'THE BOARD'!A447</f>
        <v>0</v>
      </c>
      <c r="B680" s="115">
        <f>'THE BOARD'!B447</f>
        <v>0</v>
      </c>
      <c r="C680" s="115"/>
      <c r="D680" s="115"/>
      <c r="E680" s="115"/>
      <c r="F680" s="115"/>
      <c r="G680" s="115"/>
      <c r="H680" s="115"/>
      <c r="I680" s="115"/>
      <c r="J680" s="115"/>
      <c r="K680" s="112"/>
      <c r="L680" s="112"/>
      <c r="M680" s="112"/>
      <c r="N680" s="112"/>
      <c r="O680" s="112"/>
      <c r="P680" s="112"/>
      <c r="Q680" s="112"/>
      <c r="R680" s="112"/>
      <c r="S680" s="112"/>
      <c r="T680" s="112"/>
      <c r="U680" s="112"/>
      <c r="V680" s="112"/>
      <c r="W680" s="112"/>
      <c r="X680" s="112"/>
      <c r="Y680" s="112"/>
      <c r="Z680" s="112"/>
    </row>
    <row r="681" spans="1:26" x14ac:dyDescent="0.2">
      <c r="A681" s="113">
        <f>'THE BOARD'!A448</f>
        <v>0</v>
      </c>
      <c r="B681" s="115">
        <f>'THE BOARD'!B448</f>
        <v>0</v>
      </c>
      <c r="C681" s="115"/>
      <c r="D681" s="115"/>
      <c r="E681" s="115"/>
      <c r="F681" s="115"/>
      <c r="G681" s="115"/>
      <c r="H681" s="115"/>
      <c r="I681" s="115"/>
      <c r="J681" s="115"/>
      <c r="K681" s="112"/>
      <c r="L681" s="112"/>
      <c r="M681" s="112"/>
      <c r="N681" s="112"/>
      <c r="O681" s="112"/>
      <c r="P681" s="112"/>
      <c r="Q681" s="112"/>
      <c r="R681" s="112"/>
      <c r="S681" s="112"/>
      <c r="T681" s="112"/>
      <c r="U681" s="112"/>
      <c r="V681" s="112"/>
      <c r="W681" s="112"/>
      <c r="X681" s="112"/>
      <c r="Y681" s="112"/>
      <c r="Z681" s="112"/>
    </row>
    <row r="682" spans="1:26" x14ac:dyDescent="0.2">
      <c r="A682" s="113">
        <f>'THE BOARD'!A449</f>
        <v>0</v>
      </c>
      <c r="B682" s="115">
        <f>'THE BOARD'!B449</f>
        <v>0</v>
      </c>
      <c r="C682" s="115"/>
      <c r="D682" s="115"/>
      <c r="E682" s="115"/>
      <c r="F682" s="115"/>
      <c r="G682" s="115"/>
      <c r="H682" s="115"/>
      <c r="I682" s="115"/>
      <c r="J682" s="115"/>
      <c r="K682" s="112"/>
      <c r="L682" s="112"/>
      <c r="M682" s="112"/>
      <c r="N682" s="112"/>
      <c r="O682" s="112"/>
      <c r="P682" s="112"/>
      <c r="Q682" s="112"/>
      <c r="R682" s="112"/>
      <c r="S682" s="112"/>
      <c r="T682" s="112"/>
      <c r="U682" s="112"/>
      <c r="V682" s="112"/>
      <c r="W682" s="112"/>
      <c r="X682" s="112"/>
      <c r="Y682" s="112"/>
      <c r="Z682" s="112"/>
    </row>
    <row r="683" spans="1:26" x14ac:dyDescent="0.2">
      <c r="A683" s="113">
        <f>'THE BOARD'!A450</f>
        <v>0</v>
      </c>
      <c r="B683" s="115">
        <f>'THE BOARD'!B450</f>
        <v>0</v>
      </c>
      <c r="C683" s="115"/>
      <c r="D683" s="115"/>
      <c r="E683" s="115"/>
      <c r="F683" s="115"/>
      <c r="G683" s="115"/>
      <c r="H683" s="115"/>
      <c r="I683" s="115"/>
      <c r="J683" s="115"/>
      <c r="K683" s="112"/>
      <c r="L683" s="112"/>
      <c r="M683" s="112"/>
      <c r="N683" s="112"/>
      <c r="O683" s="112"/>
      <c r="P683" s="112"/>
      <c r="Q683" s="112"/>
      <c r="R683" s="112"/>
      <c r="S683" s="112"/>
      <c r="T683" s="112"/>
      <c r="U683" s="112"/>
      <c r="V683" s="112"/>
      <c r="W683" s="112"/>
      <c r="X683" s="112"/>
      <c r="Y683" s="112"/>
      <c r="Z683" s="112"/>
    </row>
    <row r="684" spans="1:26" x14ac:dyDescent="0.2">
      <c r="A684" s="113">
        <f>'THE BOARD'!A451</f>
        <v>0</v>
      </c>
      <c r="B684" s="115">
        <f>'THE BOARD'!B451</f>
        <v>0</v>
      </c>
      <c r="C684" s="115"/>
      <c r="D684" s="115"/>
      <c r="E684" s="115"/>
      <c r="F684" s="115"/>
      <c r="G684" s="115"/>
      <c r="H684" s="115"/>
      <c r="I684" s="115"/>
      <c r="J684" s="115"/>
      <c r="K684" s="112"/>
      <c r="L684" s="112"/>
      <c r="M684" s="112"/>
      <c r="N684" s="112"/>
      <c r="O684" s="112"/>
      <c r="P684" s="112"/>
      <c r="Q684" s="112"/>
      <c r="R684" s="112"/>
      <c r="S684" s="112"/>
      <c r="T684" s="112"/>
      <c r="U684" s="112"/>
      <c r="V684" s="112"/>
      <c r="W684" s="112"/>
      <c r="X684" s="112"/>
      <c r="Y684" s="112"/>
      <c r="Z684" s="112"/>
    </row>
    <row r="685" spans="1:26" x14ac:dyDescent="0.2">
      <c r="A685" s="113">
        <f>'THE BOARD'!A452</f>
        <v>0</v>
      </c>
      <c r="B685" s="115">
        <f>'THE BOARD'!B452</f>
        <v>0</v>
      </c>
      <c r="C685" s="115"/>
      <c r="D685" s="115"/>
      <c r="E685" s="115"/>
      <c r="F685" s="115"/>
      <c r="G685" s="115"/>
      <c r="H685" s="115"/>
      <c r="I685" s="115"/>
      <c r="J685" s="115"/>
      <c r="K685" s="112"/>
      <c r="L685" s="112"/>
      <c r="M685" s="112"/>
      <c r="N685" s="112"/>
      <c r="O685" s="112"/>
      <c r="P685" s="112"/>
      <c r="Q685" s="112"/>
      <c r="R685" s="112"/>
      <c r="S685" s="112"/>
      <c r="T685" s="112"/>
      <c r="U685" s="112"/>
      <c r="V685" s="112"/>
      <c r="W685" s="112"/>
      <c r="X685" s="112"/>
      <c r="Y685" s="112"/>
      <c r="Z685" s="112"/>
    </row>
    <row r="686" spans="1:26" x14ac:dyDescent="0.2">
      <c r="A686" s="113">
        <f>'THE BOARD'!A453</f>
        <v>0</v>
      </c>
      <c r="B686" s="115">
        <f>'THE BOARD'!B453</f>
        <v>0</v>
      </c>
      <c r="C686" s="115"/>
      <c r="D686" s="115"/>
      <c r="E686" s="115"/>
      <c r="F686" s="115"/>
      <c r="G686" s="115"/>
      <c r="H686" s="115"/>
      <c r="I686" s="115"/>
      <c r="J686" s="115"/>
      <c r="K686" s="112"/>
      <c r="L686" s="112"/>
      <c r="M686" s="112"/>
      <c r="N686" s="112"/>
      <c r="O686" s="112"/>
      <c r="P686" s="112"/>
      <c r="Q686" s="112"/>
      <c r="R686" s="112"/>
      <c r="S686" s="112"/>
      <c r="T686" s="112"/>
      <c r="U686" s="112"/>
      <c r="V686" s="112"/>
      <c r="W686" s="112"/>
      <c r="X686" s="112"/>
      <c r="Y686" s="112"/>
      <c r="Z686" s="112"/>
    </row>
    <row r="687" spans="1:26" x14ac:dyDescent="0.2">
      <c r="A687" s="113">
        <f>'THE BOARD'!A454</f>
        <v>0</v>
      </c>
      <c r="B687" s="115">
        <f>'THE BOARD'!B454</f>
        <v>0</v>
      </c>
      <c r="C687" s="115"/>
      <c r="D687" s="115"/>
      <c r="E687" s="115"/>
      <c r="F687" s="115"/>
      <c r="G687" s="115"/>
      <c r="H687" s="115"/>
      <c r="I687" s="115"/>
      <c r="J687" s="115"/>
      <c r="K687" s="112"/>
      <c r="L687" s="112"/>
      <c r="M687" s="112"/>
      <c r="N687" s="112"/>
      <c r="O687" s="112"/>
      <c r="P687" s="112"/>
      <c r="Q687" s="112"/>
      <c r="R687" s="112"/>
      <c r="S687" s="112"/>
      <c r="T687" s="112"/>
      <c r="U687" s="112"/>
      <c r="V687" s="112"/>
      <c r="W687" s="112"/>
      <c r="X687" s="112"/>
      <c r="Y687" s="112"/>
      <c r="Z687" s="112"/>
    </row>
    <row r="688" spans="1:26" x14ac:dyDescent="0.2">
      <c r="A688" s="113">
        <f>'THE BOARD'!A455</f>
        <v>0</v>
      </c>
      <c r="B688" s="115">
        <f>'THE BOARD'!B455</f>
        <v>0</v>
      </c>
      <c r="C688" s="115"/>
      <c r="D688" s="115"/>
      <c r="E688" s="115"/>
      <c r="F688" s="115"/>
      <c r="G688" s="115"/>
      <c r="H688" s="115"/>
      <c r="I688" s="115"/>
      <c r="J688" s="115"/>
      <c r="K688" s="112"/>
      <c r="L688" s="112"/>
      <c r="M688" s="112"/>
      <c r="N688" s="112"/>
      <c r="O688" s="112"/>
      <c r="P688" s="112"/>
      <c r="Q688" s="112"/>
      <c r="R688" s="112"/>
      <c r="S688" s="112"/>
      <c r="T688" s="112"/>
      <c r="U688" s="112"/>
      <c r="V688" s="112"/>
      <c r="W688" s="112"/>
      <c r="X688" s="112"/>
      <c r="Y688" s="112"/>
      <c r="Z688" s="112"/>
    </row>
    <row r="689" spans="1:26" x14ac:dyDescent="0.2">
      <c r="A689" s="113">
        <f>'THE BOARD'!A456</f>
        <v>0</v>
      </c>
      <c r="B689" s="115">
        <f>'THE BOARD'!B456</f>
        <v>0</v>
      </c>
      <c r="C689" s="115"/>
      <c r="D689" s="115"/>
      <c r="E689" s="115"/>
      <c r="F689" s="115"/>
      <c r="G689" s="115"/>
      <c r="H689" s="115"/>
      <c r="I689" s="115"/>
      <c r="J689" s="115"/>
      <c r="K689" s="112"/>
      <c r="L689" s="112"/>
      <c r="M689" s="112"/>
      <c r="N689" s="112"/>
      <c r="O689" s="112"/>
      <c r="P689" s="112"/>
      <c r="Q689" s="112"/>
      <c r="R689" s="112"/>
      <c r="S689" s="112"/>
      <c r="T689" s="112"/>
      <c r="U689" s="112"/>
      <c r="V689" s="112"/>
      <c r="W689" s="112"/>
      <c r="X689" s="112"/>
      <c r="Y689" s="112"/>
      <c r="Z689" s="112"/>
    </row>
    <row r="690" spans="1:26" x14ac:dyDescent="0.2">
      <c r="A690" s="113">
        <f>'THE BOARD'!A457</f>
        <v>0</v>
      </c>
      <c r="B690" s="115">
        <f>'THE BOARD'!B457</f>
        <v>0</v>
      </c>
      <c r="C690" s="115"/>
      <c r="D690" s="115"/>
      <c r="E690" s="115"/>
      <c r="F690" s="115"/>
      <c r="G690" s="115"/>
      <c r="H690" s="115"/>
      <c r="I690" s="115"/>
      <c r="J690" s="115"/>
      <c r="K690" s="112"/>
      <c r="L690" s="112"/>
      <c r="M690" s="112"/>
      <c r="N690" s="112"/>
      <c r="O690" s="112"/>
      <c r="P690" s="112"/>
      <c r="Q690" s="112"/>
      <c r="R690" s="112"/>
      <c r="S690" s="112"/>
      <c r="T690" s="112"/>
      <c r="U690" s="112"/>
      <c r="V690" s="112"/>
      <c r="W690" s="112"/>
      <c r="X690" s="112"/>
      <c r="Y690" s="112"/>
      <c r="Z690" s="112"/>
    </row>
    <row r="691" spans="1:26" x14ac:dyDescent="0.2">
      <c r="A691" s="113">
        <f>'THE BOARD'!A458</f>
        <v>0</v>
      </c>
      <c r="B691" s="115">
        <f>'THE BOARD'!B458</f>
        <v>0</v>
      </c>
      <c r="C691" s="115"/>
      <c r="D691" s="115"/>
      <c r="E691" s="115"/>
      <c r="F691" s="115"/>
      <c r="G691" s="115"/>
      <c r="H691" s="115"/>
      <c r="I691" s="115"/>
      <c r="J691" s="115"/>
      <c r="K691" s="112"/>
      <c r="L691" s="112"/>
      <c r="M691" s="112"/>
      <c r="N691" s="112"/>
      <c r="O691" s="112"/>
      <c r="P691" s="112"/>
      <c r="Q691" s="112"/>
      <c r="R691" s="112"/>
      <c r="S691" s="112"/>
      <c r="T691" s="112"/>
      <c r="U691" s="112"/>
      <c r="V691" s="112"/>
      <c r="W691" s="112"/>
      <c r="X691" s="112"/>
      <c r="Y691" s="112"/>
      <c r="Z691" s="112"/>
    </row>
    <row r="692" spans="1:26" x14ac:dyDescent="0.2">
      <c r="A692" s="113">
        <f>'THE BOARD'!A459</f>
        <v>0</v>
      </c>
      <c r="B692" s="115">
        <f>'THE BOARD'!B459</f>
        <v>0</v>
      </c>
      <c r="C692" s="115"/>
      <c r="D692" s="115"/>
      <c r="E692" s="115"/>
      <c r="F692" s="115"/>
      <c r="G692" s="115"/>
      <c r="H692" s="115"/>
      <c r="I692" s="115"/>
      <c r="J692" s="115"/>
      <c r="K692" s="112"/>
      <c r="L692" s="112"/>
      <c r="M692" s="112"/>
      <c r="N692" s="112"/>
      <c r="O692" s="112"/>
      <c r="P692" s="112"/>
      <c r="Q692" s="112"/>
      <c r="R692" s="112"/>
      <c r="S692" s="112"/>
      <c r="T692" s="112"/>
      <c r="U692" s="112"/>
      <c r="V692" s="112"/>
      <c r="W692" s="112"/>
      <c r="X692" s="112"/>
      <c r="Y692" s="112"/>
      <c r="Z692" s="112"/>
    </row>
    <row r="693" spans="1:26" x14ac:dyDescent="0.2">
      <c r="A693" s="113">
        <f>'THE BOARD'!A460</f>
        <v>0</v>
      </c>
      <c r="B693" s="115">
        <f>'THE BOARD'!B460</f>
        <v>0</v>
      </c>
      <c r="C693" s="115"/>
      <c r="D693" s="115"/>
      <c r="E693" s="115"/>
      <c r="F693" s="115"/>
      <c r="G693" s="115"/>
      <c r="H693" s="115"/>
      <c r="I693" s="115"/>
      <c r="J693" s="115"/>
      <c r="K693" s="112"/>
      <c r="L693" s="112"/>
      <c r="M693" s="112"/>
      <c r="N693" s="112"/>
      <c r="O693" s="112"/>
      <c r="P693" s="112"/>
      <c r="Q693" s="112"/>
      <c r="R693" s="112"/>
      <c r="S693" s="112"/>
      <c r="T693" s="112"/>
      <c r="U693" s="112"/>
      <c r="V693" s="112"/>
      <c r="W693" s="112"/>
      <c r="X693" s="112"/>
      <c r="Y693" s="112"/>
      <c r="Z693" s="112"/>
    </row>
    <row r="694" spans="1:26" x14ac:dyDescent="0.2">
      <c r="A694" s="113">
        <f>'THE BOARD'!A461</f>
        <v>0</v>
      </c>
      <c r="B694" s="115">
        <f>'THE BOARD'!B461</f>
        <v>0</v>
      </c>
      <c r="C694" s="115"/>
      <c r="D694" s="115"/>
      <c r="E694" s="115"/>
      <c r="F694" s="115"/>
      <c r="G694" s="115"/>
      <c r="H694" s="115"/>
      <c r="I694" s="115"/>
      <c r="J694" s="115"/>
      <c r="K694" s="112"/>
      <c r="L694" s="112"/>
      <c r="M694" s="112"/>
      <c r="N694" s="112"/>
      <c r="O694" s="112"/>
      <c r="P694" s="112"/>
      <c r="Q694" s="112"/>
      <c r="R694" s="112"/>
      <c r="S694" s="112"/>
      <c r="T694" s="112"/>
      <c r="U694" s="112"/>
      <c r="V694" s="112"/>
      <c r="W694" s="112"/>
      <c r="X694" s="112"/>
      <c r="Y694" s="112"/>
      <c r="Z694" s="112"/>
    </row>
    <row r="695" spans="1:26" x14ac:dyDescent="0.2">
      <c r="A695" s="113">
        <f>'THE BOARD'!A462</f>
        <v>0</v>
      </c>
      <c r="B695" s="115">
        <f>'THE BOARD'!B462</f>
        <v>0</v>
      </c>
      <c r="C695" s="115"/>
      <c r="D695" s="115"/>
      <c r="E695" s="115"/>
      <c r="F695" s="115"/>
      <c r="G695" s="115"/>
      <c r="H695" s="115"/>
      <c r="I695" s="115"/>
      <c r="J695" s="115"/>
      <c r="K695" s="112"/>
      <c r="L695" s="112"/>
      <c r="M695" s="112"/>
      <c r="N695" s="112"/>
      <c r="O695" s="112"/>
      <c r="P695" s="112"/>
      <c r="Q695" s="112"/>
      <c r="R695" s="112"/>
      <c r="S695" s="112"/>
      <c r="T695" s="112"/>
      <c r="U695" s="112"/>
      <c r="V695" s="112"/>
      <c r="W695" s="112"/>
      <c r="X695" s="112"/>
      <c r="Y695" s="112"/>
      <c r="Z695" s="112"/>
    </row>
    <row r="696" spans="1:26" x14ac:dyDescent="0.2">
      <c r="A696" s="113">
        <f>'THE BOARD'!A463</f>
        <v>0</v>
      </c>
      <c r="B696" s="115">
        <f>'THE BOARD'!B463</f>
        <v>0</v>
      </c>
      <c r="C696" s="115"/>
      <c r="D696" s="115"/>
      <c r="E696" s="115"/>
      <c r="F696" s="115"/>
      <c r="G696" s="115"/>
      <c r="H696" s="115"/>
      <c r="I696" s="115"/>
      <c r="J696" s="115"/>
      <c r="K696" s="112"/>
      <c r="L696" s="112"/>
      <c r="M696" s="112"/>
      <c r="N696" s="112"/>
      <c r="O696" s="112"/>
      <c r="P696" s="112"/>
      <c r="Q696" s="112"/>
      <c r="R696" s="112"/>
      <c r="S696" s="112"/>
      <c r="T696" s="112"/>
      <c r="U696" s="112"/>
      <c r="V696" s="112"/>
      <c r="W696" s="112"/>
      <c r="X696" s="112"/>
      <c r="Y696" s="112"/>
      <c r="Z696" s="112"/>
    </row>
    <row r="697" spans="1:26" x14ac:dyDescent="0.2">
      <c r="A697" s="113">
        <f>'THE BOARD'!A464</f>
        <v>0</v>
      </c>
      <c r="B697" s="115">
        <f>'THE BOARD'!B464</f>
        <v>0</v>
      </c>
      <c r="C697" s="115"/>
      <c r="D697" s="115"/>
      <c r="E697" s="115"/>
      <c r="F697" s="115"/>
      <c r="G697" s="115"/>
      <c r="H697" s="115"/>
      <c r="I697" s="115"/>
      <c r="J697" s="115"/>
      <c r="K697" s="112"/>
      <c r="L697" s="112"/>
      <c r="M697" s="112"/>
      <c r="N697" s="112"/>
      <c r="O697" s="112"/>
      <c r="P697" s="112"/>
      <c r="Q697" s="112"/>
      <c r="R697" s="112"/>
      <c r="S697" s="112"/>
      <c r="T697" s="112"/>
      <c r="U697" s="112"/>
      <c r="V697" s="112"/>
      <c r="W697" s="112"/>
      <c r="X697" s="112"/>
      <c r="Y697" s="112"/>
      <c r="Z697" s="112"/>
    </row>
    <row r="698" spans="1:26" x14ac:dyDescent="0.2">
      <c r="A698" s="113">
        <f>'THE BOARD'!A465</f>
        <v>0</v>
      </c>
      <c r="B698" s="115">
        <f>'THE BOARD'!B465</f>
        <v>0</v>
      </c>
      <c r="C698" s="115"/>
      <c r="D698" s="115"/>
      <c r="E698" s="115"/>
      <c r="F698" s="115"/>
      <c r="G698" s="115"/>
      <c r="H698" s="115"/>
      <c r="I698" s="115"/>
      <c r="J698" s="115"/>
      <c r="K698" s="112"/>
      <c r="L698" s="112"/>
      <c r="M698" s="112"/>
      <c r="N698" s="112"/>
      <c r="O698" s="112"/>
      <c r="P698" s="112"/>
      <c r="Q698" s="112"/>
      <c r="R698" s="112"/>
      <c r="S698" s="112"/>
      <c r="T698" s="112"/>
      <c r="U698" s="112"/>
      <c r="V698" s="112"/>
      <c r="W698" s="112"/>
      <c r="X698" s="112"/>
      <c r="Y698" s="112"/>
      <c r="Z698" s="112"/>
    </row>
    <row r="699" spans="1:26" x14ac:dyDescent="0.2">
      <c r="A699" s="113">
        <f>'THE BOARD'!A466</f>
        <v>0</v>
      </c>
      <c r="B699" s="115">
        <f>'THE BOARD'!B466</f>
        <v>0</v>
      </c>
      <c r="C699" s="115"/>
      <c r="D699" s="115"/>
      <c r="E699" s="115"/>
      <c r="F699" s="115"/>
      <c r="G699" s="115"/>
      <c r="H699" s="115"/>
      <c r="I699" s="115"/>
      <c r="J699" s="115"/>
      <c r="K699" s="112"/>
      <c r="L699" s="112"/>
      <c r="M699" s="112"/>
      <c r="N699" s="112"/>
      <c r="O699" s="112"/>
      <c r="P699" s="112"/>
      <c r="Q699" s="112"/>
      <c r="R699" s="112"/>
      <c r="S699" s="112"/>
      <c r="T699" s="112"/>
      <c r="U699" s="112"/>
      <c r="V699" s="112"/>
      <c r="W699" s="112"/>
      <c r="X699" s="112"/>
      <c r="Y699" s="112"/>
      <c r="Z699" s="112"/>
    </row>
    <row r="700" spans="1:26" x14ac:dyDescent="0.2">
      <c r="A700" s="113">
        <f>'THE BOARD'!A467</f>
        <v>0</v>
      </c>
      <c r="B700" s="115">
        <f>'THE BOARD'!B467</f>
        <v>0</v>
      </c>
      <c r="C700" s="115"/>
      <c r="D700" s="115"/>
      <c r="E700" s="115"/>
      <c r="F700" s="115"/>
      <c r="G700" s="115"/>
      <c r="H700" s="115"/>
      <c r="I700" s="115"/>
      <c r="J700" s="115"/>
      <c r="K700" s="112"/>
      <c r="L700" s="112"/>
      <c r="M700" s="112"/>
      <c r="N700" s="112"/>
      <c r="O700" s="112"/>
      <c r="P700" s="112"/>
      <c r="Q700" s="112"/>
      <c r="R700" s="112"/>
      <c r="S700" s="112"/>
      <c r="T700" s="112"/>
      <c r="U700" s="112"/>
      <c r="V700" s="112"/>
      <c r="W700" s="112"/>
      <c r="X700" s="112"/>
      <c r="Y700" s="112"/>
      <c r="Z700" s="112"/>
    </row>
    <row r="701" spans="1:26" x14ac:dyDescent="0.2">
      <c r="A701" s="113">
        <f>'THE BOARD'!A468</f>
        <v>0</v>
      </c>
      <c r="B701" s="115">
        <f>'THE BOARD'!B468</f>
        <v>0</v>
      </c>
      <c r="C701" s="115"/>
      <c r="D701" s="115"/>
      <c r="E701" s="115"/>
      <c r="F701" s="115"/>
      <c r="G701" s="115"/>
      <c r="H701" s="115"/>
      <c r="I701" s="115"/>
      <c r="J701" s="115"/>
      <c r="K701" s="112"/>
      <c r="L701" s="112"/>
      <c r="M701" s="112"/>
      <c r="N701" s="112"/>
      <c r="O701" s="112"/>
      <c r="P701" s="112"/>
      <c r="Q701" s="112"/>
      <c r="R701" s="112"/>
      <c r="S701" s="112"/>
      <c r="T701" s="112"/>
      <c r="U701" s="112"/>
      <c r="V701" s="112"/>
      <c r="W701" s="112"/>
      <c r="X701" s="112"/>
      <c r="Y701" s="112"/>
      <c r="Z701" s="112"/>
    </row>
    <row r="702" spans="1:26" x14ac:dyDescent="0.2">
      <c r="A702" s="113">
        <f>'THE BOARD'!A469</f>
        <v>0</v>
      </c>
      <c r="B702" s="115">
        <f>'THE BOARD'!B469</f>
        <v>0</v>
      </c>
      <c r="C702" s="115"/>
      <c r="D702" s="115"/>
      <c r="E702" s="115"/>
      <c r="F702" s="115"/>
      <c r="G702" s="115"/>
      <c r="H702" s="115"/>
      <c r="I702" s="115"/>
      <c r="J702" s="115"/>
      <c r="K702" s="112"/>
      <c r="L702" s="112"/>
      <c r="M702" s="112"/>
      <c r="N702" s="112"/>
      <c r="O702" s="112"/>
      <c r="P702" s="112"/>
      <c r="Q702" s="112"/>
      <c r="R702" s="112"/>
      <c r="S702" s="112"/>
      <c r="T702" s="112"/>
      <c r="U702" s="112"/>
      <c r="V702" s="112"/>
      <c r="W702" s="112"/>
      <c r="X702" s="112"/>
      <c r="Y702" s="112"/>
      <c r="Z702" s="112"/>
    </row>
    <row r="703" spans="1:26" x14ac:dyDescent="0.2">
      <c r="A703" s="113">
        <f>'THE BOARD'!A470</f>
        <v>0</v>
      </c>
      <c r="B703" s="115">
        <f>'THE BOARD'!B470</f>
        <v>0</v>
      </c>
      <c r="C703" s="115"/>
      <c r="D703" s="115"/>
      <c r="E703" s="115"/>
      <c r="F703" s="115"/>
      <c r="G703" s="115"/>
      <c r="H703" s="115"/>
      <c r="I703" s="115"/>
      <c r="J703" s="115"/>
      <c r="K703" s="112"/>
      <c r="L703" s="112"/>
      <c r="M703" s="112"/>
      <c r="N703" s="112"/>
      <c r="O703" s="112"/>
      <c r="P703" s="112"/>
      <c r="Q703" s="112"/>
      <c r="R703" s="112"/>
      <c r="S703" s="112"/>
      <c r="T703" s="112"/>
      <c r="U703" s="112"/>
      <c r="V703" s="112"/>
      <c r="W703" s="112"/>
      <c r="X703" s="112"/>
      <c r="Y703" s="112"/>
      <c r="Z703" s="112"/>
    </row>
    <row r="704" spans="1:26" x14ac:dyDescent="0.2">
      <c r="A704" s="113">
        <f>'THE BOARD'!A471</f>
        <v>0</v>
      </c>
      <c r="B704" s="115">
        <f>'THE BOARD'!B471</f>
        <v>0</v>
      </c>
      <c r="C704" s="115"/>
      <c r="D704" s="115"/>
      <c r="E704" s="115"/>
      <c r="F704" s="115"/>
      <c r="G704" s="115"/>
      <c r="H704" s="115"/>
      <c r="I704" s="115"/>
      <c r="J704" s="115"/>
      <c r="K704" s="112"/>
      <c r="L704" s="112"/>
      <c r="M704" s="112"/>
      <c r="N704" s="112"/>
      <c r="O704" s="112"/>
      <c r="P704" s="112"/>
      <c r="Q704" s="112"/>
      <c r="R704" s="112"/>
      <c r="S704" s="112"/>
      <c r="T704" s="112"/>
      <c r="U704" s="112"/>
      <c r="V704" s="112"/>
      <c r="W704" s="112"/>
      <c r="X704" s="112"/>
      <c r="Y704" s="112"/>
      <c r="Z704" s="112"/>
    </row>
    <row r="705" spans="1:26" x14ac:dyDescent="0.2">
      <c r="A705" s="113">
        <f>'THE BOARD'!A472</f>
        <v>0</v>
      </c>
      <c r="B705" s="115">
        <f>'THE BOARD'!B472</f>
        <v>0</v>
      </c>
      <c r="C705" s="115"/>
      <c r="D705" s="115"/>
      <c r="E705" s="115"/>
      <c r="F705" s="115"/>
      <c r="G705" s="115"/>
      <c r="H705" s="115"/>
      <c r="I705" s="115"/>
      <c r="J705" s="115"/>
      <c r="K705" s="112"/>
      <c r="L705" s="112"/>
      <c r="M705" s="112"/>
      <c r="N705" s="112"/>
      <c r="O705" s="112"/>
      <c r="P705" s="112"/>
      <c r="Q705" s="112"/>
      <c r="R705" s="112"/>
      <c r="S705" s="112"/>
      <c r="T705" s="112"/>
      <c r="U705" s="112"/>
      <c r="V705" s="112"/>
      <c r="W705" s="112"/>
      <c r="X705" s="112"/>
      <c r="Y705" s="112"/>
      <c r="Z705" s="112"/>
    </row>
    <row r="706" spans="1:26" x14ac:dyDescent="0.2">
      <c r="A706" s="113">
        <f>'THE BOARD'!A473</f>
        <v>0</v>
      </c>
      <c r="B706" s="115">
        <f>'THE BOARD'!B473</f>
        <v>0</v>
      </c>
      <c r="C706" s="115"/>
      <c r="D706" s="115"/>
      <c r="E706" s="115"/>
      <c r="F706" s="115"/>
      <c r="G706" s="115"/>
      <c r="H706" s="115"/>
      <c r="I706" s="115"/>
      <c r="J706" s="115"/>
      <c r="K706" s="112"/>
      <c r="L706" s="112"/>
      <c r="M706" s="112"/>
      <c r="N706" s="112"/>
      <c r="O706" s="112"/>
      <c r="P706" s="112"/>
      <c r="Q706" s="112"/>
      <c r="R706" s="112"/>
      <c r="S706" s="112"/>
      <c r="T706" s="112"/>
      <c r="U706" s="112"/>
      <c r="V706" s="112"/>
      <c r="W706" s="112"/>
      <c r="X706" s="112"/>
      <c r="Y706" s="112"/>
      <c r="Z706" s="112"/>
    </row>
    <row r="707" spans="1:26" x14ac:dyDescent="0.2">
      <c r="A707" s="113">
        <f>'THE BOARD'!A474</f>
        <v>0</v>
      </c>
      <c r="B707" s="115">
        <f>'THE BOARD'!B474</f>
        <v>0</v>
      </c>
      <c r="C707" s="115"/>
      <c r="D707" s="115"/>
      <c r="E707" s="115"/>
      <c r="F707" s="115"/>
      <c r="G707" s="115"/>
      <c r="H707" s="115"/>
      <c r="I707" s="115"/>
      <c r="J707" s="115"/>
      <c r="K707" s="112"/>
      <c r="L707" s="112"/>
      <c r="M707" s="112"/>
      <c r="N707" s="112"/>
      <c r="O707" s="112"/>
      <c r="P707" s="112"/>
      <c r="Q707" s="112"/>
      <c r="R707" s="112"/>
      <c r="S707" s="112"/>
      <c r="T707" s="112"/>
      <c r="U707" s="112"/>
      <c r="V707" s="112"/>
      <c r="W707" s="112"/>
      <c r="X707" s="112"/>
      <c r="Y707" s="112"/>
      <c r="Z707" s="112"/>
    </row>
    <row r="708" spans="1:26" x14ac:dyDescent="0.2">
      <c r="A708" s="113">
        <f>'THE BOARD'!A475</f>
        <v>0</v>
      </c>
      <c r="B708" s="115">
        <f>'THE BOARD'!B475</f>
        <v>0</v>
      </c>
      <c r="C708" s="115"/>
      <c r="D708" s="115"/>
      <c r="E708" s="115"/>
      <c r="F708" s="115"/>
      <c r="G708" s="115"/>
      <c r="H708" s="115"/>
      <c r="I708" s="115"/>
      <c r="J708" s="115"/>
      <c r="K708" s="112"/>
      <c r="L708" s="112"/>
      <c r="M708" s="112"/>
      <c r="N708" s="112"/>
      <c r="O708" s="112"/>
      <c r="P708" s="112"/>
      <c r="Q708" s="112"/>
      <c r="R708" s="112"/>
      <c r="S708" s="112"/>
      <c r="T708" s="112"/>
      <c r="U708" s="112"/>
      <c r="V708" s="112"/>
      <c r="W708" s="112"/>
      <c r="X708" s="112"/>
      <c r="Y708" s="112"/>
      <c r="Z708" s="112"/>
    </row>
    <row r="709" spans="1:26" x14ac:dyDescent="0.2">
      <c r="A709" s="113">
        <f>'THE BOARD'!A476</f>
        <v>0</v>
      </c>
      <c r="B709" s="115">
        <f>'THE BOARD'!B476</f>
        <v>0</v>
      </c>
      <c r="C709" s="115"/>
      <c r="D709" s="115"/>
      <c r="E709" s="115"/>
      <c r="F709" s="115"/>
      <c r="G709" s="115"/>
      <c r="H709" s="115"/>
      <c r="I709" s="115"/>
      <c r="J709" s="115"/>
      <c r="K709" s="112"/>
      <c r="L709" s="112"/>
      <c r="M709" s="112"/>
      <c r="N709" s="112"/>
      <c r="O709" s="112"/>
      <c r="P709" s="112"/>
      <c r="Q709" s="112"/>
      <c r="R709" s="112"/>
      <c r="S709" s="112"/>
      <c r="T709" s="112"/>
      <c r="U709" s="112"/>
      <c r="V709" s="112"/>
      <c r="W709" s="112"/>
      <c r="X709" s="112"/>
      <c r="Y709" s="112"/>
      <c r="Z709" s="112"/>
    </row>
    <row r="710" spans="1:26" x14ac:dyDescent="0.2">
      <c r="A710" s="113">
        <f>'THE BOARD'!A477</f>
        <v>0</v>
      </c>
      <c r="B710" s="115">
        <f>'THE BOARD'!B477</f>
        <v>0</v>
      </c>
      <c r="C710" s="115"/>
      <c r="D710" s="115"/>
      <c r="E710" s="115"/>
      <c r="F710" s="115"/>
      <c r="G710" s="115"/>
      <c r="H710" s="115"/>
      <c r="I710" s="115"/>
      <c r="J710" s="115"/>
      <c r="K710" s="112"/>
      <c r="L710" s="112"/>
      <c r="M710" s="112"/>
      <c r="N710" s="112"/>
      <c r="O710" s="112"/>
      <c r="P710" s="112"/>
      <c r="Q710" s="112"/>
      <c r="R710" s="112"/>
      <c r="S710" s="112"/>
      <c r="T710" s="112"/>
      <c r="U710" s="112"/>
      <c r="V710" s="112"/>
      <c r="W710" s="112"/>
      <c r="X710" s="112"/>
      <c r="Y710" s="112"/>
      <c r="Z710" s="112"/>
    </row>
    <row r="711" spans="1:26" x14ac:dyDescent="0.2">
      <c r="A711" s="113">
        <f>'THE BOARD'!A478</f>
        <v>0</v>
      </c>
      <c r="B711" s="115">
        <f>'THE BOARD'!B478</f>
        <v>0</v>
      </c>
      <c r="C711" s="115"/>
      <c r="D711" s="115"/>
      <c r="E711" s="115"/>
      <c r="F711" s="115"/>
      <c r="G711" s="115"/>
      <c r="H711" s="115"/>
      <c r="I711" s="115"/>
      <c r="J711" s="115"/>
      <c r="K711" s="112"/>
      <c r="L711" s="112"/>
      <c r="M711" s="112"/>
      <c r="N711" s="112"/>
      <c r="O711" s="112"/>
      <c r="P711" s="112"/>
      <c r="Q711" s="112"/>
      <c r="R711" s="112"/>
      <c r="S711" s="112"/>
      <c r="T711" s="112"/>
      <c r="U711" s="112"/>
      <c r="V711" s="112"/>
      <c r="W711" s="112"/>
      <c r="X711" s="112"/>
      <c r="Y711" s="112"/>
      <c r="Z711" s="112"/>
    </row>
    <row r="712" spans="1:26" x14ac:dyDescent="0.2">
      <c r="A712" s="113">
        <f>'THE BOARD'!A479</f>
        <v>0</v>
      </c>
      <c r="B712" s="115">
        <f>'THE BOARD'!B479</f>
        <v>0</v>
      </c>
      <c r="C712" s="115"/>
      <c r="D712" s="115"/>
      <c r="E712" s="115"/>
      <c r="F712" s="115"/>
      <c r="G712" s="115"/>
      <c r="H712" s="115"/>
      <c r="I712" s="115"/>
      <c r="J712" s="115"/>
      <c r="K712" s="112"/>
      <c r="L712" s="112"/>
      <c r="M712" s="112"/>
      <c r="N712" s="112"/>
      <c r="O712" s="112"/>
      <c r="P712" s="112"/>
      <c r="Q712" s="112"/>
      <c r="R712" s="112"/>
      <c r="S712" s="112"/>
      <c r="T712" s="112"/>
      <c r="U712" s="112"/>
      <c r="V712" s="112"/>
      <c r="W712" s="112"/>
      <c r="X712" s="112"/>
      <c r="Y712" s="112"/>
      <c r="Z712" s="112"/>
    </row>
    <row r="713" spans="1:26" x14ac:dyDescent="0.2">
      <c r="A713" s="113">
        <f>'THE BOARD'!A480</f>
        <v>0</v>
      </c>
      <c r="B713" s="115">
        <f>'THE BOARD'!B480</f>
        <v>0</v>
      </c>
      <c r="C713" s="115"/>
      <c r="D713" s="115"/>
      <c r="E713" s="115"/>
      <c r="F713" s="115"/>
      <c r="G713" s="115"/>
      <c r="H713" s="115"/>
      <c r="I713" s="115"/>
      <c r="J713" s="115"/>
      <c r="K713" s="112"/>
      <c r="L713" s="112"/>
      <c r="M713" s="112"/>
      <c r="N713" s="112"/>
      <c r="O713" s="112"/>
      <c r="P713" s="112"/>
      <c r="Q713" s="112"/>
      <c r="R713" s="112"/>
      <c r="S713" s="112"/>
      <c r="T713" s="112"/>
      <c r="U713" s="112"/>
      <c r="V713" s="112"/>
      <c r="W713" s="112"/>
      <c r="X713" s="112"/>
      <c r="Y713" s="112"/>
      <c r="Z713" s="112"/>
    </row>
    <row r="714" spans="1:26" x14ac:dyDescent="0.2">
      <c r="A714" s="113">
        <f>'THE BOARD'!A481</f>
        <v>0</v>
      </c>
      <c r="B714" s="115">
        <f>'THE BOARD'!B481</f>
        <v>0</v>
      </c>
      <c r="C714" s="115"/>
      <c r="D714" s="115"/>
      <c r="E714" s="115"/>
      <c r="F714" s="115"/>
      <c r="G714" s="115"/>
      <c r="H714" s="115"/>
      <c r="I714" s="115"/>
      <c r="J714" s="115"/>
      <c r="K714" s="112"/>
      <c r="L714" s="112"/>
      <c r="M714" s="112"/>
      <c r="N714" s="112"/>
      <c r="O714" s="112"/>
      <c r="P714" s="112"/>
      <c r="Q714" s="112"/>
      <c r="R714" s="112"/>
      <c r="S714" s="112"/>
      <c r="T714" s="112"/>
      <c r="U714" s="112"/>
      <c r="V714" s="112"/>
      <c r="W714" s="112"/>
      <c r="X714" s="112"/>
      <c r="Y714" s="112"/>
      <c r="Z714" s="112"/>
    </row>
    <row r="715" spans="1:26" x14ac:dyDescent="0.2">
      <c r="A715" s="113">
        <f>'THE BOARD'!A482</f>
        <v>0</v>
      </c>
      <c r="B715" s="115">
        <f>'THE BOARD'!B482</f>
        <v>0</v>
      </c>
      <c r="C715" s="115"/>
      <c r="D715" s="115"/>
      <c r="E715" s="115"/>
      <c r="F715" s="115"/>
      <c r="G715" s="115"/>
      <c r="H715" s="115"/>
      <c r="I715" s="115"/>
      <c r="J715" s="115"/>
      <c r="K715" s="112"/>
      <c r="L715" s="112"/>
      <c r="M715" s="112"/>
      <c r="N715" s="112"/>
      <c r="O715" s="112"/>
      <c r="P715" s="112"/>
      <c r="Q715" s="112"/>
      <c r="R715" s="112"/>
      <c r="S715" s="112"/>
      <c r="T715" s="112"/>
      <c r="U715" s="112"/>
      <c r="V715" s="112"/>
      <c r="W715" s="112"/>
      <c r="X715" s="112"/>
      <c r="Y715" s="112"/>
      <c r="Z715" s="112"/>
    </row>
    <row r="716" spans="1:26" x14ac:dyDescent="0.2">
      <c r="A716" s="113">
        <f>'THE BOARD'!A483</f>
        <v>0</v>
      </c>
      <c r="B716" s="115">
        <f>'THE BOARD'!B483</f>
        <v>0</v>
      </c>
      <c r="C716" s="115"/>
      <c r="D716" s="115"/>
      <c r="E716" s="115"/>
      <c r="F716" s="115"/>
      <c r="G716" s="115"/>
      <c r="H716" s="115"/>
      <c r="I716" s="115"/>
      <c r="J716" s="115"/>
      <c r="K716" s="112"/>
      <c r="L716" s="112"/>
      <c r="M716" s="112"/>
      <c r="N716" s="112"/>
      <c r="O716" s="112"/>
      <c r="P716" s="112"/>
      <c r="Q716" s="112"/>
      <c r="R716" s="112"/>
      <c r="S716" s="112"/>
      <c r="T716" s="112"/>
      <c r="U716" s="112"/>
      <c r="V716" s="112"/>
      <c r="W716" s="112"/>
      <c r="X716" s="112"/>
      <c r="Y716" s="112"/>
      <c r="Z716" s="112"/>
    </row>
    <row r="717" spans="1:26" x14ac:dyDescent="0.2">
      <c r="A717" s="113">
        <f>'THE BOARD'!A484</f>
        <v>0</v>
      </c>
      <c r="B717" s="115">
        <f>'THE BOARD'!B484</f>
        <v>0</v>
      </c>
      <c r="C717" s="115"/>
      <c r="D717" s="115"/>
      <c r="E717" s="115"/>
      <c r="F717" s="115"/>
      <c r="G717" s="115"/>
      <c r="H717" s="115"/>
      <c r="I717" s="115"/>
      <c r="J717" s="115"/>
      <c r="K717" s="112"/>
      <c r="L717" s="112"/>
      <c r="M717" s="112"/>
      <c r="N717" s="112"/>
      <c r="O717" s="112"/>
      <c r="P717" s="112"/>
      <c r="Q717" s="112"/>
      <c r="R717" s="112"/>
      <c r="S717" s="112"/>
      <c r="T717" s="112"/>
      <c r="U717" s="112"/>
      <c r="V717" s="112"/>
      <c r="W717" s="112"/>
      <c r="X717" s="112"/>
      <c r="Y717" s="112"/>
      <c r="Z717" s="112"/>
    </row>
    <row r="718" spans="1:26" x14ac:dyDescent="0.2">
      <c r="A718" s="113">
        <f>'THE BOARD'!A485</f>
        <v>0</v>
      </c>
      <c r="B718" s="115">
        <f>'THE BOARD'!B485</f>
        <v>0</v>
      </c>
      <c r="C718" s="115"/>
      <c r="D718" s="115"/>
      <c r="E718" s="115"/>
      <c r="F718" s="115"/>
      <c r="G718" s="115"/>
      <c r="H718" s="115"/>
      <c r="I718" s="115"/>
      <c r="J718" s="115"/>
      <c r="K718" s="112"/>
      <c r="L718" s="112"/>
      <c r="M718" s="112"/>
      <c r="N718" s="112"/>
      <c r="O718" s="112"/>
      <c r="P718" s="112"/>
      <c r="Q718" s="112"/>
      <c r="R718" s="112"/>
      <c r="S718" s="112"/>
      <c r="T718" s="112"/>
      <c r="U718" s="112"/>
      <c r="V718" s="112"/>
      <c r="W718" s="112"/>
      <c r="X718" s="112"/>
      <c r="Y718" s="112"/>
      <c r="Z718" s="112"/>
    </row>
    <row r="719" spans="1:26" x14ac:dyDescent="0.2">
      <c r="A719" s="113">
        <f>'THE BOARD'!A486</f>
        <v>0</v>
      </c>
      <c r="B719" s="115">
        <f>'THE BOARD'!B486</f>
        <v>0</v>
      </c>
      <c r="C719" s="115"/>
      <c r="D719" s="115"/>
      <c r="E719" s="115"/>
      <c r="F719" s="115"/>
      <c r="G719" s="115"/>
      <c r="H719" s="115"/>
      <c r="I719" s="115"/>
      <c r="J719" s="115"/>
      <c r="K719" s="112"/>
      <c r="L719" s="112"/>
      <c r="M719" s="112"/>
      <c r="N719" s="112"/>
      <c r="O719" s="112"/>
      <c r="P719" s="112"/>
      <c r="Q719" s="112"/>
      <c r="R719" s="112"/>
      <c r="S719" s="112"/>
      <c r="T719" s="112"/>
      <c r="U719" s="112"/>
      <c r="V719" s="112"/>
      <c r="W719" s="112"/>
      <c r="X719" s="112"/>
      <c r="Y719" s="112"/>
      <c r="Z719" s="112"/>
    </row>
    <row r="720" spans="1:26" x14ac:dyDescent="0.2">
      <c r="A720" s="113">
        <f>'THE BOARD'!A487</f>
        <v>0</v>
      </c>
      <c r="B720" s="115">
        <f>'THE BOARD'!B487</f>
        <v>0</v>
      </c>
      <c r="C720" s="115"/>
      <c r="D720" s="115"/>
      <c r="E720" s="115"/>
      <c r="F720" s="115"/>
      <c r="G720" s="115"/>
      <c r="H720" s="115"/>
      <c r="I720" s="115"/>
      <c r="J720" s="115"/>
      <c r="K720" s="112"/>
      <c r="L720" s="112"/>
      <c r="M720" s="112"/>
      <c r="N720" s="112"/>
      <c r="O720" s="112"/>
      <c r="P720" s="112"/>
      <c r="Q720" s="112"/>
      <c r="R720" s="112"/>
      <c r="S720" s="112"/>
      <c r="T720" s="112"/>
      <c r="U720" s="112"/>
      <c r="V720" s="112"/>
      <c r="W720" s="112"/>
      <c r="X720" s="112"/>
      <c r="Y720" s="112"/>
      <c r="Z720" s="112"/>
    </row>
    <row r="721" spans="1:26" x14ac:dyDescent="0.2">
      <c r="A721" s="113">
        <f>'THE BOARD'!A488</f>
        <v>0</v>
      </c>
      <c r="B721" s="115">
        <f>'THE BOARD'!B488</f>
        <v>0</v>
      </c>
      <c r="C721" s="115"/>
      <c r="D721" s="115"/>
      <c r="E721" s="115"/>
      <c r="F721" s="115"/>
      <c r="G721" s="115"/>
      <c r="H721" s="115"/>
      <c r="I721" s="115"/>
      <c r="J721" s="115"/>
      <c r="K721" s="112"/>
      <c r="L721" s="112"/>
      <c r="M721" s="112"/>
      <c r="N721" s="112"/>
      <c r="O721" s="112"/>
      <c r="P721" s="112"/>
      <c r="Q721" s="112"/>
      <c r="R721" s="112"/>
      <c r="S721" s="112"/>
      <c r="T721" s="112"/>
      <c r="U721" s="112"/>
      <c r="V721" s="112"/>
      <c r="W721" s="112"/>
      <c r="X721" s="112"/>
      <c r="Y721" s="112"/>
      <c r="Z721" s="112"/>
    </row>
    <row r="722" spans="1:26" x14ac:dyDescent="0.2">
      <c r="A722" s="113">
        <f>'THE BOARD'!A489</f>
        <v>0</v>
      </c>
      <c r="B722" s="115">
        <f>'THE BOARD'!B489</f>
        <v>0</v>
      </c>
      <c r="C722" s="115"/>
      <c r="D722" s="115"/>
      <c r="E722" s="115"/>
      <c r="F722" s="115"/>
      <c r="G722" s="115"/>
      <c r="H722" s="115"/>
      <c r="I722" s="115"/>
      <c r="J722" s="115"/>
      <c r="K722" s="112"/>
      <c r="L722" s="112"/>
      <c r="M722" s="112"/>
      <c r="N722" s="112"/>
      <c r="O722" s="112"/>
      <c r="P722" s="112"/>
      <c r="Q722" s="112"/>
      <c r="R722" s="112"/>
      <c r="S722" s="112"/>
      <c r="T722" s="112"/>
      <c r="U722" s="112"/>
      <c r="V722" s="112"/>
      <c r="W722" s="112"/>
      <c r="X722" s="112"/>
      <c r="Y722" s="112"/>
      <c r="Z722" s="112"/>
    </row>
    <row r="723" spans="1:26" x14ac:dyDescent="0.2">
      <c r="A723" s="113">
        <f>'THE BOARD'!A490</f>
        <v>0</v>
      </c>
      <c r="B723" s="115">
        <f>'THE BOARD'!B490</f>
        <v>0</v>
      </c>
      <c r="C723" s="115"/>
      <c r="D723" s="115"/>
      <c r="E723" s="115"/>
      <c r="F723" s="115"/>
      <c r="G723" s="115"/>
      <c r="H723" s="115"/>
      <c r="I723" s="115"/>
      <c r="J723" s="115"/>
      <c r="K723" s="112"/>
      <c r="L723" s="112"/>
      <c r="M723" s="112"/>
      <c r="N723" s="112"/>
      <c r="O723" s="112"/>
      <c r="P723" s="112"/>
      <c r="Q723" s="112"/>
      <c r="R723" s="112"/>
      <c r="S723" s="112"/>
      <c r="T723" s="112"/>
      <c r="U723" s="112"/>
      <c r="V723" s="112"/>
      <c r="W723" s="112"/>
      <c r="X723" s="112"/>
      <c r="Y723" s="112"/>
      <c r="Z723" s="112"/>
    </row>
    <row r="724" spans="1:26" x14ac:dyDescent="0.2">
      <c r="A724" s="113">
        <f>'THE BOARD'!A491</f>
        <v>0</v>
      </c>
      <c r="B724" s="115">
        <f>'THE BOARD'!B491</f>
        <v>0</v>
      </c>
      <c r="C724" s="115"/>
      <c r="D724" s="115"/>
      <c r="E724" s="115"/>
      <c r="F724" s="115"/>
      <c r="G724" s="115"/>
      <c r="H724" s="115"/>
      <c r="I724" s="115"/>
      <c r="J724" s="115"/>
      <c r="K724" s="112"/>
      <c r="L724" s="112"/>
      <c r="M724" s="112"/>
      <c r="N724" s="112"/>
      <c r="O724" s="112"/>
      <c r="P724" s="112"/>
      <c r="Q724" s="112"/>
      <c r="R724" s="112"/>
      <c r="S724" s="112"/>
      <c r="T724" s="112"/>
      <c r="U724" s="112"/>
      <c r="V724" s="112"/>
      <c r="W724" s="112"/>
      <c r="X724" s="112"/>
      <c r="Y724" s="112"/>
      <c r="Z724" s="112"/>
    </row>
    <row r="725" spans="1:26" x14ac:dyDescent="0.2">
      <c r="A725" s="113">
        <f>'THE BOARD'!A492</f>
        <v>0</v>
      </c>
      <c r="B725" s="115">
        <f>'THE BOARD'!B492</f>
        <v>0</v>
      </c>
      <c r="C725" s="115"/>
      <c r="D725" s="115"/>
      <c r="E725" s="115"/>
      <c r="F725" s="115"/>
      <c r="G725" s="115"/>
      <c r="H725" s="115"/>
      <c r="I725" s="115"/>
      <c r="J725" s="115"/>
      <c r="K725" s="112"/>
      <c r="L725" s="112"/>
      <c r="M725" s="112"/>
      <c r="N725" s="112"/>
      <c r="O725" s="112"/>
      <c r="P725" s="112"/>
      <c r="Q725" s="112"/>
      <c r="R725" s="112"/>
      <c r="S725" s="112"/>
      <c r="T725" s="112"/>
      <c r="U725" s="112"/>
      <c r="V725" s="112"/>
      <c r="W725" s="112"/>
      <c r="X725" s="112"/>
      <c r="Y725" s="112"/>
      <c r="Z725" s="112"/>
    </row>
    <row r="726" spans="1:26" x14ac:dyDescent="0.2">
      <c r="A726" s="113">
        <f>'THE BOARD'!A493</f>
        <v>0</v>
      </c>
      <c r="B726" s="115">
        <f>'THE BOARD'!B493</f>
        <v>0</v>
      </c>
      <c r="C726" s="115"/>
      <c r="D726" s="115"/>
      <c r="E726" s="115"/>
      <c r="F726" s="115"/>
      <c r="G726" s="115"/>
      <c r="H726" s="115"/>
      <c r="I726" s="115"/>
      <c r="J726" s="115"/>
      <c r="K726" s="112"/>
      <c r="L726" s="112"/>
      <c r="M726" s="112"/>
      <c r="N726" s="112"/>
      <c r="O726" s="112"/>
      <c r="P726" s="112"/>
      <c r="Q726" s="112"/>
      <c r="R726" s="112"/>
      <c r="S726" s="112"/>
      <c r="T726" s="112"/>
      <c r="U726" s="112"/>
      <c r="V726" s="112"/>
      <c r="W726" s="112"/>
      <c r="X726" s="112"/>
      <c r="Y726" s="112"/>
      <c r="Z726" s="112"/>
    </row>
    <row r="727" spans="1:26" x14ac:dyDescent="0.2">
      <c r="A727" s="113">
        <f>'THE BOARD'!A494</f>
        <v>0</v>
      </c>
      <c r="B727" s="115">
        <f>'THE BOARD'!B494</f>
        <v>0</v>
      </c>
      <c r="C727" s="115"/>
      <c r="D727" s="115"/>
      <c r="E727" s="115"/>
      <c r="F727" s="115"/>
      <c r="G727" s="115"/>
      <c r="H727" s="115"/>
      <c r="I727" s="115"/>
      <c r="J727" s="115"/>
      <c r="K727" s="112"/>
      <c r="L727" s="112"/>
      <c r="M727" s="112"/>
      <c r="N727" s="112"/>
      <c r="O727" s="112"/>
      <c r="P727" s="112"/>
      <c r="Q727" s="112"/>
      <c r="R727" s="112"/>
      <c r="S727" s="112"/>
      <c r="T727" s="112"/>
      <c r="U727" s="112"/>
      <c r="V727" s="112"/>
      <c r="W727" s="112"/>
      <c r="X727" s="112"/>
      <c r="Y727" s="112"/>
      <c r="Z727" s="112"/>
    </row>
    <row r="728" spans="1:26" x14ac:dyDescent="0.2">
      <c r="A728" s="113">
        <f>'THE BOARD'!A495</f>
        <v>0</v>
      </c>
      <c r="B728" s="115">
        <f>'THE BOARD'!B495</f>
        <v>0</v>
      </c>
      <c r="C728" s="115"/>
      <c r="D728" s="115"/>
      <c r="E728" s="115"/>
      <c r="F728" s="115"/>
      <c r="G728" s="115"/>
      <c r="H728" s="115"/>
      <c r="I728" s="115"/>
      <c r="J728" s="115"/>
      <c r="K728" s="112"/>
      <c r="L728" s="112"/>
      <c r="M728" s="112"/>
      <c r="N728" s="112"/>
      <c r="O728" s="112"/>
      <c r="P728" s="112"/>
      <c r="Q728" s="112"/>
      <c r="R728" s="112"/>
      <c r="S728" s="112"/>
      <c r="T728" s="112"/>
      <c r="U728" s="112"/>
      <c r="V728" s="112"/>
      <c r="W728" s="112"/>
      <c r="X728" s="112"/>
      <c r="Y728" s="112"/>
      <c r="Z728" s="112"/>
    </row>
    <row r="729" spans="1:26" x14ac:dyDescent="0.2">
      <c r="A729" s="113">
        <f>'THE BOARD'!A496</f>
        <v>0</v>
      </c>
      <c r="B729" s="115">
        <f>'THE BOARD'!B496</f>
        <v>0</v>
      </c>
      <c r="C729" s="115"/>
      <c r="D729" s="115"/>
      <c r="E729" s="115"/>
      <c r="F729" s="115"/>
      <c r="G729" s="115"/>
      <c r="H729" s="115"/>
      <c r="I729" s="115"/>
      <c r="J729" s="115"/>
      <c r="K729" s="112"/>
      <c r="L729" s="112"/>
      <c r="M729" s="112"/>
      <c r="N729" s="112"/>
      <c r="O729" s="112"/>
      <c r="P729" s="112"/>
      <c r="Q729" s="112"/>
      <c r="R729" s="112"/>
      <c r="S729" s="112"/>
      <c r="T729" s="112"/>
      <c r="U729" s="112"/>
      <c r="V729" s="112"/>
      <c r="W729" s="112"/>
      <c r="X729" s="112"/>
      <c r="Y729" s="112"/>
      <c r="Z729" s="112"/>
    </row>
    <row r="730" spans="1:26" x14ac:dyDescent="0.2">
      <c r="A730" s="113">
        <f>'THE BOARD'!A497</f>
        <v>0</v>
      </c>
      <c r="B730" s="115">
        <f>'THE BOARD'!B497</f>
        <v>0</v>
      </c>
      <c r="C730" s="115"/>
      <c r="D730" s="115"/>
      <c r="E730" s="115"/>
      <c r="F730" s="115"/>
      <c r="G730" s="115"/>
      <c r="H730" s="115"/>
      <c r="I730" s="115"/>
      <c r="J730" s="115"/>
      <c r="K730" s="112"/>
      <c r="L730" s="112"/>
      <c r="M730" s="112"/>
      <c r="N730" s="112"/>
      <c r="O730" s="112"/>
      <c r="P730" s="112"/>
      <c r="Q730" s="112"/>
      <c r="R730" s="112"/>
      <c r="S730" s="112"/>
      <c r="T730" s="112"/>
      <c r="U730" s="112"/>
      <c r="V730" s="112"/>
      <c r="W730" s="112"/>
      <c r="X730" s="112"/>
      <c r="Y730" s="112"/>
      <c r="Z730" s="112"/>
    </row>
    <row r="731" spans="1:26" x14ac:dyDescent="0.2">
      <c r="A731" s="113">
        <f>'THE BOARD'!A498</f>
        <v>0</v>
      </c>
      <c r="B731" s="115">
        <f>'THE BOARD'!B498</f>
        <v>0</v>
      </c>
      <c r="C731" s="115"/>
      <c r="D731" s="115"/>
      <c r="E731" s="115"/>
      <c r="F731" s="115"/>
      <c r="G731" s="115"/>
      <c r="H731" s="115"/>
      <c r="I731" s="115"/>
      <c r="J731" s="115"/>
      <c r="K731" s="112"/>
      <c r="L731" s="112"/>
      <c r="M731" s="112"/>
      <c r="N731" s="112"/>
      <c r="O731" s="112"/>
      <c r="P731" s="112"/>
      <c r="Q731" s="112"/>
      <c r="R731" s="112"/>
      <c r="S731" s="112"/>
      <c r="T731" s="112"/>
      <c r="U731" s="112"/>
      <c r="V731" s="112"/>
      <c r="W731" s="112"/>
      <c r="X731" s="112"/>
      <c r="Y731" s="112"/>
      <c r="Z731" s="112"/>
    </row>
    <row r="732" spans="1:26" x14ac:dyDescent="0.2">
      <c r="A732" s="113">
        <f>'THE BOARD'!A499</f>
        <v>0</v>
      </c>
      <c r="B732" s="115">
        <f>'THE BOARD'!B499</f>
        <v>0</v>
      </c>
      <c r="C732" s="115"/>
      <c r="D732" s="115"/>
      <c r="E732" s="115"/>
      <c r="F732" s="115"/>
      <c r="G732" s="115"/>
      <c r="H732" s="115"/>
      <c r="I732" s="115"/>
      <c r="J732" s="115"/>
      <c r="K732" s="112"/>
      <c r="L732" s="112"/>
      <c r="M732" s="112"/>
      <c r="N732" s="112"/>
      <c r="O732" s="112"/>
      <c r="P732" s="112"/>
      <c r="Q732" s="112"/>
      <c r="R732" s="112"/>
      <c r="S732" s="112"/>
      <c r="T732" s="112"/>
      <c r="U732" s="112"/>
      <c r="V732" s="112"/>
      <c r="W732" s="112"/>
      <c r="X732" s="112"/>
      <c r="Y732" s="112"/>
      <c r="Z732" s="112"/>
    </row>
    <row r="733" spans="1:26" x14ac:dyDescent="0.2">
      <c r="A733" s="113">
        <f>'THE BOARD'!A500</f>
        <v>0</v>
      </c>
      <c r="B733" s="115">
        <f>'THE BOARD'!B500</f>
        <v>0</v>
      </c>
      <c r="C733" s="115"/>
      <c r="D733" s="115"/>
      <c r="E733" s="115"/>
      <c r="F733" s="115"/>
      <c r="G733" s="115"/>
      <c r="H733" s="115"/>
      <c r="I733" s="115"/>
      <c r="J733" s="115"/>
      <c r="K733" s="112"/>
      <c r="L733" s="112"/>
      <c r="M733" s="112"/>
      <c r="N733" s="112"/>
      <c r="O733" s="112"/>
      <c r="P733" s="112"/>
      <c r="Q733" s="112"/>
      <c r="R733" s="112"/>
      <c r="S733" s="112"/>
      <c r="T733" s="112"/>
      <c r="U733" s="112"/>
      <c r="V733" s="112"/>
      <c r="W733" s="112"/>
      <c r="X733" s="112"/>
      <c r="Y733" s="112"/>
      <c r="Z733" s="112"/>
    </row>
    <row r="734" spans="1:26" x14ac:dyDescent="0.2">
      <c r="A734" s="113">
        <f>'THE BOARD'!A501</f>
        <v>0</v>
      </c>
      <c r="B734" s="115">
        <f>'THE BOARD'!B501</f>
        <v>0</v>
      </c>
      <c r="C734" s="115"/>
      <c r="D734" s="115"/>
      <c r="E734" s="115"/>
      <c r="F734" s="115"/>
      <c r="G734" s="115"/>
      <c r="H734" s="115"/>
      <c r="I734" s="115"/>
      <c r="J734" s="115"/>
      <c r="K734" s="112"/>
      <c r="L734" s="112"/>
      <c r="M734" s="112"/>
      <c r="N734" s="112"/>
      <c r="O734" s="112"/>
      <c r="P734" s="112"/>
      <c r="Q734" s="112"/>
      <c r="R734" s="112"/>
      <c r="S734" s="112"/>
      <c r="T734" s="112"/>
      <c r="U734" s="112"/>
      <c r="V734" s="112"/>
      <c r="W734" s="112"/>
      <c r="X734" s="112"/>
      <c r="Y734" s="112"/>
      <c r="Z734" s="112"/>
    </row>
    <row r="735" spans="1:26" x14ac:dyDescent="0.2">
      <c r="A735" s="113">
        <f>'THE BOARD'!A502</f>
        <v>0</v>
      </c>
      <c r="B735" s="115">
        <f>'THE BOARD'!B502</f>
        <v>0</v>
      </c>
      <c r="C735" s="115"/>
      <c r="D735" s="115"/>
      <c r="E735" s="115"/>
      <c r="F735" s="115"/>
      <c r="G735" s="115"/>
      <c r="H735" s="115"/>
      <c r="I735" s="115"/>
      <c r="J735" s="115"/>
      <c r="K735" s="112"/>
      <c r="L735" s="112"/>
      <c r="M735" s="112"/>
      <c r="N735" s="112"/>
      <c r="O735" s="112"/>
      <c r="P735" s="112"/>
      <c r="Q735" s="112"/>
      <c r="R735" s="112"/>
      <c r="S735" s="112"/>
      <c r="T735" s="112"/>
      <c r="U735" s="112"/>
      <c r="V735" s="112"/>
      <c r="W735" s="112"/>
      <c r="X735" s="112"/>
      <c r="Y735" s="112"/>
      <c r="Z735" s="112"/>
    </row>
    <row r="736" spans="1:26" x14ac:dyDescent="0.2">
      <c r="A736" s="113">
        <f>'THE BOARD'!A503</f>
        <v>0</v>
      </c>
      <c r="B736" s="115">
        <f>'THE BOARD'!B503</f>
        <v>0</v>
      </c>
      <c r="C736" s="115"/>
      <c r="D736" s="115"/>
      <c r="E736" s="115"/>
      <c r="F736" s="115"/>
      <c r="G736" s="115"/>
      <c r="H736" s="115"/>
      <c r="I736" s="115"/>
      <c r="J736" s="115"/>
      <c r="K736" s="112"/>
      <c r="L736" s="112"/>
      <c r="M736" s="112"/>
      <c r="N736" s="112"/>
      <c r="O736" s="112"/>
      <c r="P736" s="112"/>
      <c r="Q736" s="112"/>
      <c r="R736" s="112"/>
      <c r="S736" s="112"/>
      <c r="T736" s="112"/>
      <c r="U736" s="112"/>
      <c r="V736" s="112"/>
      <c r="W736" s="112"/>
      <c r="X736" s="112"/>
      <c r="Y736" s="112"/>
      <c r="Z736" s="112"/>
    </row>
    <row r="737" spans="1:26" x14ac:dyDescent="0.2">
      <c r="A737" s="113">
        <f>'THE BOARD'!A504</f>
        <v>0</v>
      </c>
      <c r="B737" s="115">
        <f>'THE BOARD'!B504</f>
        <v>0</v>
      </c>
      <c r="C737" s="115"/>
      <c r="D737" s="115"/>
      <c r="E737" s="115"/>
      <c r="F737" s="115"/>
      <c r="G737" s="115"/>
      <c r="H737" s="115"/>
      <c r="I737" s="115"/>
      <c r="J737" s="115"/>
      <c r="K737" s="112"/>
      <c r="L737" s="112"/>
      <c r="M737" s="112"/>
      <c r="N737" s="112"/>
      <c r="O737" s="112"/>
      <c r="P737" s="112"/>
      <c r="Q737" s="112"/>
      <c r="R737" s="112"/>
      <c r="S737" s="112"/>
      <c r="T737" s="112"/>
      <c r="U737" s="112"/>
      <c r="V737" s="112"/>
      <c r="W737" s="112"/>
      <c r="X737" s="112"/>
      <c r="Y737" s="112"/>
      <c r="Z737" s="112"/>
    </row>
    <row r="738" spans="1:26" x14ac:dyDescent="0.2">
      <c r="A738" s="113">
        <f>'THE BOARD'!A505</f>
        <v>0</v>
      </c>
      <c r="B738" s="115">
        <f>'THE BOARD'!B505</f>
        <v>0</v>
      </c>
      <c r="C738" s="115"/>
      <c r="D738" s="115"/>
      <c r="E738" s="115"/>
      <c r="F738" s="115"/>
      <c r="G738" s="115"/>
      <c r="H738" s="115"/>
      <c r="I738" s="115"/>
      <c r="J738" s="115"/>
      <c r="K738" s="112"/>
      <c r="L738" s="112"/>
      <c r="M738" s="112"/>
      <c r="N738" s="112"/>
      <c r="O738" s="112"/>
      <c r="P738" s="112"/>
      <c r="Q738" s="112"/>
      <c r="R738" s="112"/>
      <c r="S738" s="112"/>
      <c r="T738" s="112"/>
      <c r="U738" s="112"/>
      <c r="V738" s="112"/>
      <c r="W738" s="112"/>
      <c r="X738" s="112"/>
      <c r="Y738" s="112"/>
      <c r="Z738" s="112"/>
    </row>
    <row r="739" spans="1:26" x14ac:dyDescent="0.2">
      <c r="A739" s="113">
        <f>'THE BOARD'!A506</f>
        <v>0</v>
      </c>
      <c r="B739" s="115">
        <f>'THE BOARD'!B506</f>
        <v>0</v>
      </c>
      <c r="C739" s="115"/>
      <c r="D739" s="115"/>
      <c r="E739" s="115"/>
      <c r="F739" s="115"/>
      <c r="G739" s="115"/>
      <c r="H739" s="115"/>
      <c r="I739" s="115"/>
      <c r="J739" s="115"/>
      <c r="K739" s="112"/>
      <c r="L739" s="112"/>
      <c r="M739" s="112"/>
      <c r="N739" s="112"/>
      <c r="O739" s="112"/>
      <c r="P739" s="112"/>
      <c r="Q739" s="112"/>
      <c r="R739" s="112"/>
      <c r="S739" s="112"/>
      <c r="T739" s="112"/>
      <c r="U739" s="112"/>
      <c r="V739" s="112"/>
      <c r="W739" s="112"/>
      <c r="X739" s="112"/>
      <c r="Y739" s="112"/>
      <c r="Z739" s="112"/>
    </row>
    <row r="740" spans="1:26" x14ac:dyDescent="0.2">
      <c r="A740" s="113">
        <f>'THE BOARD'!A507</f>
        <v>0</v>
      </c>
      <c r="B740" s="115">
        <f>'THE BOARD'!B507</f>
        <v>0</v>
      </c>
      <c r="C740" s="115"/>
      <c r="D740" s="115"/>
      <c r="E740" s="115"/>
      <c r="F740" s="115"/>
      <c r="G740" s="115"/>
      <c r="H740" s="115"/>
      <c r="I740" s="115"/>
      <c r="J740" s="115"/>
      <c r="K740" s="112"/>
      <c r="L740" s="112"/>
      <c r="M740" s="112"/>
      <c r="N740" s="112"/>
      <c r="O740" s="112"/>
      <c r="P740" s="112"/>
      <c r="Q740" s="112"/>
      <c r="R740" s="112"/>
      <c r="S740" s="112"/>
      <c r="T740" s="112"/>
      <c r="U740" s="112"/>
      <c r="V740" s="112"/>
      <c r="W740" s="112"/>
      <c r="X740" s="112"/>
      <c r="Y740" s="112"/>
      <c r="Z740" s="112"/>
    </row>
    <row r="741" spans="1:26" x14ac:dyDescent="0.2">
      <c r="A741" s="113">
        <f>'THE BOARD'!A508</f>
        <v>0</v>
      </c>
      <c r="B741" s="115">
        <f>'THE BOARD'!B508</f>
        <v>0</v>
      </c>
      <c r="C741" s="115"/>
      <c r="D741" s="115"/>
      <c r="E741" s="115"/>
      <c r="F741" s="115"/>
      <c r="G741" s="115"/>
      <c r="H741" s="115"/>
      <c r="I741" s="115"/>
      <c r="J741" s="115"/>
      <c r="K741" s="112"/>
      <c r="L741" s="112"/>
      <c r="M741" s="112"/>
      <c r="N741" s="112"/>
      <c r="O741" s="112"/>
      <c r="P741" s="112"/>
      <c r="Q741" s="112"/>
      <c r="R741" s="112"/>
      <c r="S741" s="112"/>
      <c r="T741" s="112"/>
      <c r="U741" s="112"/>
      <c r="V741" s="112"/>
      <c r="W741" s="112"/>
      <c r="X741" s="112"/>
      <c r="Y741" s="112"/>
      <c r="Z741" s="112"/>
    </row>
    <row r="742" spans="1:26" x14ac:dyDescent="0.2">
      <c r="A742" s="113">
        <f>'THE BOARD'!A509</f>
        <v>0</v>
      </c>
      <c r="B742" s="115">
        <f>'THE BOARD'!B509</f>
        <v>0</v>
      </c>
      <c r="C742" s="115"/>
      <c r="D742" s="115"/>
      <c r="E742" s="115"/>
      <c r="F742" s="115"/>
      <c r="G742" s="115"/>
      <c r="H742" s="115"/>
      <c r="I742" s="115"/>
      <c r="J742" s="115"/>
      <c r="K742" s="112"/>
      <c r="L742" s="112"/>
      <c r="M742" s="112"/>
      <c r="N742" s="112"/>
      <c r="O742" s="112"/>
      <c r="P742" s="112"/>
      <c r="Q742" s="112"/>
      <c r="R742" s="112"/>
      <c r="S742" s="112"/>
      <c r="T742" s="112"/>
      <c r="U742" s="112"/>
      <c r="V742" s="112"/>
      <c r="W742" s="112"/>
      <c r="X742" s="112"/>
      <c r="Y742" s="112"/>
      <c r="Z742" s="112"/>
    </row>
    <row r="743" spans="1:26" x14ac:dyDescent="0.2">
      <c r="A743" s="113">
        <f>'THE BOARD'!A510</f>
        <v>0</v>
      </c>
      <c r="B743" s="115">
        <f>'THE BOARD'!B510</f>
        <v>0</v>
      </c>
      <c r="C743" s="115"/>
      <c r="D743" s="115"/>
      <c r="E743" s="115"/>
      <c r="F743" s="115"/>
      <c r="G743" s="115"/>
      <c r="H743" s="115"/>
      <c r="I743" s="115"/>
      <c r="J743" s="115"/>
      <c r="K743" s="112"/>
      <c r="L743" s="112"/>
      <c r="M743" s="112"/>
      <c r="N743" s="112"/>
      <c r="O743" s="112"/>
      <c r="P743" s="112"/>
      <c r="Q743" s="112"/>
      <c r="R743" s="112"/>
      <c r="S743" s="112"/>
      <c r="T743" s="112"/>
      <c r="U743" s="112"/>
      <c r="V743" s="112"/>
      <c r="W743" s="112"/>
      <c r="X743" s="112"/>
      <c r="Y743" s="112"/>
      <c r="Z743" s="112"/>
    </row>
    <row r="744" spans="1:26" x14ac:dyDescent="0.2">
      <c r="A744" s="113">
        <f>'THE BOARD'!A511</f>
        <v>0</v>
      </c>
      <c r="B744" s="115">
        <f>'THE BOARD'!B511</f>
        <v>0</v>
      </c>
      <c r="C744" s="115"/>
      <c r="D744" s="115"/>
      <c r="E744" s="115"/>
      <c r="F744" s="115"/>
      <c r="G744" s="115"/>
      <c r="H744" s="115"/>
      <c r="I744" s="115"/>
      <c r="J744" s="115"/>
      <c r="K744" s="112"/>
      <c r="L744" s="112"/>
      <c r="M744" s="112"/>
      <c r="N744" s="112"/>
      <c r="O744" s="112"/>
      <c r="P744" s="112"/>
      <c r="Q744" s="112"/>
      <c r="R744" s="112"/>
      <c r="S744" s="112"/>
      <c r="T744" s="112"/>
      <c r="U744" s="112"/>
      <c r="V744" s="112"/>
      <c r="W744" s="112"/>
      <c r="X744" s="112"/>
      <c r="Y744" s="112"/>
      <c r="Z744" s="112"/>
    </row>
    <row r="745" spans="1:26" x14ac:dyDescent="0.2">
      <c r="A745" s="113">
        <f>'THE BOARD'!A512</f>
        <v>0</v>
      </c>
      <c r="B745" s="115">
        <f>'THE BOARD'!B512</f>
        <v>0</v>
      </c>
      <c r="C745" s="115"/>
      <c r="D745" s="115"/>
      <c r="E745" s="115"/>
      <c r="F745" s="115"/>
      <c r="G745" s="115"/>
      <c r="H745" s="115"/>
      <c r="I745" s="115"/>
      <c r="J745" s="115"/>
      <c r="K745" s="112"/>
      <c r="L745" s="112"/>
      <c r="M745" s="112"/>
      <c r="N745" s="112"/>
      <c r="O745" s="112"/>
      <c r="P745" s="112"/>
      <c r="Q745" s="112"/>
      <c r="R745" s="112"/>
      <c r="S745" s="112"/>
      <c r="T745" s="112"/>
      <c r="U745" s="112"/>
      <c r="V745" s="112"/>
      <c r="W745" s="112"/>
      <c r="X745" s="112"/>
      <c r="Y745" s="112"/>
      <c r="Z745" s="112"/>
    </row>
    <row r="746" spans="1:26" x14ac:dyDescent="0.2">
      <c r="A746" s="113">
        <f>'THE BOARD'!A513</f>
        <v>0</v>
      </c>
      <c r="B746" s="115">
        <f>'THE BOARD'!B513</f>
        <v>0</v>
      </c>
      <c r="C746" s="115"/>
      <c r="D746" s="115"/>
      <c r="E746" s="115"/>
      <c r="F746" s="115"/>
      <c r="G746" s="115"/>
      <c r="H746" s="115"/>
      <c r="I746" s="115"/>
      <c r="J746" s="115"/>
      <c r="K746" s="112"/>
      <c r="L746" s="112"/>
      <c r="M746" s="112"/>
      <c r="N746" s="112"/>
      <c r="O746" s="112"/>
      <c r="P746" s="112"/>
      <c r="Q746" s="112"/>
      <c r="R746" s="112"/>
      <c r="S746" s="112"/>
      <c r="T746" s="112"/>
      <c r="U746" s="112"/>
      <c r="V746" s="112"/>
      <c r="W746" s="112"/>
      <c r="X746" s="112"/>
      <c r="Y746" s="112"/>
      <c r="Z746" s="112"/>
    </row>
    <row r="747" spans="1:26" x14ac:dyDescent="0.2">
      <c r="A747" s="113">
        <f>'THE BOARD'!A514</f>
        <v>0</v>
      </c>
      <c r="B747" s="115">
        <f>'THE BOARD'!B514</f>
        <v>0</v>
      </c>
      <c r="C747" s="115"/>
      <c r="D747" s="115"/>
      <c r="E747" s="115"/>
      <c r="F747" s="115"/>
      <c r="G747" s="115"/>
      <c r="H747" s="115"/>
      <c r="I747" s="115"/>
      <c r="J747" s="115"/>
      <c r="K747" s="112"/>
      <c r="L747" s="112"/>
      <c r="M747" s="112"/>
      <c r="N747" s="112"/>
      <c r="O747" s="112"/>
      <c r="P747" s="112"/>
      <c r="Q747" s="112"/>
      <c r="R747" s="112"/>
      <c r="S747" s="112"/>
      <c r="T747" s="112"/>
      <c r="U747" s="112"/>
      <c r="V747" s="112"/>
      <c r="W747" s="112"/>
      <c r="X747" s="112"/>
      <c r="Y747" s="112"/>
      <c r="Z747" s="112"/>
    </row>
    <row r="748" spans="1:26" x14ac:dyDescent="0.2">
      <c r="A748" s="113">
        <f>'THE BOARD'!A515</f>
        <v>0</v>
      </c>
      <c r="B748" s="115">
        <f>'THE BOARD'!B515</f>
        <v>0</v>
      </c>
      <c r="C748" s="115"/>
      <c r="D748" s="115"/>
      <c r="E748" s="115"/>
      <c r="F748" s="115"/>
      <c r="G748" s="115"/>
      <c r="H748" s="115"/>
      <c r="I748" s="115"/>
      <c r="J748" s="115"/>
      <c r="K748" s="112"/>
      <c r="L748" s="112"/>
      <c r="M748" s="112"/>
      <c r="N748" s="112"/>
      <c r="O748" s="112"/>
      <c r="P748" s="112"/>
      <c r="Q748" s="112"/>
      <c r="R748" s="112"/>
      <c r="S748" s="112"/>
      <c r="T748" s="112"/>
      <c r="U748" s="112"/>
      <c r="V748" s="112"/>
      <c r="W748" s="112"/>
      <c r="X748" s="112"/>
      <c r="Y748" s="112"/>
      <c r="Z748" s="112"/>
    </row>
    <row r="749" spans="1:26" x14ac:dyDescent="0.2">
      <c r="A749" s="113">
        <f>'THE BOARD'!A516</f>
        <v>0</v>
      </c>
      <c r="B749" s="115">
        <f>'THE BOARD'!B516</f>
        <v>0</v>
      </c>
      <c r="C749" s="115"/>
      <c r="D749" s="115"/>
      <c r="E749" s="115"/>
      <c r="F749" s="115"/>
      <c r="G749" s="115"/>
      <c r="H749" s="115"/>
      <c r="I749" s="115"/>
      <c r="J749" s="115"/>
      <c r="K749" s="112"/>
      <c r="L749" s="112"/>
      <c r="M749" s="112"/>
      <c r="N749" s="112"/>
      <c r="O749" s="112"/>
      <c r="P749" s="112"/>
      <c r="Q749" s="112"/>
      <c r="R749" s="112"/>
      <c r="S749" s="112"/>
      <c r="T749" s="112"/>
      <c r="U749" s="112"/>
      <c r="V749" s="112"/>
      <c r="W749" s="112"/>
      <c r="X749" s="112"/>
      <c r="Y749" s="112"/>
      <c r="Z749" s="112"/>
    </row>
    <row r="750" spans="1:26" x14ac:dyDescent="0.2">
      <c r="A750" s="113">
        <f>'THE BOARD'!A517</f>
        <v>0</v>
      </c>
      <c r="B750" s="115">
        <f>'THE BOARD'!B517</f>
        <v>0</v>
      </c>
      <c r="C750" s="115"/>
      <c r="D750" s="115"/>
      <c r="E750" s="115"/>
      <c r="F750" s="115"/>
      <c r="G750" s="115"/>
      <c r="H750" s="115"/>
      <c r="I750" s="115"/>
      <c r="J750" s="115"/>
      <c r="K750" s="112"/>
      <c r="L750" s="112"/>
      <c r="M750" s="112"/>
      <c r="N750" s="112"/>
      <c r="O750" s="112"/>
      <c r="P750" s="112"/>
      <c r="Q750" s="112"/>
      <c r="R750" s="112"/>
      <c r="S750" s="112"/>
      <c r="T750" s="112"/>
      <c r="U750" s="112"/>
      <c r="V750" s="112"/>
      <c r="W750" s="112"/>
      <c r="X750" s="112"/>
      <c r="Y750" s="112"/>
      <c r="Z750" s="112"/>
    </row>
    <row r="751" spans="1:26" x14ac:dyDescent="0.2">
      <c r="A751" s="113">
        <f>'THE BOARD'!A518</f>
        <v>0</v>
      </c>
      <c r="B751" s="115">
        <f>'THE BOARD'!B518</f>
        <v>0</v>
      </c>
      <c r="C751" s="115"/>
      <c r="D751" s="115"/>
      <c r="E751" s="115"/>
      <c r="F751" s="115"/>
      <c r="G751" s="115"/>
      <c r="H751" s="115"/>
      <c r="I751" s="115"/>
      <c r="J751" s="115"/>
      <c r="K751" s="112"/>
      <c r="L751" s="112"/>
      <c r="M751" s="112"/>
      <c r="N751" s="112"/>
      <c r="O751" s="112"/>
      <c r="P751" s="112"/>
      <c r="Q751" s="112"/>
      <c r="R751" s="112"/>
      <c r="S751" s="112"/>
      <c r="T751" s="112"/>
      <c r="U751" s="112"/>
      <c r="V751" s="112"/>
      <c r="W751" s="112"/>
      <c r="X751" s="112"/>
      <c r="Y751" s="112"/>
      <c r="Z751" s="112"/>
    </row>
    <row r="752" spans="1:26" x14ac:dyDescent="0.2">
      <c r="A752" s="113">
        <f>'THE BOARD'!A519</f>
        <v>0</v>
      </c>
      <c r="B752" s="115">
        <f>'THE BOARD'!B519</f>
        <v>0</v>
      </c>
      <c r="C752" s="115"/>
      <c r="D752" s="115"/>
      <c r="E752" s="115"/>
      <c r="F752" s="115"/>
      <c r="G752" s="115"/>
      <c r="H752" s="115"/>
      <c r="I752" s="115"/>
      <c r="J752" s="115"/>
      <c r="K752" s="112"/>
      <c r="L752" s="112"/>
      <c r="M752" s="112"/>
      <c r="N752" s="112"/>
      <c r="O752" s="112"/>
      <c r="P752" s="112"/>
      <c r="Q752" s="112"/>
      <c r="R752" s="112"/>
      <c r="S752" s="112"/>
      <c r="T752" s="112"/>
      <c r="U752" s="112"/>
      <c r="V752" s="112"/>
      <c r="W752" s="112"/>
      <c r="X752" s="112"/>
      <c r="Y752" s="112"/>
      <c r="Z752" s="112"/>
    </row>
    <row r="753" spans="1:26" x14ac:dyDescent="0.2">
      <c r="A753" s="113">
        <f>'THE BOARD'!A520</f>
        <v>0</v>
      </c>
      <c r="B753" s="115">
        <f>'THE BOARD'!B520</f>
        <v>0</v>
      </c>
      <c r="C753" s="115"/>
      <c r="D753" s="115"/>
      <c r="E753" s="115"/>
      <c r="F753" s="115"/>
      <c r="G753" s="115"/>
      <c r="H753" s="115"/>
      <c r="I753" s="115"/>
      <c r="J753" s="115"/>
      <c r="K753" s="112"/>
      <c r="L753" s="112"/>
      <c r="M753" s="112"/>
      <c r="N753" s="112"/>
      <c r="O753" s="112"/>
      <c r="P753" s="112"/>
      <c r="Q753" s="112"/>
      <c r="R753" s="112"/>
      <c r="S753" s="112"/>
      <c r="T753" s="112"/>
      <c r="U753" s="112"/>
      <c r="V753" s="112"/>
      <c r="W753" s="112"/>
      <c r="X753" s="112"/>
      <c r="Y753" s="112"/>
      <c r="Z753" s="112"/>
    </row>
    <row r="754" spans="1:26" x14ac:dyDescent="0.2">
      <c r="A754" s="113">
        <f>'THE BOARD'!A521</f>
        <v>0</v>
      </c>
      <c r="B754" s="115">
        <f>'THE BOARD'!B521</f>
        <v>0</v>
      </c>
      <c r="C754" s="115"/>
      <c r="D754" s="115"/>
      <c r="E754" s="115"/>
      <c r="F754" s="115"/>
      <c r="G754" s="115"/>
      <c r="H754" s="115"/>
      <c r="I754" s="115"/>
      <c r="J754" s="115"/>
      <c r="K754" s="112"/>
      <c r="L754" s="112"/>
      <c r="M754" s="112"/>
      <c r="N754" s="112"/>
      <c r="O754" s="112"/>
      <c r="P754" s="112"/>
      <c r="Q754" s="112"/>
      <c r="R754" s="112"/>
      <c r="S754" s="112"/>
      <c r="T754" s="112"/>
      <c r="U754" s="112"/>
      <c r="V754" s="112"/>
      <c r="W754" s="112"/>
      <c r="X754" s="112"/>
      <c r="Y754" s="112"/>
      <c r="Z754" s="112"/>
    </row>
    <row r="755" spans="1:26" x14ac:dyDescent="0.2">
      <c r="A755" s="113">
        <f>'THE BOARD'!A522</f>
        <v>0</v>
      </c>
      <c r="B755" s="115">
        <f>'THE BOARD'!B522</f>
        <v>0</v>
      </c>
      <c r="C755" s="115"/>
      <c r="D755" s="115"/>
      <c r="E755" s="115"/>
      <c r="F755" s="115"/>
      <c r="G755" s="115"/>
      <c r="H755" s="115"/>
      <c r="I755" s="115"/>
      <c r="J755" s="115"/>
      <c r="K755" s="112"/>
      <c r="L755" s="112"/>
      <c r="M755" s="112"/>
      <c r="N755" s="112"/>
      <c r="O755" s="112"/>
      <c r="P755" s="112"/>
      <c r="Q755" s="112"/>
      <c r="R755" s="112"/>
      <c r="S755" s="112"/>
      <c r="T755" s="112"/>
      <c r="U755" s="112"/>
      <c r="V755" s="112"/>
      <c r="W755" s="112"/>
      <c r="X755" s="112"/>
      <c r="Y755" s="112"/>
      <c r="Z755" s="112"/>
    </row>
    <row r="756" spans="1:26" x14ac:dyDescent="0.2">
      <c r="A756" s="113">
        <f>'THE BOARD'!A523</f>
        <v>0</v>
      </c>
      <c r="B756" s="115">
        <f>'THE BOARD'!B523</f>
        <v>0</v>
      </c>
      <c r="C756" s="115"/>
      <c r="D756" s="115"/>
      <c r="E756" s="115"/>
      <c r="F756" s="115"/>
      <c r="G756" s="115"/>
      <c r="H756" s="115"/>
      <c r="I756" s="115"/>
      <c r="J756" s="115"/>
      <c r="K756" s="112"/>
      <c r="L756" s="112"/>
      <c r="M756" s="112"/>
      <c r="N756" s="112"/>
      <c r="O756" s="112"/>
      <c r="P756" s="112"/>
      <c r="Q756" s="112"/>
      <c r="R756" s="112"/>
      <c r="S756" s="112"/>
      <c r="T756" s="112"/>
      <c r="U756" s="112"/>
      <c r="V756" s="112"/>
      <c r="W756" s="112"/>
      <c r="X756" s="112"/>
      <c r="Y756" s="112"/>
      <c r="Z756" s="112"/>
    </row>
    <row r="757" spans="1:26" x14ac:dyDescent="0.2">
      <c r="A757" s="113">
        <f>'THE BOARD'!A524</f>
        <v>0</v>
      </c>
      <c r="B757" s="115">
        <f>'THE BOARD'!B524</f>
        <v>0</v>
      </c>
      <c r="C757" s="115"/>
      <c r="D757" s="115"/>
      <c r="E757" s="115"/>
      <c r="F757" s="115"/>
      <c r="G757" s="115"/>
      <c r="H757" s="115"/>
      <c r="I757" s="115"/>
      <c r="J757" s="115"/>
      <c r="K757" s="112"/>
      <c r="L757" s="112"/>
      <c r="M757" s="112"/>
      <c r="N757" s="112"/>
      <c r="O757" s="112"/>
      <c r="P757" s="112"/>
      <c r="Q757" s="112"/>
      <c r="R757" s="112"/>
      <c r="S757" s="112"/>
      <c r="T757" s="112"/>
      <c r="U757" s="112"/>
      <c r="V757" s="112"/>
      <c r="W757" s="112"/>
      <c r="X757" s="112"/>
      <c r="Y757" s="112"/>
      <c r="Z757" s="112"/>
    </row>
    <row r="758" spans="1:26" x14ac:dyDescent="0.2">
      <c r="A758" s="113">
        <f>'THE BOARD'!A525</f>
        <v>0</v>
      </c>
      <c r="B758" s="115">
        <f>'THE BOARD'!B525</f>
        <v>0</v>
      </c>
      <c r="C758" s="115"/>
      <c r="D758" s="115"/>
      <c r="E758" s="115"/>
      <c r="F758" s="115"/>
      <c r="G758" s="115"/>
      <c r="H758" s="115"/>
      <c r="I758" s="115"/>
      <c r="J758" s="115"/>
      <c r="K758" s="112"/>
      <c r="L758" s="112"/>
      <c r="M758" s="112"/>
      <c r="N758" s="112"/>
      <c r="O758" s="112"/>
      <c r="P758" s="112"/>
      <c r="Q758" s="112"/>
      <c r="R758" s="112"/>
      <c r="S758" s="112"/>
      <c r="T758" s="112"/>
      <c r="U758" s="112"/>
      <c r="V758" s="112"/>
      <c r="W758" s="112"/>
      <c r="X758" s="112"/>
      <c r="Y758" s="112"/>
      <c r="Z758" s="112"/>
    </row>
    <row r="759" spans="1:26" x14ac:dyDescent="0.2">
      <c r="A759" s="113">
        <f>'THE BOARD'!A526</f>
        <v>0</v>
      </c>
      <c r="B759" s="115">
        <f>'THE BOARD'!B526</f>
        <v>0</v>
      </c>
      <c r="C759" s="115"/>
      <c r="D759" s="115"/>
      <c r="E759" s="115"/>
      <c r="F759" s="115"/>
      <c r="G759" s="115"/>
      <c r="H759" s="115"/>
      <c r="I759" s="115"/>
      <c r="J759" s="115"/>
      <c r="K759" s="112"/>
      <c r="L759" s="112"/>
      <c r="M759" s="112"/>
      <c r="N759" s="112"/>
      <c r="O759" s="112"/>
      <c r="P759" s="112"/>
      <c r="Q759" s="112"/>
      <c r="R759" s="112"/>
      <c r="S759" s="112"/>
      <c r="T759" s="112"/>
      <c r="U759" s="112"/>
      <c r="V759" s="112"/>
      <c r="W759" s="112"/>
      <c r="X759" s="112"/>
      <c r="Y759" s="112"/>
      <c r="Z759" s="112"/>
    </row>
    <row r="760" spans="1:26" x14ac:dyDescent="0.2">
      <c r="A760" s="113">
        <f>'THE BOARD'!A527</f>
        <v>0</v>
      </c>
      <c r="B760" s="115">
        <f>'THE BOARD'!B527</f>
        <v>0</v>
      </c>
      <c r="C760" s="115"/>
      <c r="D760" s="115"/>
      <c r="E760" s="115"/>
      <c r="F760" s="115"/>
      <c r="G760" s="115"/>
      <c r="H760" s="115"/>
      <c r="I760" s="115"/>
      <c r="J760" s="115"/>
      <c r="K760" s="112"/>
      <c r="L760" s="112"/>
      <c r="M760" s="112"/>
      <c r="N760" s="112"/>
      <c r="O760" s="112"/>
      <c r="P760" s="112"/>
      <c r="Q760" s="112"/>
      <c r="R760" s="112"/>
      <c r="S760" s="112"/>
      <c r="T760" s="112"/>
      <c r="U760" s="112"/>
      <c r="V760" s="112"/>
      <c r="W760" s="112"/>
      <c r="X760" s="112"/>
      <c r="Y760" s="112"/>
      <c r="Z760" s="112"/>
    </row>
    <row r="761" spans="1:26" x14ac:dyDescent="0.2">
      <c r="A761" s="113">
        <f>'THE BOARD'!A528</f>
        <v>0</v>
      </c>
      <c r="B761" s="115">
        <f>'THE BOARD'!B528</f>
        <v>0</v>
      </c>
      <c r="C761" s="115"/>
      <c r="D761" s="115"/>
      <c r="E761" s="115"/>
      <c r="F761" s="115"/>
      <c r="G761" s="115"/>
      <c r="H761" s="115"/>
      <c r="I761" s="115"/>
      <c r="J761" s="115"/>
      <c r="K761" s="112"/>
      <c r="L761" s="112"/>
      <c r="M761" s="112"/>
      <c r="N761" s="112"/>
      <c r="O761" s="112"/>
      <c r="P761" s="112"/>
      <c r="Q761" s="112"/>
      <c r="R761" s="112"/>
      <c r="S761" s="112"/>
      <c r="T761" s="112"/>
      <c r="U761" s="112"/>
      <c r="V761" s="112"/>
      <c r="W761" s="112"/>
      <c r="X761" s="112"/>
      <c r="Y761" s="112"/>
      <c r="Z761" s="112"/>
    </row>
    <row r="762" spans="1:26" x14ac:dyDescent="0.2">
      <c r="A762" s="113">
        <f>'THE BOARD'!A529</f>
        <v>0</v>
      </c>
      <c r="B762" s="115">
        <f>'THE BOARD'!B529</f>
        <v>0</v>
      </c>
      <c r="C762" s="115"/>
      <c r="D762" s="115"/>
      <c r="E762" s="115"/>
      <c r="F762" s="115"/>
      <c r="G762" s="115"/>
      <c r="H762" s="115"/>
      <c r="I762" s="115"/>
      <c r="J762" s="115"/>
      <c r="K762" s="112"/>
      <c r="L762" s="112"/>
      <c r="M762" s="112"/>
      <c r="N762" s="112"/>
      <c r="O762" s="112"/>
      <c r="P762" s="112"/>
      <c r="Q762" s="112"/>
      <c r="R762" s="112"/>
      <c r="S762" s="112"/>
      <c r="T762" s="112"/>
      <c r="U762" s="112"/>
      <c r="V762" s="112"/>
      <c r="W762" s="112"/>
      <c r="X762" s="112"/>
      <c r="Y762" s="112"/>
      <c r="Z762" s="112"/>
    </row>
    <row r="763" spans="1:26" x14ac:dyDescent="0.2">
      <c r="A763" s="113">
        <f>'THE BOARD'!A530</f>
        <v>0</v>
      </c>
      <c r="B763" s="115">
        <f>'THE BOARD'!B530</f>
        <v>0</v>
      </c>
      <c r="C763" s="115"/>
      <c r="D763" s="115"/>
      <c r="E763" s="115"/>
      <c r="F763" s="115"/>
      <c r="G763" s="115"/>
      <c r="H763" s="115"/>
      <c r="I763" s="115"/>
      <c r="J763" s="115"/>
      <c r="K763" s="112"/>
      <c r="L763" s="112"/>
      <c r="M763" s="112"/>
      <c r="N763" s="112"/>
      <c r="O763" s="112"/>
      <c r="P763" s="112"/>
      <c r="Q763" s="112"/>
      <c r="R763" s="112"/>
      <c r="S763" s="112"/>
      <c r="T763" s="112"/>
      <c r="U763" s="112"/>
      <c r="V763" s="112"/>
      <c r="W763" s="112"/>
      <c r="X763" s="112"/>
      <c r="Y763" s="112"/>
      <c r="Z763" s="112"/>
    </row>
    <row r="764" spans="1:26" x14ac:dyDescent="0.2">
      <c r="A764" s="113">
        <f>'THE BOARD'!A531</f>
        <v>0</v>
      </c>
      <c r="B764" s="115">
        <f>'THE BOARD'!B531</f>
        <v>0</v>
      </c>
      <c r="C764" s="115"/>
      <c r="D764" s="115"/>
      <c r="E764" s="115"/>
      <c r="F764" s="115"/>
      <c r="G764" s="115"/>
      <c r="H764" s="115"/>
      <c r="I764" s="115"/>
      <c r="J764" s="115"/>
      <c r="K764" s="112"/>
      <c r="L764" s="112"/>
      <c r="M764" s="112"/>
      <c r="N764" s="112"/>
      <c r="O764" s="112"/>
      <c r="P764" s="112"/>
      <c r="Q764" s="112"/>
      <c r="R764" s="112"/>
      <c r="S764" s="112"/>
      <c r="T764" s="112"/>
      <c r="U764" s="112"/>
      <c r="V764" s="112"/>
      <c r="W764" s="112"/>
      <c r="X764" s="112"/>
      <c r="Y764" s="112"/>
      <c r="Z764" s="112"/>
    </row>
    <row r="765" spans="1:26" x14ac:dyDescent="0.2">
      <c r="A765" s="113">
        <f>'THE BOARD'!A532</f>
        <v>0</v>
      </c>
      <c r="B765" s="115">
        <f>'THE BOARD'!B532</f>
        <v>0</v>
      </c>
      <c r="C765" s="115"/>
      <c r="D765" s="115"/>
      <c r="E765" s="115"/>
      <c r="F765" s="115"/>
      <c r="G765" s="115"/>
      <c r="H765" s="115"/>
      <c r="I765" s="115"/>
      <c r="J765" s="115"/>
      <c r="K765" s="112"/>
      <c r="L765" s="112"/>
      <c r="M765" s="112"/>
      <c r="N765" s="112"/>
      <c r="O765" s="112"/>
      <c r="P765" s="112"/>
      <c r="Q765" s="112"/>
      <c r="R765" s="112"/>
      <c r="S765" s="112"/>
      <c r="T765" s="112"/>
      <c r="U765" s="112"/>
      <c r="V765" s="112"/>
      <c r="W765" s="112"/>
      <c r="X765" s="112"/>
      <c r="Y765" s="112"/>
      <c r="Z765" s="112"/>
    </row>
    <row r="766" spans="1:26" x14ac:dyDescent="0.2">
      <c r="A766" s="113">
        <f>'THE BOARD'!A533</f>
        <v>0</v>
      </c>
      <c r="B766" s="115">
        <f>'THE BOARD'!B533</f>
        <v>0</v>
      </c>
      <c r="C766" s="115"/>
      <c r="D766" s="115"/>
      <c r="E766" s="115"/>
      <c r="F766" s="115"/>
      <c r="G766" s="115"/>
      <c r="H766" s="115"/>
      <c r="I766" s="115"/>
      <c r="J766" s="115"/>
      <c r="K766" s="112"/>
      <c r="L766" s="112"/>
      <c r="M766" s="112"/>
      <c r="N766" s="112"/>
      <c r="O766" s="112"/>
      <c r="P766" s="112"/>
      <c r="Q766" s="112"/>
      <c r="R766" s="112"/>
      <c r="S766" s="112"/>
      <c r="T766" s="112"/>
      <c r="U766" s="112"/>
      <c r="V766" s="112"/>
      <c r="W766" s="112"/>
      <c r="X766" s="112"/>
      <c r="Y766" s="112"/>
      <c r="Z766" s="112"/>
    </row>
    <row r="767" spans="1:26" x14ac:dyDescent="0.2">
      <c r="A767" s="113">
        <f>'THE BOARD'!A534</f>
        <v>0</v>
      </c>
      <c r="B767" s="115">
        <f>'THE BOARD'!B534</f>
        <v>0</v>
      </c>
      <c r="C767" s="115"/>
      <c r="D767" s="115"/>
      <c r="E767" s="115"/>
      <c r="F767" s="115"/>
      <c r="G767" s="115"/>
      <c r="H767" s="115"/>
      <c r="I767" s="115"/>
      <c r="J767" s="115"/>
      <c r="K767" s="112"/>
      <c r="L767" s="112"/>
      <c r="M767" s="112"/>
      <c r="N767" s="112"/>
      <c r="O767" s="112"/>
      <c r="P767" s="112"/>
      <c r="Q767" s="112"/>
      <c r="R767" s="112"/>
      <c r="S767" s="112"/>
      <c r="T767" s="112"/>
      <c r="U767" s="112"/>
      <c r="V767" s="112"/>
      <c r="W767" s="112"/>
      <c r="X767" s="112"/>
      <c r="Y767" s="112"/>
      <c r="Z767" s="112"/>
    </row>
    <row r="768" spans="1:26" x14ac:dyDescent="0.2">
      <c r="A768" s="113">
        <f>'THE BOARD'!A535</f>
        <v>0</v>
      </c>
      <c r="B768" s="115">
        <f>'THE BOARD'!B535</f>
        <v>0</v>
      </c>
      <c r="C768" s="115"/>
      <c r="D768" s="115"/>
      <c r="E768" s="115"/>
      <c r="F768" s="115"/>
      <c r="G768" s="115"/>
      <c r="H768" s="115"/>
      <c r="I768" s="115"/>
      <c r="J768" s="115"/>
      <c r="K768" s="112"/>
      <c r="L768" s="112"/>
      <c r="M768" s="112"/>
      <c r="N768" s="112"/>
      <c r="O768" s="112"/>
      <c r="P768" s="112"/>
      <c r="Q768" s="112"/>
      <c r="R768" s="112"/>
      <c r="S768" s="112"/>
      <c r="T768" s="112"/>
      <c r="U768" s="112"/>
      <c r="V768" s="112"/>
      <c r="W768" s="112"/>
      <c r="X768" s="112"/>
      <c r="Y768" s="112"/>
      <c r="Z768" s="112"/>
    </row>
    <row r="769" spans="1:26" x14ac:dyDescent="0.2">
      <c r="A769" s="113">
        <f>'THE BOARD'!A536</f>
        <v>0</v>
      </c>
      <c r="B769" s="115">
        <f>'THE BOARD'!B536</f>
        <v>0</v>
      </c>
      <c r="C769" s="115"/>
      <c r="D769" s="115"/>
      <c r="E769" s="115"/>
      <c r="F769" s="115"/>
      <c r="G769" s="115"/>
      <c r="H769" s="115"/>
      <c r="I769" s="115"/>
      <c r="J769" s="115"/>
      <c r="K769" s="112"/>
      <c r="L769" s="112"/>
      <c r="M769" s="112"/>
      <c r="N769" s="112"/>
      <c r="O769" s="112"/>
      <c r="P769" s="112"/>
      <c r="Q769" s="112"/>
      <c r="R769" s="112"/>
      <c r="S769" s="112"/>
      <c r="T769" s="112"/>
      <c r="U769" s="112"/>
      <c r="V769" s="112"/>
      <c r="W769" s="112"/>
      <c r="X769" s="112"/>
      <c r="Y769" s="112"/>
      <c r="Z769" s="112"/>
    </row>
    <row r="770" spans="1:26" x14ac:dyDescent="0.2">
      <c r="A770" s="113">
        <f>'THE BOARD'!A537</f>
        <v>0</v>
      </c>
      <c r="B770" s="115">
        <f>'THE BOARD'!B537</f>
        <v>0</v>
      </c>
      <c r="C770" s="115"/>
      <c r="D770" s="115"/>
      <c r="E770" s="115"/>
      <c r="F770" s="115"/>
      <c r="G770" s="115"/>
      <c r="H770" s="115"/>
      <c r="I770" s="115"/>
      <c r="J770" s="115"/>
      <c r="K770" s="112"/>
      <c r="L770" s="112"/>
      <c r="M770" s="112"/>
      <c r="N770" s="112"/>
      <c r="O770" s="112"/>
      <c r="P770" s="112"/>
      <c r="Q770" s="112"/>
      <c r="R770" s="112"/>
      <c r="S770" s="112"/>
      <c r="T770" s="112"/>
      <c r="U770" s="112"/>
      <c r="V770" s="112"/>
      <c r="W770" s="112"/>
      <c r="X770" s="112"/>
      <c r="Y770" s="112"/>
      <c r="Z770" s="112"/>
    </row>
    <row r="771" spans="1:26" x14ac:dyDescent="0.2">
      <c r="A771" s="113">
        <f>'THE BOARD'!A538</f>
        <v>0</v>
      </c>
      <c r="B771" s="115">
        <f>'THE BOARD'!B538</f>
        <v>0</v>
      </c>
      <c r="C771" s="115"/>
      <c r="D771" s="115"/>
      <c r="E771" s="115"/>
      <c r="F771" s="115"/>
      <c r="G771" s="115"/>
      <c r="H771" s="115"/>
      <c r="I771" s="115"/>
      <c r="J771" s="115"/>
      <c r="K771" s="112"/>
      <c r="L771" s="112"/>
      <c r="M771" s="112"/>
      <c r="N771" s="112"/>
      <c r="O771" s="112"/>
      <c r="P771" s="112"/>
      <c r="Q771" s="112"/>
      <c r="R771" s="112"/>
      <c r="S771" s="112"/>
      <c r="T771" s="112"/>
      <c r="U771" s="112"/>
      <c r="V771" s="112"/>
      <c r="W771" s="112"/>
      <c r="X771" s="112"/>
      <c r="Y771" s="112"/>
      <c r="Z771" s="112"/>
    </row>
    <row r="772" spans="1:26" x14ac:dyDescent="0.2">
      <c r="A772" s="113">
        <f>'THE BOARD'!A539</f>
        <v>0</v>
      </c>
      <c r="B772" s="115">
        <f>'THE BOARD'!B539</f>
        <v>0</v>
      </c>
      <c r="C772" s="115"/>
      <c r="D772" s="115"/>
      <c r="E772" s="115"/>
      <c r="F772" s="115"/>
      <c r="G772" s="115"/>
      <c r="H772" s="115"/>
      <c r="I772" s="115"/>
      <c r="J772" s="115"/>
      <c r="K772" s="112"/>
      <c r="L772" s="112"/>
      <c r="M772" s="112"/>
      <c r="N772" s="112"/>
      <c r="O772" s="112"/>
      <c r="P772" s="112"/>
      <c r="Q772" s="112"/>
      <c r="R772" s="112"/>
      <c r="S772" s="112"/>
      <c r="T772" s="112"/>
      <c r="U772" s="112"/>
      <c r="V772" s="112"/>
      <c r="W772" s="112"/>
      <c r="X772" s="112"/>
      <c r="Y772" s="112"/>
      <c r="Z772" s="112"/>
    </row>
    <row r="773" spans="1:26" x14ac:dyDescent="0.2">
      <c r="A773" s="113">
        <f>'THE BOARD'!A540</f>
        <v>0</v>
      </c>
      <c r="B773" s="115">
        <f>'THE BOARD'!B540</f>
        <v>0</v>
      </c>
      <c r="C773" s="115"/>
      <c r="D773" s="115"/>
      <c r="E773" s="115"/>
      <c r="F773" s="115"/>
      <c r="G773" s="115"/>
      <c r="H773" s="115"/>
      <c r="I773" s="115"/>
      <c r="J773" s="115"/>
      <c r="K773" s="112"/>
      <c r="L773" s="112"/>
      <c r="M773" s="112"/>
      <c r="N773" s="112"/>
      <c r="O773" s="112"/>
      <c r="P773" s="112"/>
      <c r="Q773" s="112"/>
      <c r="R773" s="112"/>
      <c r="S773" s="112"/>
      <c r="T773" s="112"/>
      <c r="U773" s="112"/>
      <c r="V773" s="112"/>
      <c r="W773" s="112"/>
      <c r="X773" s="112"/>
      <c r="Y773" s="112"/>
      <c r="Z773" s="112"/>
    </row>
    <row r="774" spans="1:26" x14ac:dyDescent="0.2">
      <c r="A774" s="113">
        <f>'THE BOARD'!A541</f>
        <v>0</v>
      </c>
      <c r="B774" s="115">
        <f>'THE BOARD'!B541</f>
        <v>0</v>
      </c>
      <c r="C774" s="115"/>
      <c r="D774" s="115"/>
      <c r="E774" s="115"/>
      <c r="F774" s="115"/>
      <c r="G774" s="115"/>
      <c r="H774" s="115"/>
      <c r="I774" s="115"/>
      <c r="J774" s="115"/>
      <c r="K774" s="112"/>
      <c r="L774" s="112"/>
      <c r="M774" s="112"/>
      <c r="N774" s="112"/>
      <c r="O774" s="112"/>
      <c r="P774" s="112"/>
      <c r="Q774" s="112"/>
      <c r="R774" s="112"/>
      <c r="S774" s="112"/>
      <c r="T774" s="112"/>
      <c r="U774" s="112"/>
      <c r="V774" s="112"/>
      <c r="W774" s="112"/>
      <c r="X774" s="112"/>
      <c r="Y774" s="112"/>
      <c r="Z774" s="112"/>
    </row>
    <row r="775" spans="1:26" x14ac:dyDescent="0.2">
      <c r="A775" s="113">
        <f>'THE BOARD'!A542</f>
        <v>0</v>
      </c>
      <c r="B775" s="115">
        <f>'THE BOARD'!B542</f>
        <v>0</v>
      </c>
      <c r="C775" s="115"/>
      <c r="D775" s="115"/>
      <c r="E775" s="115"/>
      <c r="F775" s="115"/>
      <c r="G775" s="115"/>
      <c r="H775" s="115"/>
      <c r="I775" s="115"/>
      <c r="J775" s="115"/>
      <c r="K775" s="112"/>
      <c r="L775" s="112"/>
      <c r="M775" s="112"/>
      <c r="N775" s="112"/>
      <c r="O775" s="112"/>
      <c r="P775" s="112"/>
      <c r="Q775" s="112"/>
      <c r="R775" s="112"/>
      <c r="S775" s="112"/>
      <c r="T775" s="112"/>
      <c r="U775" s="112"/>
      <c r="V775" s="112"/>
      <c r="W775" s="112"/>
      <c r="X775" s="112"/>
      <c r="Y775" s="112"/>
      <c r="Z775" s="112"/>
    </row>
    <row r="776" spans="1:26" x14ac:dyDescent="0.2">
      <c r="A776" s="113">
        <f>'THE BOARD'!A543</f>
        <v>0</v>
      </c>
      <c r="B776" s="115">
        <f>'THE BOARD'!B543</f>
        <v>0</v>
      </c>
      <c r="C776" s="115"/>
      <c r="D776" s="115"/>
      <c r="E776" s="115"/>
      <c r="F776" s="115"/>
      <c r="G776" s="115"/>
      <c r="H776" s="115"/>
      <c r="I776" s="115"/>
      <c r="J776" s="115"/>
      <c r="K776" s="112"/>
      <c r="L776" s="112"/>
      <c r="M776" s="112"/>
      <c r="N776" s="112"/>
      <c r="O776" s="112"/>
      <c r="P776" s="112"/>
      <c r="Q776" s="112"/>
      <c r="R776" s="112"/>
      <c r="S776" s="112"/>
      <c r="T776" s="112"/>
      <c r="U776" s="112"/>
      <c r="V776" s="112"/>
      <c r="W776" s="112"/>
      <c r="X776" s="112"/>
      <c r="Y776" s="112"/>
      <c r="Z776" s="112"/>
    </row>
    <row r="777" spans="1:26" x14ac:dyDescent="0.2">
      <c r="A777" s="113">
        <f>'THE BOARD'!A544</f>
        <v>0</v>
      </c>
      <c r="B777" s="115">
        <f>'THE BOARD'!B544</f>
        <v>0</v>
      </c>
      <c r="C777" s="115"/>
      <c r="D777" s="115"/>
      <c r="E777" s="115"/>
      <c r="F777" s="115"/>
      <c r="G777" s="115"/>
      <c r="H777" s="115"/>
      <c r="I777" s="115"/>
      <c r="J777" s="115"/>
      <c r="K777" s="112"/>
      <c r="L777" s="112"/>
      <c r="M777" s="112"/>
      <c r="N777" s="112"/>
      <c r="O777" s="112"/>
      <c r="P777" s="112"/>
      <c r="Q777" s="112"/>
      <c r="R777" s="112"/>
      <c r="S777" s="112"/>
      <c r="T777" s="112"/>
      <c r="U777" s="112"/>
      <c r="V777" s="112"/>
      <c r="W777" s="112"/>
      <c r="X777" s="112"/>
      <c r="Y777" s="112"/>
      <c r="Z777" s="112"/>
    </row>
    <row r="778" spans="1:26" x14ac:dyDescent="0.2">
      <c r="A778" s="113">
        <f>'THE BOARD'!A545</f>
        <v>0</v>
      </c>
      <c r="B778" s="115">
        <f>'THE BOARD'!B545</f>
        <v>0</v>
      </c>
      <c r="C778" s="115"/>
      <c r="D778" s="115"/>
      <c r="E778" s="115"/>
      <c r="F778" s="115"/>
      <c r="G778" s="115"/>
      <c r="H778" s="115"/>
      <c r="I778" s="115"/>
      <c r="J778" s="115"/>
      <c r="K778" s="112"/>
      <c r="L778" s="112"/>
      <c r="M778" s="112"/>
      <c r="N778" s="112"/>
      <c r="O778" s="112"/>
      <c r="P778" s="112"/>
      <c r="Q778" s="112"/>
      <c r="R778" s="112"/>
      <c r="S778" s="112"/>
      <c r="T778" s="112"/>
      <c r="U778" s="112"/>
      <c r="V778" s="112"/>
      <c r="W778" s="112"/>
      <c r="X778" s="112"/>
      <c r="Y778" s="112"/>
      <c r="Z778" s="112"/>
    </row>
    <row r="779" spans="1:26" x14ac:dyDescent="0.2">
      <c r="A779" s="113">
        <f>'THE BOARD'!A546</f>
        <v>0</v>
      </c>
      <c r="B779" s="115">
        <f>'THE BOARD'!B546</f>
        <v>0</v>
      </c>
      <c r="C779" s="115"/>
      <c r="D779" s="115"/>
      <c r="E779" s="115"/>
      <c r="F779" s="115"/>
      <c r="G779" s="115"/>
      <c r="H779" s="115"/>
      <c r="I779" s="115"/>
      <c r="J779" s="115"/>
      <c r="K779" s="112"/>
      <c r="L779" s="112"/>
      <c r="M779" s="112"/>
      <c r="N779" s="112"/>
      <c r="O779" s="112"/>
      <c r="P779" s="112"/>
      <c r="Q779" s="112"/>
      <c r="R779" s="112"/>
      <c r="S779" s="112"/>
      <c r="T779" s="112"/>
      <c r="U779" s="112"/>
      <c r="V779" s="112"/>
      <c r="W779" s="112"/>
      <c r="X779" s="112"/>
      <c r="Y779" s="112"/>
      <c r="Z779" s="112"/>
    </row>
    <row r="780" spans="1:26" x14ac:dyDescent="0.2">
      <c r="A780" s="113">
        <f>'THE BOARD'!A547</f>
        <v>0</v>
      </c>
      <c r="B780" s="115">
        <f>'THE BOARD'!B547</f>
        <v>0</v>
      </c>
      <c r="C780" s="115"/>
      <c r="D780" s="115"/>
      <c r="E780" s="115"/>
      <c r="F780" s="115"/>
      <c r="G780" s="115"/>
      <c r="H780" s="115"/>
      <c r="I780" s="115"/>
      <c r="J780" s="115"/>
      <c r="K780" s="112"/>
      <c r="L780" s="112"/>
      <c r="M780" s="112"/>
      <c r="N780" s="112"/>
      <c r="O780" s="112"/>
      <c r="P780" s="112"/>
      <c r="Q780" s="112"/>
      <c r="R780" s="112"/>
      <c r="S780" s="112"/>
      <c r="T780" s="112"/>
      <c r="U780" s="112"/>
      <c r="V780" s="112"/>
      <c r="W780" s="112"/>
      <c r="X780" s="112"/>
      <c r="Y780" s="112"/>
      <c r="Z780" s="112"/>
    </row>
    <row r="781" spans="1:26" x14ac:dyDescent="0.2">
      <c r="A781" s="113">
        <f>'THE BOARD'!A548</f>
        <v>0</v>
      </c>
      <c r="B781" s="115">
        <f>'THE BOARD'!B548</f>
        <v>0</v>
      </c>
      <c r="C781" s="115"/>
      <c r="D781" s="115"/>
      <c r="E781" s="115"/>
      <c r="F781" s="115"/>
      <c r="G781" s="115"/>
      <c r="H781" s="115"/>
      <c r="I781" s="115"/>
      <c r="J781" s="115"/>
      <c r="K781" s="112"/>
      <c r="L781" s="112"/>
      <c r="M781" s="112"/>
      <c r="N781" s="112"/>
      <c r="O781" s="112"/>
      <c r="P781" s="112"/>
      <c r="Q781" s="112"/>
      <c r="R781" s="112"/>
      <c r="S781" s="112"/>
      <c r="T781" s="112"/>
      <c r="U781" s="112"/>
      <c r="V781" s="112"/>
      <c r="W781" s="112"/>
      <c r="X781" s="112"/>
      <c r="Y781" s="112"/>
      <c r="Z781" s="112"/>
    </row>
    <row r="782" spans="1:26" x14ac:dyDescent="0.2">
      <c r="A782" s="113">
        <f>'THE BOARD'!A549</f>
        <v>0</v>
      </c>
      <c r="B782" s="115">
        <f>'THE BOARD'!B549</f>
        <v>0</v>
      </c>
      <c r="C782" s="115"/>
      <c r="D782" s="115"/>
      <c r="E782" s="115"/>
      <c r="F782" s="115"/>
      <c r="G782" s="115"/>
      <c r="H782" s="115"/>
      <c r="I782" s="115"/>
      <c r="J782" s="115"/>
      <c r="K782" s="112"/>
      <c r="L782" s="112"/>
      <c r="M782" s="112"/>
      <c r="N782" s="112"/>
      <c r="O782" s="112"/>
      <c r="P782" s="112"/>
      <c r="Q782" s="112"/>
      <c r="R782" s="112"/>
      <c r="S782" s="112"/>
      <c r="T782" s="112"/>
      <c r="U782" s="112"/>
      <c r="V782" s="112"/>
      <c r="W782" s="112"/>
      <c r="X782" s="112"/>
      <c r="Y782" s="112"/>
      <c r="Z782" s="112"/>
    </row>
    <row r="783" spans="1:26" x14ac:dyDescent="0.2">
      <c r="A783" s="113">
        <f>'THE BOARD'!A550</f>
        <v>0</v>
      </c>
      <c r="B783" s="115">
        <f>'THE BOARD'!B550</f>
        <v>0</v>
      </c>
      <c r="C783" s="115"/>
      <c r="D783" s="115"/>
      <c r="E783" s="115"/>
      <c r="F783" s="115"/>
      <c r="G783" s="115"/>
      <c r="H783" s="115"/>
      <c r="I783" s="115"/>
      <c r="J783" s="115"/>
      <c r="K783" s="112"/>
      <c r="L783" s="112"/>
      <c r="M783" s="112"/>
      <c r="N783" s="112"/>
      <c r="O783" s="112"/>
      <c r="P783" s="112"/>
      <c r="Q783" s="112"/>
      <c r="R783" s="112"/>
      <c r="S783" s="112"/>
      <c r="T783" s="112"/>
      <c r="U783" s="112"/>
      <c r="V783" s="112"/>
      <c r="W783" s="112"/>
      <c r="X783" s="112"/>
      <c r="Y783" s="112"/>
      <c r="Z783" s="112"/>
    </row>
    <row r="784" spans="1:26" x14ac:dyDescent="0.2">
      <c r="A784" s="113">
        <f>'THE BOARD'!A551</f>
        <v>0</v>
      </c>
      <c r="B784" s="115">
        <f>'THE BOARD'!B551</f>
        <v>0</v>
      </c>
      <c r="C784" s="115"/>
      <c r="D784" s="115"/>
      <c r="E784" s="115"/>
      <c r="F784" s="115"/>
      <c r="G784" s="115"/>
      <c r="H784" s="115"/>
      <c r="I784" s="115"/>
      <c r="J784" s="115"/>
      <c r="K784" s="112"/>
      <c r="L784" s="112"/>
      <c r="M784" s="112"/>
      <c r="N784" s="112"/>
      <c r="O784" s="112"/>
      <c r="P784" s="112"/>
      <c r="Q784" s="112"/>
      <c r="R784" s="112"/>
      <c r="S784" s="112"/>
      <c r="T784" s="112"/>
      <c r="U784" s="112"/>
      <c r="V784" s="112"/>
      <c r="W784" s="112"/>
      <c r="X784" s="112"/>
      <c r="Y784" s="112"/>
      <c r="Z784" s="112"/>
    </row>
    <row r="785" spans="1:26" x14ac:dyDescent="0.2">
      <c r="A785" s="113">
        <f>'THE BOARD'!A552</f>
        <v>0</v>
      </c>
      <c r="B785" s="115">
        <f>'THE BOARD'!B552</f>
        <v>0</v>
      </c>
      <c r="C785" s="115"/>
      <c r="D785" s="115"/>
      <c r="E785" s="115"/>
      <c r="F785" s="115"/>
      <c r="G785" s="115"/>
      <c r="H785" s="115"/>
      <c r="I785" s="115"/>
      <c r="J785" s="115"/>
      <c r="K785" s="112"/>
      <c r="L785" s="112"/>
      <c r="M785" s="112"/>
      <c r="N785" s="112"/>
      <c r="O785" s="112"/>
      <c r="P785" s="112"/>
      <c r="Q785" s="112"/>
      <c r="R785" s="112"/>
      <c r="S785" s="112"/>
      <c r="T785" s="112"/>
      <c r="U785" s="112"/>
      <c r="V785" s="112"/>
      <c r="W785" s="112"/>
      <c r="X785" s="112"/>
      <c r="Y785" s="112"/>
      <c r="Z785" s="112"/>
    </row>
    <row r="786" spans="1:26" x14ac:dyDescent="0.2">
      <c r="A786" s="113">
        <f>'THE BOARD'!A553</f>
        <v>0</v>
      </c>
      <c r="B786" s="115">
        <f>'THE BOARD'!B553</f>
        <v>0</v>
      </c>
      <c r="C786" s="115"/>
      <c r="D786" s="115"/>
      <c r="E786" s="115"/>
      <c r="F786" s="115"/>
      <c r="G786" s="115"/>
      <c r="H786" s="115"/>
      <c r="I786" s="115"/>
      <c r="J786" s="115"/>
      <c r="K786" s="112"/>
      <c r="L786" s="112"/>
      <c r="M786" s="112"/>
      <c r="N786" s="112"/>
      <c r="O786" s="112"/>
      <c r="P786" s="112"/>
      <c r="Q786" s="112"/>
      <c r="R786" s="112"/>
      <c r="S786" s="112"/>
      <c r="T786" s="112"/>
      <c r="U786" s="112"/>
      <c r="V786" s="112"/>
      <c r="W786" s="112"/>
      <c r="X786" s="112"/>
      <c r="Y786" s="112"/>
      <c r="Z786" s="112"/>
    </row>
    <row r="787" spans="1:26" x14ac:dyDescent="0.2">
      <c r="A787" s="113">
        <f>'THE BOARD'!A554</f>
        <v>0</v>
      </c>
      <c r="B787" s="115">
        <f>'THE BOARD'!B554</f>
        <v>0</v>
      </c>
      <c r="C787" s="115"/>
      <c r="D787" s="115"/>
      <c r="E787" s="115"/>
      <c r="F787" s="115"/>
      <c r="G787" s="115"/>
      <c r="H787" s="115"/>
      <c r="I787" s="115"/>
      <c r="J787" s="115"/>
      <c r="K787" s="112"/>
      <c r="L787" s="112"/>
      <c r="M787" s="112"/>
      <c r="N787" s="112"/>
      <c r="O787" s="112"/>
      <c r="P787" s="112"/>
      <c r="Q787" s="112"/>
      <c r="R787" s="112"/>
      <c r="S787" s="112"/>
      <c r="T787" s="112"/>
      <c r="U787" s="112"/>
      <c r="V787" s="112"/>
      <c r="W787" s="112"/>
      <c r="X787" s="112"/>
      <c r="Y787" s="112"/>
      <c r="Z787" s="112"/>
    </row>
    <row r="788" spans="1:26" x14ac:dyDescent="0.2">
      <c r="A788" s="113">
        <f>'THE BOARD'!A555</f>
        <v>0</v>
      </c>
      <c r="B788" s="115">
        <f>'THE BOARD'!B555</f>
        <v>0</v>
      </c>
      <c r="C788" s="115"/>
      <c r="D788" s="115"/>
      <c r="E788" s="115"/>
      <c r="F788" s="115"/>
      <c r="G788" s="115"/>
      <c r="H788" s="115"/>
      <c r="I788" s="115"/>
      <c r="J788" s="115"/>
      <c r="K788" s="112"/>
      <c r="L788" s="112"/>
      <c r="M788" s="112"/>
      <c r="N788" s="112"/>
      <c r="O788" s="112"/>
      <c r="P788" s="112"/>
      <c r="Q788" s="112"/>
      <c r="R788" s="112"/>
      <c r="S788" s="112"/>
      <c r="T788" s="112"/>
      <c r="U788" s="112"/>
      <c r="V788" s="112"/>
      <c r="W788" s="112"/>
      <c r="X788" s="112"/>
      <c r="Y788" s="112"/>
      <c r="Z788" s="112"/>
    </row>
    <row r="789" spans="1:26" x14ac:dyDescent="0.2">
      <c r="A789" s="113">
        <f>'THE BOARD'!A556</f>
        <v>0</v>
      </c>
      <c r="B789" s="115">
        <f>'THE BOARD'!B556</f>
        <v>0</v>
      </c>
      <c r="C789" s="115"/>
      <c r="D789" s="115"/>
      <c r="E789" s="115"/>
      <c r="F789" s="115"/>
      <c r="G789" s="115"/>
      <c r="H789" s="115"/>
      <c r="I789" s="115"/>
      <c r="J789" s="115"/>
      <c r="K789" s="112"/>
      <c r="L789" s="112"/>
      <c r="M789" s="112"/>
      <c r="N789" s="112"/>
      <c r="O789" s="112"/>
      <c r="P789" s="112"/>
      <c r="Q789" s="112"/>
      <c r="R789" s="112"/>
      <c r="S789" s="112"/>
      <c r="T789" s="112"/>
      <c r="U789" s="112"/>
      <c r="V789" s="112"/>
      <c r="W789" s="112"/>
      <c r="X789" s="112"/>
      <c r="Y789" s="112"/>
      <c r="Z789" s="112"/>
    </row>
    <row r="790" spans="1:26" x14ac:dyDescent="0.2">
      <c r="A790" s="113">
        <f>'THE BOARD'!A557</f>
        <v>0</v>
      </c>
      <c r="B790" s="115">
        <f>'THE BOARD'!B557</f>
        <v>0</v>
      </c>
      <c r="C790" s="115"/>
      <c r="D790" s="115"/>
      <c r="E790" s="115"/>
      <c r="F790" s="115"/>
      <c r="G790" s="115"/>
      <c r="H790" s="115"/>
      <c r="I790" s="115"/>
      <c r="J790" s="115"/>
      <c r="K790" s="112"/>
      <c r="L790" s="112"/>
      <c r="M790" s="112"/>
      <c r="N790" s="112"/>
      <c r="O790" s="112"/>
      <c r="P790" s="112"/>
      <c r="Q790" s="112"/>
      <c r="R790" s="112"/>
      <c r="S790" s="112"/>
      <c r="T790" s="112"/>
      <c r="U790" s="112"/>
      <c r="V790" s="112"/>
      <c r="W790" s="112"/>
      <c r="X790" s="112"/>
      <c r="Y790" s="112"/>
      <c r="Z790" s="112"/>
    </row>
    <row r="791" spans="1:26" x14ac:dyDescent="0.2">
      <c r="A791" s="113">
        <f>'THE BOARD'!A558</f>
        <v>0</v>
      </c>
      <c r="B791" s="115">
        <f>'THE BOARD'!B558</f>
        <v>0</v>
      </c>
      <c r="C791" s="115"/>
      <c r="D791" s="115"/>
      <c r="E791" s="115"/>
      <c r="F791" s="115"/>
      <c r="G791" s="115"/>
      <c r="H791" s="115"/>
      <c r="I791" s="115"/>
      <c r="J791" s="115"/>
      <c r="K791" s="112"/>
      <c r="L791" s="112"/>
      <c r="M791" s="112"/>
      <c r="N791" s="112"/>
      <c r="O791" s="112"/>
      <c r="P791" s="112"/>
      <c r="Q791" s="112"/>
      <c r="R791" s="112"/>
      <c r="S791" s="112"/>
      <c r="T791" s="112"/>
      <c r="U791" s="112"/>
      <c r="V791" s="112"/>
      <c r="W791" s="112"/>
      <c r="X791" s="112"/>
      <c r="Y791" s="112"/>
      <c r="Z791" s="112"/>
    </row>
    <row r="792" spans="1:26" x14ac:dyDescent="0.2">
      <c r="A792" s="113">
        <f>'THE BOARD'!A559</f>
        <v>0</v>
      </c>
      <c r="B792" s="115">
        <f>'THE BOARD'!B559</f>
        <v>0</v>
      </c>
      <c r="C792" s="115"/>
      <c r="D792" s="115"/>
      <c r="E792" s="115"/>
      <c r="F792" s="115"/>
      <c r="G792" s="115"/>
      <c r="H792" s="115"/>
      <c r="I792" s="115"/>
      <c r="J792" s="115"/>
      <c r="K792" s="112"/>
      <c r="L792" s="112"/>
      <c r="M792" s="112"/>
      <c r="N792" s="112"/>
      <c r="O792" s="112"/>
      <c r="P792" s="112"/>
      <c r="Q792" s="112"/>
      <c r="R792" s="112"/>
      <c r="S792" s="112"/>
      <c r="T792" s="112"/>
      <c r="U792" s="112"/>
      <c r="V792" s="112"/>
      <c r="W792" s="112"/>
      <c r="X792" s="112"/>
      <c r="Y792" s="112"/>
      <c r="Z792" s="112"/>
    </row>
    <row r="793" spans="1:26" x14ac:dyDescent="0.2">
      <c r="A793" s="113">
        <f>'THE BOARD'!A560</f>
        <v>0</v>
      </c>
      <c r="B793" s="115">
        <f>'THE BOARD'!B560</f>
        <v>0</v>
      </c>
      <c r="C793" s="115"/>
      <c r="D793" s="115"/>
      <c r="E793" s="115"/>
      <c r="F793" s="115"/>
      <c r="G793" s="115"/>
      <c r="H793" s="115"/>
      <c r="I793" s="115"/>
      <c r="J793" s="115"/>
      <c r="K793" s="112"/>
      <c r="L793" s="112"/>
      <c r="M793" s="112"/>
      <c r="N793" s="112"/>
      <c r="O793" s="112"/>
      <c r="P793" s="112"/>
      <c r="Q793" s="112"/>
      <c r="R793" s="112"/>
      <c r="S793" s="112"/>
      <c r="T793" s="112"/>
      <c r="U793" s="112"/>
      <c r="V793" s="112"/>
      <c r="W793" s="112"/>
      <c r="X793" s="112"/>
      <c r="Y793" s="112"/>
      <c r="Z793" s="112"/>
    </row>
    <row r="794" spans="1:26" x14ac:dyDescent="0.2">
      <c r="A794" s="113">
        <f>'THE BOARD'!A561</f>
        <v>0</v>
      </c>
      <c r="B794" s="115">
        <f>'THE BOARD'!B561</f>
        <v>0</v>
      </c>
      <c r="C794" s="115"/>
      <c r="D794" s="115"/>
      <c r="E794" s="115"/>
      <c r="F794" s="115"/>
      <c r="G794" s="115"/>
      <c r="H794" s="115"/>
      <c r="I794" s="115"/>
      <c r="J794" s="115"/>
      <c r="K794" s="112"/>
      <c r="L794" s="112"/>
      <c r="M794" s="112"/>
      <c r="N794" s="112"/>
      <c r="O794" s="112"/>
      <c r="P794" s="112"/>
      <c r="Q794" s="112"/>
      <c r="R794" s="112"/>
      <c r="S794" s="112"/>
      <c r="T794" s="112"/>
      <c r="U794" s="112"/>
      <c r="V794" s="112"/>
      <c r="W794" s="112"/>
      <c r="X794" s="112"/>
      <c r="Y794" s="112"/>
      <c r="Z794" s="112"/>
    </row>
    <row r="795" spans="1:26" x14ac:dyDescent="0.2">
      <c r="A795" s="113">
        <f>'THE BOARD'!A562</f>
        <v>0</v>
      </c>
      <c r="B795" s="115">
        <f>'THE BOARD'!B562</f>
        <v>0</v>
      </c>
      <c r="C795" s="115"/>
      <c r="D795" s="115"/>
      <c r="E795" s="115"/>
      <c r="F795" s="115"/>
      <c r="G795" s="115"/>
      <c r="H795" s="115"/>
      <c r="I795" s="115"/>
      <c r="J795" s="115"/>
      <c r="K795" s="112"/>
      <c r="L795" s="112"/>
      <c r="M795" s="112"/>
      <c r="N795" s="112"/>
      <c r="O795" s="112"/>
      <c r="P795" s="112"/>
      <c r="Q795" s="112"/>
      <c r="R795" s="112"/>
      <c r="S795" s="112"/>
      <c r="T795" s="112"/>
      <c r="U795" s="112"/>
      <c r="V795" s="112"/>
      <c r="W795" s="112"/>
      <c r="X795" s="112"/>
      <c r="Y795" s="112"/>
      <c r="Z795" s="112"/>
    </row>
    <row r="796" spans="1:26" x14ac:dyDescent="0.2">
      <c r="A796" s="113">
        <f>'THE BOARD'!A563</f>
        <v>0</v>
      </c>
      <c r="B796" s="115">
        <f>'THE BOARD'!B563</f>
        <v>0</v>
      </c>
      <c r="C796" s="115"/>
      <c r="D796" s="115"/>
      <c r="E796" s="115"/>
      <c r="F796" s="115"/>
      <c r="G796" s="115"/>
      <c r="H796" s="115"/>
      <c r="I796" s="115"/>
      <c r="J796" s="115"/>
      <c r="K796" s="112"/>
      <c r="L796" s="112"/>
      <c r="M796" s="112"/>
      <c r="N796" s="112"/>
      <c r="O796" s="112"/>
      <c r="P796" s="112"/>
      <c r="Q796" s="112"/>
      <c r="R796" s="112"/>
      <c r="S796" s="112"/>
      <c r="T796" s="112"/>
      <c r="U796" s="112"/>
      <c r="V796" s="112"/>
      <c r="W796" s="112"/>
      <c r="X796" s="112"/>
      <c r="Y796" s="112"/>
      <c r="Z796" s="112"/>
    </row>
    <row r="797" spans="1:26" x14ac:dyDescent="0.2">
      <c r="A797" s="113">
        <f>'THE BOARD'!A564</f>
        <v>0</v>
      </c>
      <c r="B797" s="115">
        <f>'THE BOARD'!B564</f>
        <v>0</v>
      </c>
      <c r="C797" s="115"/>
      <c r="D797" s="115"/>
      <c r="E797" s="115"/>
      <c r="F797" s="115"/>
      <c r="G797" s="115"/>
      <c r="H797" s="115"/>
      <c r="I797" s="115"/>
      <c r="J797" s="115"/>
      <c r="K797" s="112"/>
      <c r="L797" s="112"/>
      <c r="M797" s="112"/>
      <c r="N797" s="112"/>
      <c r="O797" s="112"/>
      <c r="P797" s="112"/>
      <c r="Q797" s="112"/>
      <c r="R797" s="112"/>
      <c r="S797" s="112"/>
      <c r="T797" s="112"/>
      <c r="U797" s="112"/>
      <c r="V797" s="112"/>
      <c r="W797" s="112"/>
      <c r="X797" s="112"/>
      <c r="Y797" s="112"/>
      <c r="Z797" s="112"/>
    </row>
    <row r="798" spans="1:26" x14ac:dyDescent="0.2">
      <c r="A798" s="113">
        <f>'THE BOARD'!A565</f>
        <v>0</v>
      </c>
      <c r="B798" s="115">
        <f>'THE BOARD'!B565</f>
        <v>0</v>
      </c>
      <c r="C798" s="115"/>
      <c r="D798" s="115"/>
      <c r="E798" s="115"/>
      <c r="F798" s="115"/>
      <c r="G798" s="115"/>
      <c r="H798" s="115"/>
      <c r="I798" s="115"/>
      <c r="J798" s="115"/>
      <c r="K798" s="112"/>
      <c r="L798" s="112"/>
      <c r="M798" s="112"/>
      <c r="N798" s="112"/>
      <c r="O798" s="112"/>
      <c r="P798" s="112"/>
      <c r="Q798" s="112"/>
      <c r="R798" s="112"/>
      <c r="S798" s="112"/>
      <c r="T798" s="112"/>
      <c r="U798" s="112"/>
      <c r="V798" s="112"/>
      <c r="W798" s="112"/>
      <c r="X798" s="112"/>
      <c r="Y798" s="112"/>
      <c r="Z798" s="112"/>
    </row>
    <row r="799" spans="1:26" x14ac:dyDescent="0.2">
      <c r="A799" s="113">
        <f>'THE BOARD'!A566</f>
        <v>0</v>
      </c>
      <c r="B799" s="115">
        <f>'THE BOARD'!B566</f>
        <v>0</v>
      </c>
      <c r="C799" s="115"/>
      <c r="D799" s="115"/>
      <c r="E799" s="115"/>
      <c r="F799" s="115"/>
      <c r="G799" s="115"/>
      <c r="H799" s="115"/>
      <c r="I799" s="115"/>
      <c r="J799" s="115"/>
      <c r="K799" s="112"/>
      <c r="L799" s="112"/>
      <c r="M799" s="112"/>
      <c r="N799" s="112"/>
      <c r="O799" s="112"/>
      <c r="P799" s="112"/>
      <c r="Q799" s="112"/>
      <c r="R799" s="112"/>
      <c r="S799" s="112"/>
      <c r="T799" s="112"/>
      <c r="U799" s="112"/>
      <c r="V799" s="112"/>
      <c r="W799" s="112"/>
      <c r="X799" s="112"/>
      <c r="Y799" s="112"/>
      <c r="Z799" s="112"/>
    </row>
    <row r="800" spans="1:26" x14ac:dyDescent="0.2">
      <c r="A800" s="113">
        <f>'THE BOARD'!A567</f>
        <v>0</v>
      </c>
      <c r="B800" s="115">
        <f>'THE BOARD'!B567</f>
        <v>0</v>
      </c>
      <c r="C800" s="115"/>
      <c r="D800" s="115"/>
      <c r="E800" s="115"/>
      <c r="F800" s="115"/>
      <c r="G800" s="115"/>
      <c r="H800" s="115"/>
      <c r="I800" s="115"/>
      <c r="J800" s="115"/>
      <c r="K800" s="112"/>
      <c r="L800" s="112"/>
      <c r="M800" s="112"/>
      <c r="N800" s="112"/>
      <c r="O800" s="112"/>
      <c r="P800" s="112"/>
      <c r="Q800" s="112"/>
      <c r="R800" s="112"/>
      <c r="S800" s="112"/>
      <c r="T800" s="112"/>
      <c r="U800" s="112"/>
      <c r="V800" s="112"/>
      <c r="W800" s="112"/>
      <c r="X800" s="112"/>
      <c r="Y800" s="112"/>
      <c r="Z800" s="112"/>
    </row>
    <row r="801" spans="1:26" x14ac:dyDescent="0.2">
      <c r="A801" s="113">
        <f>'THE BOARD'!A568</f>
        <v>0</v>
      </c>
      <c r="B801" s="115">
        <f>'THE BOARD'!B568</f>
        <v>0</v>
      </c>
      <c r="C801" s="115"/>
      <c r="D801" s="115"/>
      <c r="E801" s="115"/>
      <c r="F801" s="115"/>
      <c r="G801" s="115"/>
      <c r="H801" s="115"/>
      <c r="I801" s="115"/>
      <c r="J801" s="115"/>
      <c r="K801" s="112"/>
      <c r="L801" s="112"/>
      <c r="M801" s="112"/>
      <c r="N801" s="112"/>
      <c r="O801" s="112"/>
      <c r="P801" s="112"/>
      <c r="Q801" s="112"/>
      <c r="R801" s="112"/>
      <c r="S801" s="112"/>
      <c r="T801" s="112"/>
      <c r="U801" s="112"/>
      <c r="V801" s="112"/>
      <c r="W801" s="112"/>
      <c r="X801" s="112"/>
      <c r="Y801" s="112"/>
      <c r="Z801" s="112"/>
    </row>
    <row r="802" spans="1:26" x14ac:dyDescent="0.2">
      <c r="A802" s="113">
        <f>'THE BOARD'!A569</f>
        <v>0</v>
      </c>
      <c r="B802" s="115">
        <f>'THE BOARD'!B569</f>
        <v>0</v>
      </c>
      <c r="C802" s="115"/>
      <c r="D802" s="115"/>
      <c r="E802" s="115"/>
      <c r="F802" s="115"/>
      <c r="G802" s="115"/>
      <c r="H802" s="115"/>
      <c r="I802" s="115"/>
      <c r="J802" s="115"/>
      <c r="K802" s="112"/>
      <c r="L802" s="112"/>
      <c r="M802" s="112"/>
      <c r="N802" s="112"/>
      <c r="O802" s="112"/>
      <c r="P802" s="112"/>
      <c r="Q802" s="112"/>
      <c r="R802" s="112"/>
      <c r="S802" s="112"/>
      <c r="T802" s="112"/>
      <c r="U802" s="112"/>
      <c r="V802" s="112"/>
      <c r="W802" s="112"/>
      <c r="X802" s="112"/>
      <c r="Y802" s="112"/>
      <c r="Z802" s="112"/>
    </row>
    <row r="803" spans="1:26" x14ac:dyDescent="0.2">
      <c r="A803" s="113">
        <f>'THE BOARD'!A570</f>
        <v>0</v>
      </c>
      <c r="B803" s="115">
        <f>'THE BOARD'!B570</f>
        <v>0</v>
      </c>
      <c r="C803" s="115"/>
      <c r="D803" s="115"/>
      <c r="E803" s="115"/>
      <c r="F803" s="115"/>
      <c r="G803" s="115"/>
      <c r="H803" s="115"/>
      <c r="I803" s="115"/>
      <c r="J803" s="115"/>
      <c r="K803" s="112"/>
      <c r="L803" s="112"/>
      <c r="M803" s="112"/>
      <c r="N803" s="112"/>
      <c r="O803" s="112"/>
      <c r="P803" s="112"/>
      <c r="Q803" s="112"/>
      <c r="R803" s="112"/>
      <c r="S803" s="112"/>
      <c r="T803" s="112"/>
      <c r="U803" s="112"/>
      <c r="V803" s="112"/>
      <c r="W803" s="112"/>
      <c r="X803" s="112"/>
      <c r="Y803" s="112"/>
      <c r="Z803" s="112"/>
    </row>
    <row r="804" spans="1:26" x14ac:dyDescent="0.2">
      <c r="A804" s="113">
        <f>'THE BOARD'!A571</f>
        <v>0</v>
      </c>
      <c r="B804" s="115">
        <f>'THE BOARD'!B571</f>
        <v>0</v>
      </c>
      <c r="C804" s="115"/>
      <c r="D804" s="115"/>
      <c r="E804" s="115"/>
      <c r="F804" s="115"/>
      <c r="G804" s="115"/>
      <c r="H804" s="115"/>
      <c r="I804" s="115"/>
      <c r="J804" s="115"/>
      <c r="K804" s="112"/>
      <c r="L804" s="112"/>
      <c r="M804" s="112"/>
      <c r="N804" s="112"/>
      <c r="O804" s="112"/>
      <c r="P804" s="112"/>
      <c r="Q804" s="112"/>
      <c r="R804" s="112"/>
      <c r="S804" s="112"/>
      <c r="T804" s="112"/>
      <c r="U804" s="112"/>
      <c r="V804" s="112"/>
      <c r="W804" s="112"/>
      <c r="X804" s="112"/>
      <c r="Y804" s="112"/>
      <c r="Z804" s="112"/>
    </row>
    <row r="805" spans="1:26" x14ac:dyDescent="0.2">
      <c r="A805" s="113">
        <f>'THE BOARD'!A572</f>
        <v>0</v>
      </c>
      <c r="B805" s="115">
        <f>'THE BOARD'!B572</f>
        <v>0</v>
      </c>
      <c r="C805" s="115"/>
      <c r="D805" s="115"/>
      <c r="E805" s="115"/>
      <c r="F805" s="115"/>
      <c r="G805" s="115"/>
      <c r="H805" s="115"/>
      <c r="I805" s="115"/>
      <c r="J805" s="115"/>
      <c r="K805" s="112"/>
      <c r="L805" s="112"/>
      <c r="M805" s="112"/>
      <c r="N805" s="112"/>
      <c r="O805" s="112"/>
      <c r="P805" s="112"/>
      <c r="Q805" s="112"/>
      <c r="R805" s="112"/>
      <c r="S805" s="112"/>
      <c r="T805" s="112"/>
      <c r="U805" s="112"/>
      <c r="V805" s="112"/>
      <c r="W805" s="112"/>
      <c r="X805" s="112"/>
      <c r="Y805" s="112"/>
      <c r="Z805" s="112"/>
    </row>
    <row r="806" spans="1:26" x14ac:dyDescent="0.2">
      <c r="A806" s="113">
        <f>'THE BOARD'!A573</f>
        <v>0</v>
      </c>
      <c r="B806" s="115">
        <f>'THE BOARD'!B573</f>
        <v>0</v>
      </c>
      <c r="C806" s="115"/>
      <c r="D806" s="115"/>
      <c r="E806" s="115"/>
      <c r="F806" s="115"/>
      <c r="G806" s="115"/>
      <c r="H806" s="115"/>
      <c r="I806" s="115"/>
      <c r="J806" s="115"/>
      <c r="K806" s="112"/>
      <c r="L806" s="112"/>
      <c r="M806" s="112"/>
      <c r="N806" s="112"/>
      <c r="O806" s="112"/>
      <c r="P806" s="112"/>
      <c r="Q806" s="112"/>
      <c r="R806" s="112"/>
      <c r="S806" s="112"/>
      <c r="T806" s="112"/>
      <c r="U806" s="112"/>
      <c r="V806" s="112"/>
      <c r="W806" s="112"/>
      <c r="X806" s="112"/>
      <c r="Y806" s="112"/>
      <c r="Z806" s="112"/>
    </row>
    <row r="807" spans="1:26" x14ac:dyDescent="0.2">
      <c r="A807" s="113">
        <f>'THE BOARD'!A574</f>
        <v>0</v>
      </c>
      <c r="B807" s="115">
        <f>'THE BOARD'!B574</f>
        <v>0</v>
      </c>
      <c r="C807" s="115"/>
      <c r="D807" s="115"/>
      <c r="E807" s="115"/>
      <c r="F807" s="115"/>
      <c r="G807" s="115"/>
      <c r="H807" s="115"/>
      <c r="I807" s="115"/>
      <c r="J807" s="115"/>
      <c r="K807" s="112"/>
      <c r="L807" s="112"/>
      <c r="M807" s="112"/>
      <c r="N807" s="112"/>
      <c r="O807" s="112"/>
      <c r="P807" s="112"/>
      <c r="Q807" s="112"/>
      <c r="R807" s="112"/>
      <c r="S807" s="112"/>
      <c r="T807" s="112"/>
      <c r="U807" s="112"/>
      <c r="V807" s="112"/>
      <c r="W807" s="112"/>
      <c r="X807" s="112"/>
      <c r="Y807" s="112"/>
      <c r="Z807" s="112"/>
    </row>
    <row r="808" spans="1:26" x14ac:dyDescent="0.2">
      <c r="A808" s="113">
        <f>'THE BOARD'!A575</f>
        <v>0</v>
      </c>
      <c r="B808" s="115">
        <f>'THE BOARD'!B575</f>
        <v>0</v>
      </c>
      <c r="C808" s="115"/>
      <c r="D808" s="115"/>
      <c r="E808" s="115"/>
      <c r="F808" s="115"/>
      <c r="G808" s="115"/>
      <c r="H808" s="115"/>
      <c r="I808" s="115"/>
      <c r="J808" s="115"/>
      <c r="K808" s="112"/>
      <c r="L808" s="112"/>
      <c r="M808" s="112"/>
      <c r="N808" s="112"/>
      <c r="O808" s="112"/>
      <c r="P808" s="112"/>
      <c r="Q808" s="112"/>
      <c r="R808" s="112"/>
      <c r="S808" s="112"/>
      <c r="T808" s="112"/>
      <c r="U808" s="112"/>
      <c r="V808" s="112"/>
      <c r="W808" s="112"/>
      <c r="X808" s="112"/>
      <c r="Y808" s="112"/>
      <c r="Z808" s="112"/>
    </row>
    <row r="809" spans="1:26" x14ac:dyDescent="0.2">
      <c r="A809" s="113">
        <f>'THE BOARD'!A576</f>
        <v>0</v>
      </c>
      <c r="B809" s="115">
        <f>'THE BOARD'!B576</f>
        <v>0</v>
      </c>
      <c r="C809" s="115"/>
      <c r="D809" s="115"/>
      <c r="E809" s="115"/>
      <c r="F809" s="115"/>
      <c r="G809" s="115"/>
      <c r="H809" s="115"/>
      <c r="I809" s="115"/>
      <c r="J809" s="115"/>
      <c r="K809" s="112"/>
      <c r="L809" s="112"/>
      <c r="M809" s="112"/>
      <c r="N809" s="112"/>
      <c r="O809" s="112"/>
      <c r="P809" s="112"/>
      <c r="Q809" s="112"/>
      <c r="R809" s="112"/>
      <c r="S809" s="112"/>
      <c r="T809" s="112"/>
      <c r="U809" s="112"/>
      <c r="V809" s="112"/>
      <c r="W809" s="112"/>
      <c r="X809" s="112"/>
      <c r="Y809" s="112"/>
      <c r="Z809" s="112"/>
    </row>
    <row r="810" spans="1:26" x14ac:dyDescent="0.2">
      <c r="A810" s="113">
        <f>'THE BOARD'!A577</f>
        <v>0</v>
      </c>
      <c r="B810" s="115">
        <f>'THE BOARD'!B577</f>
        <v>0</v>
      </c>
      <c r="C810" s="115"/>
      <c r="D810" s="115"/>
      <c r="E810" s="115"/>
      <c r="F810" s="115"/>
      <c r="G810" s="115"/>
      <c r="H810" s="115"/>
      <c r="I810" s="115"/>
      <c r="J810" s="115"/>
      <c r="K810" s="112"/>
      <c r="L810" s="112"/>
      <c r="M810" s="112"/>
      <c r="N810" s="112"/>
      <c r="O810" s="112"/>
      <c r="P810" s="112"/>
      <c r="Q810" s="112"/>
      <c r="R810" s="112"/>
      <c r="S810" s="112"/>
      <c r="T810" s="112"/>
      <c r="U810" s="112"/>
      <c r="V810" s="112"/>
      <c r="W810" s="112"/>
      <c r="X810" s="112"/>
      <c r="Y810" s="112"/>
      <c r="Z810" s="112"/>
    </row>
    <row r="811" spans="1:26" x14ac:dyDescent="0.2">
      <c r="A811" s="113">
        <f>'THE BOARD'!A578</f>
        <v>0</v>
      </c>
      <c r="B811" s="115">
        <f>'THE BOARD'!B578</f>
        <v>0</v>
      </c>
      <c r="C811" s="115"/>
      <c r="D811" s="115"/>
      <c r="E811" s="115"/>
      <c r="F811" s="115"/>
      <c r="G811" s="115"/>
      <c r="H811" s="115"/>
      <c r="I811" s="115"/>
      <c r="J811" s="115"/>
      <c r="K811" s="112"/>
      <c r="L811" s="112"/>
      <c r="M811" s="112"/>
      <c r="N811" s="112"/>
      <c r="O811" s="112"/>
      <c r="P811" s="112"/>
      <c r="Q811" s="112"/>
      <c r="R811" s="112"/>
      <c r="S811" s="112"/>
      <c r="T811" s="112"/>
      <c r="U811" s="112"/>
      <c r="V811" s="112"/>
      <c r="W811" s="112"/>
      <c r="X811" s="112"/>
      <c r="Y811" s="112"/>
      <c r="Z811" s="112"/>
    </row>
    <row r="812" spans="1:26" x14ac:dyDescent="0.2">
      <c r="A812" s="113">
        <f>'THE BOARD'!A579</f>
        <v>0</v>
      </c>
      <c r="B812" s="115">
        <f>'THE BOARD'!B579</f>
        <v>0</v>
      </c>
      <c r="C812" s="115"/>
      <c r="D812" s="115"/>
      <c r="E812" s="115"/>
      <c r="F812" s="115"/>
      <c r="G812" s="115"/>
      <c r="H812" s="115"/>
      <c r="I812" s="115"/>
      <c r="J812" s="115"/>
      <c r="K812" s="112"/>
      <c r="L812" s="112"/>
      <c r="M812" s="112"/>
      <c r="N812" s="112"/>
      <c r="O812" s="112"/>
      <c r="P812" s="112"/>
      <c r="Q812" s="112"/>
      <c r="R812" s="112"/>
      <c r="S812" s="112"/>
      <c r="T812" s="112"/>
      <c r="U812" s="112"/>
      <c r="V812" s="112"/>
      <c r="W812" s="112"/>
      <c r="X812" s="112"/>
      <c r="Y812" s="112"/>
      <c r="Z812" s="112"/>
    </row>
    <row r="813" spans="1:26" x14ac:dyDescent="0.2">
      <c r="A813" s="113">
        <f>'THE BOARD'!A580</f>
        <v>0</v>
      </c>
      <c r="B813" s="115">
        <f>'THE BOARD'!B580</f>
        <v>0</v>
      </c>
      <c r="C813" s="115"/>
      <c r="D813" s="115"/>
      <c r="E813" s="115"/>
      <c r="F813" s="115"/>
      <c r="G813" s="115"/>
      <c r="H813" s="115"/>
      <c r="I813" s="115"/>
      <c r="J813" s="115"/>
      <c r="K813" s="112"/>
      <c r="L813" s="112"/>
      <c r="M813" s="112"/>
      <c r="N813" s="112"/>
      <c r="O813" s="112"/>
      <c r="P813" s="112"/>
      <c r="Q813" s="112"/>
      <c r="R813" s="112"/>
      <c r="S813" s="112"/>
      <c r="T813" s="112"/>
      <c r="U813" s="112"/>
      <c r="V813" s="112"/>
      <c r="W813" s="112"/>
      <c r="X813" s="112"/>
      <c r="Y813" s="112"/>
      <c r="Z813" s="112"/>
    </row>
    <row r="814" spans="1:26" x14ac:dyDescent="0.2">
      <c r="A814" s="113">
        <f>'THE BOARD'!A581</f>
        <v>0</v>
      </c>
      <c r="B814" s="115">
        <f>'THE BOARD'!B581</f>
        <v>0</v>
      </c>
      <c r="C814" s="115"/>
      <c r="D814" s="115"/>
      <c r="E814" s="115"/>
      <c r="F814" s="115"/>
      <c r="G814" s="115"/>
      <c r="H814" s="115"/>
      <c r="I814" s="115"/>
      <c r="J814" s="115"/>
      <c r="K814" s="112"/>
      <c r="L814" s="112"/>
      <c r="M814" s="112"/>
      <c r="N814" s="112"/>
      <c r="O814" s="112"/>
      <c r="P814" s="112"/>
      <c r="Q814" s="112"/>
      <c r="R814" s="112"/>
      <c r="S814" s="112"/>
      <c r="T814" s="112"/>
      <c r="U814" s="112"/>
      <c r="V814" s="112"/>
      <c r="W814" s="112"/>
      <c r="X814" s="112"/>
      <c r="Y814" s="112"/>
      <c r="Z814" s="112"/>
    </row>
    <row r="815" spans="1:26" x14ac:dyDescent="0.2">
      <c r="A815" s="113">
        <f>'THE BOARD'!A582</f>
        <v>0</v>
      </c>
      <c r="B815" s="115">
        <f>'THE BOARD'!B582</f>
        <v>0</v>
      </c>
      <c r="C815" s="115"/>
      <c r="D815" s="115"/>
      <c r="E815" s="115"/>
      <c r="F815" s="115"/>
      <c r="G815" s="115"/>
      <c r="H815" s="115"/>
      <c r="I815" s="115"/>
      <c r="J815" s="115"/>
      <c r="K815" s="112"/>
      <c r="L815" s="112"/>
      <c r="M815" s="112"/>
      <c r="N815" s="112"/>
      <c r="O815" s="112"/>
      <c r="P815" s="112"/>
      <c r="Q815" s="112"/>
      <c r="R815" s="112"/>
      <c r="S815" s="112"/>
      <c r="T815" s="112"/>
      <c r="U815" s="112"/>
      <c r="V815" s="112"/>
      <c r="W815" s="112"/>
      <c r="X815" s="112"/>
      <c r="Y815" s="112"/>
      <c r="Z815" s="112"/>
    </row>
    <row r="816" spans="1:26" x14ac:dyDescent="0.2">
      <c r="A816" s="113">
        <f>'THE BOARD'!A583</f>
        <v>0</v>
      </c>
      <c r="B816" s="115">
        <f>'THE BOARD'!B583</f>
        <v>0</v>
      </c>
      <c r="C816" s="115"/>
      <c r="D816" s="115"/>
      <c r="E816" s="115"/>
      <c r="F816" s="115"/>
      <c r="G816" s="115"/>
      <c r="H816" s="115"/>
      <c r="I816" s="115"/>
      <c r="J816" s="115"/>
      <c r="K816" s="112"/>
      <c r="L816" s="112"/>
      <c r="M816" s="112"/>
      <c r="N816" s="112"/>
      <c r="O816" s="112"/>
      <c r="P816" s="112"/>
      <c r="Q816" s="112"/>
      <c r="R816" s="112"/>
      <c r="S816" s="112"/>
      <c r="T816" s="112"/>
      <c r="U816" s="112"/>
      <c r="V816" s="112"/>
      <c r="W816" s="112"/>
      <c r="X816" s="112"/>
      <c r="Y816" s="112"/>
      <c r="Z816" s="112"/>
    </row>
    <row r="817" spans="1:26" x14ac:dyDescent="0.2">
      <c r="A817" s="113">
        <f>'THE BOARD'!A584</f>
        <v>0</v>
      </c>
      <c r="B817" s="115">
        <f>'THE BOARD'!B584</f>
        <v>0</v>
      </c>
      <c r="C817" s="115"/>
      <c r="D817" s="115"/>
      <c r="E817" s="115"/>
      <c r="F817" s="115"/>
      <c r="G817" s="115"/>
      <c r="H817" s="115"/>
      <c r="I817" s="115"/>
      <c r="J817" s="115"/>
      <c r="K817" s="112"/>
      <c r="L817" s="112"/>
      <c r="M817" s="112"/>
      <c r="N817" s="112"/>
      <c r="O817" s="112"/>
      <c r="P817" s="112"/>
      <c r="Q817" s="112"/>
      <c r="R817" s="112"/>
      <c r="S817" s="112"/>
      <c r="T817" s="112"/>
      <c r="U817" s="112"/>
      <c r="V817" s="112"/>
      <c r="W817" s="112"/>
      <c r="X817" s="112"/>
      <c r="Y817" s="112"/>
      <c r="Z817" s="112"/>
    </row>
    <row r="818" spans="1:26" x14ac:dyDescent="0.2">
      <c r="A818" s="113">
        <f>'THE BOARD'!A585</f>
        <v>0</v>
      </c>
      <c r="B818" s="115">
        <f>'THE BOARD'!B585</f>
        <v>0</v>
      </c>
      <c r="C818" s="115"/>
      <c r="D818" s="115"/>
      <c r="E818" s="115"/>
      <c r="F818" s="115"/>
      <c r="G818" s="115"/>
      <c r="H818" s="115"/>
      <c r="I818" s="115"/>
      <c r="J818" s="115"/>
      <c r="K818" s="112"/>
      <c r="L818" s="112"/>
      <c r="M818" s="112"/>
      <c r="N818" s="112"/>
      <c r="O818" s="112"/>
      <c r="P818" s="112"/>
      <c r="Q818" s="112"/>
      <c r="R818" s="112"/>
      <c r="S818" s="112"/>
      <c r="T818" s="112"/>
      <c r="U818" s="112"/>
      <c r="V818" s="112"/>
      <c r="W818" s="112"/>
      <c r="X818" s="112"/>
      <c r="Y818" s="112"/>
      <c r="Z818" s="112"/>
    </row>
    <row r="819" spans="1:26" x14ac:dyDescent="0.2">
      <c r="A819" s="113">
        <f>'THE BOARD'!A586</f>
        <v>0</v>
      </c>
      <c r="B819" s="115">
        <f>'THE BOARD'!B586</f>
        <v>0</v>
      </c>
      <c r="C819" s="115"/>
      <c r="D819" s="115"/>
      <c r="E819" s="115"/>
      <c r="F819" s="115"/>
      <c r="G819" s="115"/>
      <c r="H819" s="115"/>
      <c r="I819" s="115"/>
      <c r="J819" s="115"/>
      <c r="K819" s="112"/>
      <c r="L819" s="112"/>
      <c r="M819" s="112"/>
      <c r="N819" s="112"/>
      <c r="O819" s="112"/>
      <c r="P819" s="112"/>
      <c r="Q819" s="112"/>
      <c r="R819" s="112"/>
      <c r="S819" s="112"/>
      <c r="T819" s="112"/>
      <c r="U819" s="112"/>
      <c r="V819" s="112"/>
      <c r="W819" s="112"/>
      <c r="X819" s="112"/>
      <c r="Y819" s="112"/>
      <c r="Z819" s="112"/>
    </row>
    <row r="820" spans="1:26" x14ac:dyDescent="0.2">
      <c r="A820" s="113">
        <f>'THE BOARD'!A587</f>
        <v>0</v>
      </c>
      <c r="B820" s="115">
        <f>'THE BOARD'!B587</f>
        <v>0</v>
      </c>
      <c r="C820" s="115"/>
      <c r="D820" s="115"/>
      <c r="E820" s="115"/>
      <c r="F820" s="115"/>
      <c r="G820" s="115"/>
      <c r="H820" s="115"/>
      <c r="I820" s="115"/>
      <c r="J820" s="115"/>
      <c r="K820" s="112"/>
      <c r="L820" s="112"/>
      <c r="M820" s="112"/>
      <c r="N820" s="112"/>
      <c r="O820" s="112"/>
      <c r="P820" s="112"/>
      <c r="Q820" s="112"/>
      <c r="R820" s="112"/>
      <c r="S820" s="112"/>
      <c r="T820" s="112"/>
      <c r="U820" s="112"/>
      <c r="V820" s="112"/>
      <c r="W820" s="112"/>
      <c r="X820" s="112"/>
      <c r="Y820" s="112"/>
      <c r="Z820" s="112"/>
    </row>
    <row r="821" spans="1:26" x14ac:dyDescent="0.2">
      <c r="A821" s="113">
        <f>'THE BOARD'!A588</f>
        <v>0</v>
      </c>
      <c r="B821" s="115">
        <f>'THE BOARD'!B588</f>
        <v>0</v>
      </c>
      <c r="C821" s="115"/>
      <c r="D821" s="115"/>
      <c r="E821" s="115"/>
      <c r="F821" s="115"/>
      <c r="G821" s="115"/>
      <c r="H821" s="115"/>
      <c r="I821" s="115"/>
      <c r="J821" s="115"/>
      <c r="K821" s="112"/>
      <c r="L821" s="112"/>
      <c r="M821" s="112"/>
      <c r="N821" s="112"/>
      <c r="O821" s="112"/>
      <c r="P821" s="112"/>
      <c r="Q821" s="112"/>
      <c r="R821" s="112"/>
      <c r="S821" s="112"/>
      <c r="T821" s="112"/>
      <c r="U821" s="112"/>
      <c r="V821" s="112"/>
      <c r="W821" s="112"/>
      <c r="X821" s="112"/>
      <c r="Y821" s="112"/>
      <c r="Z821" s="112"/>
    </row>
    <row r="822" spans="1:26" x14ac:dyDescent="0.2">
      <c r="A822" s="113">
        <f>'THE BOARD'!A589</f>
        <v>0</v>
      </c>
      <c r="B822" s="115">
        <f>'THE BOARD'!B589</f>
        <v>0</v>
      </c>
      <c r="C822" s="115"/>
      <c r="D822" s="115"/>
      <c r="E822" s="115"/>
      <c r="F822" s="115"/>
      <c r="G822" s="115"/>
      <c r="H822" s="115"/>
      <c r="I822" s="115"/>
      <c r="J822" s="115"/>
      <c r="K822" s="112"/>
      <c r="L822" s="112"/>
      <c r="M822" s="112"/>
      <c r="N822" s="112"/>
      <c r="O822" s="112"/>
      <c r="P822" s="112"/>
      <c r="Q822" s="112"/>
      <c r="R822" s="112"/>
      <c r="S822" s="112"/>
      <c r="T822" s="112"/>
      <c r="U822" s="112"/>
      <c r="V822" s="112"/>
      <c r="W822" s="112"/>
      <c r="X822" s="112"/>
      <c r="Y822" s="112"/>
      <c r="Z822" s="112"/>
    </row>
    <row r="823" spans="1:26" x14ac:dyDescent="0.2">
      <c r="A823" s="113">
        <f>'THE BOARD'!A590</f>
        <v>0</v>
      </c>
      <c r="B823" s="115">
        <f>'THE BOARD'!B590</f>
        <v>0</v>
      </c>
      <c r="C823" s="115"/>
      <c r="D823" s="115"/>
      <c r="E823" s="115"/>
      <c r="F823" s="115"/>
      <c r="G823" s="115"/>
      <c r="H823" s="115"/>
      <c r="I823" s="115"/>
      <c r="J823" s="115"/>
      <c r="K823" s="112"/>
      <c r="L823" s="112"/>
      <c r="M823" s="112"/>
      <c r="N823" s="112"/>
      <c r="O823" s="112"/>
      <c r="P823" s="112"/>
      <c r="Q823" s="112"/>
      <c r="R823" s="112"/>
      <c r="S823" s="112"/>
      <c r="T823" s="112"/>
      <c r="U823" s="112"/>
      <c r="V823" s="112"/>
      <c r="W823" s="112"/>
      <c r="X823" s="112"/>
      <c r="Y823" s="112"/>
      <c r="Z823" s="112"/>
    </row>
    <row r="824" spans="1:26" x14ac:dyDescent="0.2">
      <c r="A824" s="113">
        <f>'THE BOARD'!A591</f>
        <v>0</v>
      </c>
      <c r="B824" s="115">
        <f>'THE BOARD'!B591</f>
        <v>0</v>
      </c>
      <c r="C824" s="115"/>
      <c r="D824" s="115"/>
      <c r="E824" s="115"/>
      <c r="F824" s="115"/>
      <c r="G824" s="115"/>
      <c r="H824" s="115"/>
      <c r="I824" s="115"/>
      <c r="J824" s="115"/>
      <c r="K824" s="112"/>
      <c r="L824" s="112"/>
      <c r="M824" s="112"/>
      <c r="N824" s="112"/>
      <c r="O824" s="112"/>
      <c r="P824" s="112"/>
      <c r="Q824" s="112"/>
      <c r="R824" s="112"/>
      <c r="S824" s="112"/>
      <c r="T824" s="112"/>
      <c r="U824" s="112"/>
      <c r="V824" s="112"/>
      <c r="W824" s="112"/>
      <c r="X824" s="112"/>
      <c r="Y824" s="112"/>
      <c r="Z824" s="112"/>
    </row>
    <row r="825" spans="1:26" x14ac:dyDescent="0.2">
      <c r="A825" s="113">
        <f>'THE BOARD'!A592</f>
        <v>0</v>
      </c>
      <c r="B825" s="115">
        <f>'THE BOARD'!B592</f>
        <v>0</v>
      </c>
      <c r="C825" s="115"/>
      <c r="D825" s="115"/>
      <c r="E825" s="115"/>
      <c r="F825" s="115"/>
      <c r="G825" s="115"/>
      <c r="H825" s="115"/>
      <c r="I825" s="115"/>
      <c r="J825" s="115"/>
      <c r="K825" s="112"/>
      <c r="L825" s="112"/>
      <c r="M825" s="112"/>
      <c r="N825" s="112"/>
      <c r="O825" s="112"/>
      <c r="P825" s="112"/>
      <c r="Q825" s="112"/>
      <c r="R825" s="112"/>
      <c r="S825" s="112"/>
      <c r="T825" s="112"/>
      <c r="U825" s="112"/>
      <c r="V825" s="112"/>
      <c r="W825" s="112"/>
      <c r="X825" s="112"/>
      <c r="Y825" s="112"/>
      <c r="Z825" s="112"/>
    </row>
    <row r="826" spans="1:26" x14ac:dyDescent="0.2">
      <c r="A826" s="113">
        <f>'THE BOARD'!A593</f>
        <v>0</v>
      </c>
      <c r="B826" s="115">
        <f>'THE BOARD'!B593</f>
        <v>0</v>
      </c>
      <c r="C826" s="115"/>
      <c r="D826" s="115"/>
      <c r="E826" s="115"/>
      <c r="F826" s="115"/>
      <c r="G826" s="115"/>
      <c r="H826" s="115"/>
      <c r="I826" s="115"/>
      <c r="J826" s="115"/>
      <c r="K826" s="112"/>
      <c r="L826" s="112"/>
      <c r="M826" s="112"/>
      <c r="N826" s="112"/>
      <c r="O826" s="112"/>
      <c r="P826" s="112"/>
      <c r="Q826" s="112"/>
      <c r="R826" s="112"/>
      <c r="S826" s="112"/>
      <c r="T826" s="112"/>
      <c r="U826" s="112"/>
      <c r="V826" s="112"/>
      <c r="W826" s="112"/>
      <c r="X826" s="112"/>
      <c r="Y826" s="112"/>
      <c r="Z826" s="112"/>
    </row>
    <row r="827" spans="1:26" x14ac:dyDescent="0.2">
      <c r="A827" s="113">
        <f>'THE BOARD'!A594</f>
        <v>0</v>
      </c>
      <c r="B827" s="115">
        <f>'THE BOARD'!B594</f>
        <v>0</v>
      </c>
      <c r="C827" s="115"/>
      <c r="D827" s="115"/>
      <c r="E827" s="115"/>
      <c r="F827" s="115"/>
      <c r="G827" s="115"/>
      <c r="H827" s="115"/>
      <c r="I827" s="115"/>
      <c r="J827" s="115"/>
      <c r="K827" s="112"/>
      <c r="L827" s="112"/>
      <c r="M827" s="112"/>
      <c r="N827" s="112"/>
      <c r="O827" s="112"/>
      <c r="P827" s="112"/>
      <c r="Q827" s="112"/>
      <c r="R827" s="112"/>
      <c r="S827" s="112"/>
      <c r="T827" s="112"/>
      <c r="U827" s="112"/>
      <c r="V827" s="112"/>
      <c r="W827" s="112"/>
      <c r="X827" s="112"/>
      <c r="Y827" s="112"/>
      <c r="Z827" s="112"/>
    </row>
    <row r="828" spans="1:26" x14ac:dyDescent="0.2">
      <c r="A828" s="113">
        <f>'THE BOARD'!A595</f>
        <v>0</v>
      </c>
      <c r="B828" s="115">
        <f>'THE BOARD'!B595</f>
        <v>0</v>
      </c>
      <c r="C828" s="115"/>
      <c r="D828" s="115"/>
      <c r="E828" s="115"/>
      <c r="F828" s="115"/>
      <c r="G828" s="115"/>
      <c r="H828" s="115"/>
      <c r="I828" s="115"/>
      <c r="J828" s="115"/>
      <c r="K828" s="112"/>
      <c r="L828" s="112"/>
      <c r="M828" s="112"/>
      <c r="N828" s="112"/>
      <c r="O828" s="112"/>
      <c r="P828" s="112"/>
      <c r="Q828" s="112"/>
      <c r="R828" s="112"/>
      <c r="S828" s="112"/>
      <c r="T828" s="112"/>
      <c r="U828" s="112"/>
      <c r="V828" s="112"/>
      <c r="W828" s="112"/>
      <c r="X828" s="112"/>
      <c r="Y828" s="112"/>
      <c r="Z828" s="112"/>
    </row>
    <row r="829" spans="1:26" x14ac:dyDescent="0.2">
      <c r="A829" s="113">
        <f>'THE BOARD'!A596</f>
        <v>0</v>
      </c>
      <c r="B829" s="115">
        <f>'THE BOARD'!B596</f>
        <v>0</v>
      </c>
      <c r="C829" s="115"/>
      <c r="D829" s="115"/>
      <c r="E829" s="115"/>
      <c r="F829" s="115"/>
      <c r="G829" s="115"/>
      <c r="H829" s="115"/>
      <c r="I829" s="115"/>
      <c r="J829" s="115"/>
      <c r="K829" s="112"/>
      <c r="L829" s="112"/>
      <c r="M829" s="112"/>
      <c r="N829" s="112"/>
      <c r="O829" s="112"/>
      <c r="P829" s="112"/>
      <c r="Q829" s="112"/>
      <c r="R829" s="112"/>
      <c r="S829" s="112"/>
      <c r="T829" s="112"/>
      <c r="U829" s="112"/>
      <c r="V829" s="112"/>
      <c r="W829" s="112"/>
      <c r="X829" s="112"/>
      <c r="Y829" s="112"/>
      <c r="Z829" s="112"/>
    </row>
    <row r="830" spans="1:26" x14ac:dyDescent="0.2">
      <c r="A830" s="113">
        <f>'THE BOARD'!A597</f>
        <v>0</v>
      </c>
      <c r="B830" s="115">
        <f>'THE BOARD'!B597</f>
        <v>0</v>
      </c>
      <c r="C830" s="115"/>
      <c r="D830" s="115"/>
      <c r="E830" s="115"/>
      <c r="F830" s="115"/>
      <c r="G830" s="115"/>
      <c r="H830" s="115"/>
      <c r="I830" s="115"/>
      <c r="J830" s="115"/>
      <c r="K830" s="112"/>
      <c r="L830" s="112"/>
      <c r="M830" s="112"/>
      <c r="N830" s="112"/>
      <c r="O830" s="112"/>
      <c r="P830" s="112"/>
      <c r="Q830" s="112"/>
      <c r="R830" s="112"/>
      <c r="S830" s="112"/>
      <c r="T830" s="112"/>
      <c r="U830" s="112"/>
      <c r="V830" s="112"/>
      <c r="W830" s="112"/>
      <c r="X830" s="112"/>
      <c r="Y830" s="112"/>
      <c r="Z830" s="112"/>
    </row>
    <row r="831" spans="1:26" x14ac:dyDescent="0.2">
      <c r="A831" s="113">
        <f>'THE BOARD'!A598</f>
        <v>0</v>
      </c>
      <c r="B831" s="115">
        <f>'THE BOARD'!B598</f>
        <v>0</v>
      </c>
      <c r="C831" s="115"/>
      <c r="D831" s="115"/>
      <c r="E831" s="115"/>
      <c r="F831" s="115"/>
      <c r="G831" s="115"/>
      <c r="H831" s="115"/>
      <c r="I831" s="115"/>
      <c r="J831" s="115"/>
      <c r="K831" s="112"/>
      <c r="L831" s="112"/>
      <c r="M831" s="112"/>
      <c r="N831" s="112"/>
      <c r="O831" s="112"/>
      <c r="P831" s="112"/>
      <c r="Q831" s="112"/>
      <c r="R831" s="112"/>
      <c r="S831" s="112"/>
      <c r="T831" s="112"/>
      <c r="U831" s="112"/>
      <c r="V831" s="112"/>
      <c r="W831" s="112"/>
      <c r="X831" s="112"/>
      <c r="Y831" s="112"/>
      <c r="Z831" s="112"/>
    </row>
    <row r="832" spans="1:26" x14ac:dyDescent="0.2">
      <c r="A832" s="113">
        <f>'THE BOARD'!A599</f>
        <v>0</v>
      </c>
      <c r="B832" s="115">
        <f>'THE BOARD'!B599</f>
        <v>0</v>
      </c>
      <c r="C832" s="115"/>
      <c r="D832" s="115"/>
      <c r="E832" s="115"/>
      <c r="F832" s="115"/>
      <c r="G832" s="115"/>
      <c r="H832" s="115"/>
      <c r="I832" s="115"/>
      <c r="J832" s="115"/>
      <c r="K832" s="112"/>
      <c r="L832" s="112"/>
      <c r="M832" s="112"/>
      <c r="N832" s="112"/>
      <c r="O832" s="112"/>
      <c r="P832" s="112"/>
      <c r="Q832" s="112"/>
      <c r="R832" s="112"/>
      <c r="S832" s="112"/>
      <c r="T832" s="112"/>
      <c r="U832" s="112"/>
      <c r="V832" s="112"/>
      <c r="W832" s="112"/>
      <c r="X832" s="112"/>
      <c r="Y832" s="112"/>
      <c r="Z832" s="112"/>
    </row>
    <row r="833" spans="1:26" x14ac:dyDescent="0.2">
      <c r="A833" s="113">
        <f>'THE BOARD'!A600</f>
        <v>0</v>
      </c>
      <c r="B833" s="115">
        <f>'THE BOARD'!B600</f>
        <v>0</v>
      </c>
      <c r="C833" s="115"/>
      <c r="D833" s="115"/>
      <c r="E833" s="115"/>
      <c r="F833" s="115"/>
      <c r="G833" s="115"/>
      <c r="H833" s="115"/>
      <c r="I833" s="115"/>
      <c r="J833" s="115"/>
      <c r="K833" s="112"/>
      <c r="L833" s="112"/>
      <c r="M833" s="112"/>
      <c r="N833" s="112"/>
      <c r="O833" s="112"/>
      <c r="P833" s="112"/>
      <c r="Q833" s="112"/>
      <c r="R833" s="112"/>
      <c r="S833" s="112"/>
      <c r="T833" s="112"/>
      <c r="U833" s="112"/>
      <c r="V833" s="112"/>
      <c r="W833" s="112"/>
      <c r="X833" s="112"/>
      <c r="Y833" s="112"/>
      <c r="Z833" s="112"/>
    </row>
    <row r="834" spans="1:26" x14ac:dyDescent="0.2">
      <c r="A834" s="113">
        <f>'THE BOARD'!A601</f>
        <v>0</v>
      </c>
      <c r="B834" s="115">
        <f>'THE BOARD'!B601</f>
        <v>0</v>
      </c>
      <c r="C834" s="115"/>
      <c r="D834" s="115"/>
      <c r="E834" s="115"/>
      <c r="F834" s="115"/>
      <c r="G834" s="115"/>
      <c r="H834" s="115"/>
      <c r="I834" s="115"/>
      <c r="J834" s="115"/>
      <c r="K834" s="112"/>
      <c r="L834" s="112"/>
      <c r="M834" s="112"/>
      <c r="N834" s="112"/>
      <c r="O834" s="112"/>
      <c r="P834" s="112"/>
      <c r="Q834" s="112"/>
      <c r="R834" s="112"/>
      <c r="S834" s="112"/>
      <c r="T834" s="112"/>
      <c r="U834" s="112"/>
      <c r="V834" s="112"/>
      <c r="W834" s="112"/>
      <c r="X834" s="112"/>
      <c r="Y834" s="112"/>
      <c r="Z834" s="112"/>
    </row>
    <row r="835" spans="1:26" x14ac:dyDescent="0.2">
      <c r="A835" s="113">
        <f>'THE BOARD'!A602</f>
        <v>0</v>
      </c>
      <c r="B835" s="115">
        <f>'THE BOARD'!B602</f>
        <v>0</v>
      </c>
      <c r="C835" s="115"/>
      <c r="D835" s="115"/>
      <c r="E835" s="115"/>
      <c r="F835" s="115"/>
      <c r="G835" s="115"/>
      <c r="H835" s="115"/>
      <c r="I835" s="115"/>
      <c r="J835" s="115"/>
      <c r="K835" s="112"/>
      <c r="L835" s="112"/>
      <c r="M835" s="112"/>
      <c r="N835" s="112"/>
      <c r="O835" s="112"/>
      <c r="P835" s="112"/>
      <c r="Q835" s="112"/>
      <c r="R835" s="112"/>
      <c r="S835" s="112"/>
      <c r="T835" s="112"/>
      <c r="U835" s="112"/>
      <c r="V835" s="112"/>
      <c r="W835" s="112"/>
      <c r="X835" s="112"/>
      <c r="Y835" s="112"/>
      <c r="Z835" s="112"/>
    </row>
    <row r="836" spans="1:26" x14ac:dyDescent="0.2">
      <c r="A836" s="113">
        <f>'THE BOARD'!A603</f>
        <v>0</v>
      </c>
      <c r="B836" s="115">
        <f>'THE BOARD'!B603</f>
        <v>0</v>
      </c>
      <c r="C836" s="115"/>
      <c r="D836" s="115"/>
      <c r="E836" s="115"/>
      <c r="F836" s="115"/>
      <c r="G836" s="115"/>
      <c r="H836" s="115"/>
      <c r="I836" s="115"/>
      <c r="J836" s="115"/>
      <c r="K836" s="112"/>
      <c r="L836" s="112"/>
      <c r="M836" s="112"/>
      <c r="N836" s="112"/>
      <c r="O836" s="112"/>
      <c r="P836" s="112"/>
      <c r="Q836" s="112"/>
      <c r="R836" s="112"/>
      <c r="S836" s="112"/>
      <c r="T836" s="112"/>
      <c r="U836" s="112"/>
      <c r="V836" s="112"/>
      <c r="W836" s="112"/>
      <c r="X836" s="112"/>
      <c r="Y836" s="112"/>
      <c r="Z836" s="112"/>
    </row>
    <row r="837" spans="1:26" x14ac:dyDescent="0.2">
      <c r="A837" s="113">
        <f>'THE BOARD'!A604</f>
        <v>0</v>
      </c>
      <c r="B837" s="115">
        <f>'THE BOARD'!B604</f>
        <v>0</v>
      </c>
      <c r="C837" s="115"/>
      <c r="D837" s="115"/>
      <c r="E837" s="115"/>
      <c r="F837" s="115"/>
      <c r="G837" s="115"/>
      <c r="H837" s="115"/>
      <c r="I837" s="115"/>
      <c r="J837" s="115"/>
      <c r="K837" s="112"/>
      <c r="L837" s="112"/>
      <c r="M837" s="112"/>
      <c r="N837" s="112"/>
      <c r="O837" s="112"/>
      <c r="P837" s="112"/>
      <c r="Q837" s="112"/>
      <c r="R837" s="112"/>
      <c r="S837" s="112"/>
      <c r="T837" s="112"/>
      <c r="U837" s="112"/>
      <c r="V837" s="112"/>
      <c r="W837" s="112"/>
      <c r="X837" s="112"/>
      <c r="Y837" s="112"/>
      <c r="Z837" s="112"/>
    </row>
    <row r="838" spans="1:26" x14ac:dyDescent="0.2">
      <c r="A838" s="113">
        <f>'THE BOARD'!A605</f>
        <v>0</v>
      </c>
      <c r="B838" s="115">
        <f>'THE BOARD'!B605</f>
        <v>0</v>
      </c>
      <c r="C838" s="115"/>
      <c r="D838" s="115"/>
      <c r="E838" s="115"/>
      <c r="F838" s="115"/>
      <c r="G838" s="115"/>
      <c r="H838" s="115"/>
      <c r="I838" s="115"/>
      <c r="J838" s="115"/>
      <c r="K838" s="112"/>
      <c r="L838" s="112"/>
      <c r="M838" s="112"/>
      <c r="N838" s="112"/>
      <c r="O838" s="112"/>
      <c r="P838" s="112"/>
      <c r="Q838" s="112"/>
      <c r="R838" s="112"/>
      <c r="S838" s="112"/>
      <c r="T838" s="112"/>
      <c r="U838" s="112"/>
      <c r="V838" s="112"/>
      <c r="W838" s="112"/>
      <c r="X838" s="112"/>
      <c r="Y838" s="112"/>
      <c r="Z838" s="112"/>
    </row>
    <row r="839" spans="1:26" x14ac:dyDescent="0.2">
      <c r="A839" s="113">
        <f>'THE BOARD'!A606</f>
        <v>0</v>
      </c>
      <c r="B839" s="115">
        <f>'THE BOARD'!B606</f>
        <v>0</v>
      </c>
      <c r="C839" s="115"/>
      <c r="D839" s="115"/>
      <c r="E839" s="115"/>
      <c r="F839" s="115"/>
      <c r="G839" s="115"/>
      <c r="H839" s="115"/>
      <c r="I839" s="115"/>
      <c r="J839" s="115"/>
      <c r="K839" s="112"/>
      <c r="L839" s="112"/>
      <c r="M839" s="112"/>
      <c r="N839" s="112"/>
      <c r="O839" s="112"/>
      <c r="P839" s="112"/>
      <c r="Q839" s="112"/>
      <c r="R839" s="112"/>
      <c r="S839" s="112"/>
      <c r="T839" s="112"/>
      <c r="U839" s="112"/>
      <c r="V839" s="112"/>
      <c r="W839" s="112"/>
      <c r="X839" s="112"/>
      <c r="Y839" s="112"/>
      <c r="Z839" s="112"/>
    </row>
    <row r="840" spans="1:26" x14ac:dyDescent="0.2">
      <c r="A840" s="113">
        <f>'THE BOARD'!A607</f>
        <v>0</v>
      </c>
      <c r="B840" s="115">
        <f>'THE BOARD'!B607</f>
        <v>0</v>
      </c>
      <c r="C840" s="115"/>
      <c r="D840" s="115"/>
      <c r="E840" s="115"/>
      <c r="F840" s="115"/>
      <c r="G840" s="115"/>
      <c r="H840" s="115"/>
      <c r="I840" s="115"/>
      <c r="J840" s="115"/>
      <c r="K840" s="112"/>
      <c r="L840" s="112"/>
      <c r="M840" s="112"/>
      <c r="N840" s="112"/>
      <c r="O840" s="112"/>
      <c r="P840" s="112"/>
      <c r="Q840" s="112"/>
      <c r="R840" s="112"/>
      <c r="S840" s="112"/>
      <c r="T840" s="112"/>
      <c r="U840" s="112"/>
      <c r="V840" s="112"/>
      <c r="W840" s="112"/>
      <c r="X840" s="112"/>
      <c r="Y840" s="112"/>
      <c r="Z840" s="112"/>
    </row>
    <row r="841" spans="1:26" x14ac:dyDescent="0.2">
      <c r="A841" s="113">
        <f>'THE BOARD'!A608</f>
        <v>0</v>
      </c>
      <c r="B841" s="115">
        <f>'THE BOARD'!B608</f>
        <v>0</v>
      </c>
      <c r="C841" s="115"/>
      <c r="D841" s="115"/>
      <c r="E841" s="115"/>
      <c r="F841" s="115"/>
      <c r="G841" s="115"/>
      <c r="H841" s="115"/>
      <c r="I841" s="115"/>
      <c r="J841" s="115"/>
      <c r="K841" s="112"/>
      <c r="L841" s="112"/>
      <c r="M841" s="112"/>
      <c r="N841" s="112"/>
      <c r="O841" s="112"/>
      <c r="P841" s="112"/>
      <c r="Q841" s="112"/>
      <c r="R841" s="112"/>
      <c r="S841" s="112"/>
      <c r="T841" s="112"/>
      <c r="U841" s="112"/>
      <c r="V841" s="112"/>
      <c r="W841" s="112"/>
      <c r="X841" s="112"/>
      <c r="Y841" s="112"/>
      <c r="Z841" s="112"/>
    </row>
    <row r="842" spans="1:26" x14ac:dyDescent="0.2">
      <c r="A842" s="113">
        <f>'THE BOARD'!A609</f>
        <v>0</v>
      </c>
      <c r="B842" s="115">
        <f>'THE BOARD'!B609</f>
        <v>0</v>
      </c>
      <c r="C842" s="115"/>
      <c r="D842" s="115"/>
      <c r="E842" s="115"/>
      <c r="F842" s="115"/>
      <c r="G842" s="115"/>
      <c r="H842" s="115"/>
      <c r="I842" s="115"/>
      <c r="J842" s="115"/>
      <c r="K842" s="112"/>
      <c r="L842" s="112"/>
      <c r="M842" s="112"/>
      <c r="N842" s="112"/>
      <c r="O842" s="112"/>
      <c r="P842" s="112"/>
      <c r="Q842" s="112"/>
      <c r="R842" s="112"/>
      <c r="S842" s="112"/>
      <c r="T842" s="112"/>
      <c r="U842" s="112"/>
      <c r="V842" s="112"/>
      <c r="W842" s="112"/>
      <c r="X842" s="112"/>
      <c r="Y842" s="112"/>
      <c r="Z842" s="112"/>
    </row>
    <row r="843" spans="1:26" x14ac:dyDescent="0.2">
      <c r="A843" s="113">
        <f>'THE BOARD'!A610</f>
        <v>0</v>
      </c>
      <c r="B843" s="115">
        <f>'THE BOARD'!B610</f>
        <v>0</v>
      </c>
      <c r="C843" s="115"/>
      <c r="D843" s="115"/>
      <c r="E843" s="115"/>
      <c r="F843" s="115"/>
      <c r="G843" s="115"/>
      <c r="H843" s="115"/>
      <c r="I843" s="115"/>
      <c r="J843" s="115"/>
      <c r="K843" s="112"/>
      <c r="L843" s="112"/>
      <c r="M843" s="112"/>
      <c r="N843" s="112"/>
      <c r="O843" s="112"/>
      <c r="P843" s="112"/>
      <c r="Q843" s="112"/>
      <c r="R843" s="112"/>
      <c r="S843" s="112"/>
      <c r="T843" s="112"/>
      <c r="U843" s="112"/>
      <c r="V843" s="112"/>
      <c r="W843" s="112"/>
      <c r="X843" s="112"/>
      <c r="Y843" s="112"/>
      <c r="Z843" s="112"/>
    </row>
    <row r="844" spans="1:26" x14ac:dyDescent="0.2">
      <c r="A844" s="113">
        <f>'THE BOARD'!A611</f>
        <v>0</v>
      </c>
      <c r="B844" s="115">
        <f>'THE BOARD'!B611</f>
        <v>0</v>
      </c>
      <c r="C844" s="115"/>
      <c r="D844" s="115"/>
      <c r="E844" s="115"/>
      <c r="F844" s="115"/>
      <c r="G844" s="115"/>
      <c r="H844" s="115"/>
      <c r="I844" s="115"/>
      <c r="J844" s="115"/>
      <c r="K844" s="112"/>
      <c r="L844" s="112"/>
      <c r="M844" s="112"/>
      <c r="N844" s="112"/>
      <c r="O844" s="112"/>
      <c r="P844" s="112"/>
      <c r="Q844" s="112"/>
      <c r="R844" s="112"/>
      <c r="S844" s="112"/>
      <c r="T844" s="112"/>
      <c r="U844" s="112"/>
      <c r="V844" s="112"/>
      <c r="W844" s="112"/>
      <c r="X844" s="112"/>
      <c r="Y844" s="112"/>
      <c r="Z844" s="112"/>
    </row>
    <row r="845" spans="1:26" x14ac:dyDescent="0.2">
      <c r="A845" s="113">
        <f>'THE BOARD'!A612</f>
        <v>0</v>
      </c>
      <c r="B845" s="115">
        <f>'THE BOARD'!B612</f>
        <v>0</v>
      </c>
      <c r="C845" s="115"/>
      <c r="D845" s="115"/>
      <c r="E845" s="115"/>
      <c r="F845" s="115"/>
      <c r="G845" s="115"/>
      <c r="H845" s="115"/>
      <c r="I845" s="115"/>
      <c r="J845" s="115"/>
      <c r="K845" s="112"/>
      <c r="L845" s="112"/>
      <c r="M845" s="112"/>
      <c r="N845" s="112"/>
      <c r="O845" s="112"/>
      <c r="P845" s="112"/>
      <c r="Q845" s="112"/>
      <c r="R845" s="112"/>
      <c r="S845" s="112"/>
      <c r="T845" s="112"/>
      <c r="U845" s="112"/>
      <c r="V845" s="112"/>
      <c r="W845" s="112"/>
      <c r="X845" s="112"/>
      <c r="Y845" s="112"/>
      <c r="Z845" s="112"/>
    </row>
    <row r="846" spans="1:26" x14ac:dyDescent="0.2">
      <c r="A846" s="113">
        <f>'THE BOARD'!A613</f>
        <v>0</v>
      </c>
      <c r="B846" s="115">
        <f>'THE BOARD'!B613</f>
        <v>0</v>
      </c>
      <c r="C846" s="115"/>
      <c r="D846" s="115"/>
      <c r="E846" s="115"/>
      <c r="F846" s="115"/>
      <c r="G846" s="115"/>
      <c r="H846" s="115"/>
      <c r="I846" s="115"/>
      <c r="J846" s="115"/>
      <c r="K846" s="112"/>
      <c r="L846" s="112"/>
      <c r="M846" s="112"/>
      <c r="N846" s="112"/>
      <c r="O846" s="112"/>
      <c r="P846" s="112"/>
      <c r="Q846" s="112"/>
      <c r="R846" s="112"/>
      <c r="S846" s="112"/>
      <c r="T846" s="112"/>
      <c r="U846" s="112"/>
      <c r="V846" s="112"/>
      <c r="W846" s="112"/>
      <c r="X846" s="112"/>
      <c r="Y846" s="112"/>
      <c r="Z846" s="112"/>
    </row>
    <row r="847" spans="1:26" x14ac:dyDescent="0.2">
      <c r="A847" s="113">
        <f>'THE BOARD'!A614</f>
        <v>0</v>
      </c>
      <c r="B847" s="115">
        <f>'THE BOARD'!B614</f>
        <v>0</v>
      </c>
      <c r="C847" s="115"/>
      <c r="D847" s="115"/>
      <c r="E847" s="115"/>
      <c r="F847" s="115"/>
      <c r="G847" s="115"/>
      <c r="H847" s="115"/>
      <c r="I847" s="115"/>
      <c r="J847" s="115"/>
      <c r="K847" s="112"/>
      <c r="L847" s="112"/>
      <c r="M847" s="112"/>
      <c r="N847" s="112"/>
      <c r="O847" s="112"/>
      <c r="P847" s="112"/>
      <c r="Q847" s="112"/>
      <c r="R847" s="112"/>
      <c r="S847" s="112"/>
      <c r="T847" s="112"/>
      <c r="U847" s="112"/>
      <c r="V847" s="112"/>
      <c r="W847" s="112"/>
      <c r="X847" s="112"/>
      <c r="Y847" s="112"/>
      <c r="Z847" s="112"/>
    </row>
    <row r="848" spans="1:26" x14ac:dyDescent="0.2">
      <c r="A848" s="113">
        <f>'THE BOARD'!A615</f>
        <v>0</v>
      </c>
      <c r="B848" s="115">
        <f>'THE BOARD'!B615</f>
        <v>0</v>
      </c>
      <c r="C848" s="115"/>
      <c r="D848" s="115"/>
      <c r="E848" s="115"/>
      <c r="F848" s="115"/>
      <c r="G848" s="115"/>
      <c r="H848" s="115"/>
      <c r="I848" s="115"/>
      <c r="J848" s="115"/>
      <c r="K848" s="112"/>
      <c r="L848" s="112"/>
      <c r="M848" s="112"/>
      <c r="N848" s="112"/>
      <c r="O848" s="112"/>
      <c r="P848" s="112"/>
      <c r="Q848" s="112"/>
      <c r="R848" s="112"/>
      <c r="S848" s="112"/>
      <c r="T848" s="112"/>
      <c r="U848" s="112"/>
      <c r="V848" s="112"/>
      <c r="W848" s="112"/>
      <c r="X848" s="112"/>
      <c r="Y848" s="112"/>
      <c r="Z848" s="112"/>
    </row>
    <row r="849" spans="1:26" x14ac:dyDescent="0.2">
      <c r="A849" s="113">
        <f>'THE BOARD'!A616</f>
        <v>0</v>
      </c>
      <c r="B849" s="115">
        <f>'THE BOARD'!B616</f>
        <v>0</v>
      </c>
      <c r="C849" s="115"/>
      <c r="D849" s="115"/>
      <c r="E849" s="115"/>
      <c r="F849" s="115"/>
      <c r="G849" s="115"/>
      <c r="H849" s="115"/>
      <c r="I849" s="115"/>
      <c r="J849" s="115"/>
      <c r="K849" s="112"/>
      <c r="L849" s="112"/>
      <c r="M849" s="112"/>
      <c r="N849" s="112"/>
      <c r="O849" s="112"/>
      <c r="P849" s="112"/>
      <c r="Q849" s="112"/>
      <c r="R849" s="112"/>
      <c r="S849" s="112"/>
      <c r="T849" s="112"/>
      <c r="U849" s="112"/>
      <c r="V849" s="112"/>
      <c r="W849" s="112"/>
      <c r="X849" s="112"/>
      <c r="Y849" s="112"/>
      <c r="Z849" s="112"/>
    </row>
    <row r="850" spans="1:26" x14ac:dyDescent="0.2">
      <c r="A850" s="113">
        <f>'THE BOARD'!A617</f>
        <v>0</v>
      </c>
      <c r="B850" s="115">
        <f>'THE BOARD'!B617</f>
        <v>0</v>
      </c>
      <c r="C850" s="115"/>
      <c r="D850" s="115"/>
      <c r="E850" s="115"/>
      <c r="F850" s="115"/>
      <c r="G850" s="115"/>
      <c r="H850" s="115"/>
      <c r="I850" s="115"/>
      <c r="J850" s="115"/>
      <c r="K850" s="112"/>
      <c r="L850" s="112"/>
      <c r="M850" s="112"/>
      <c r="N850" s="112"/>
      <c r="O850" s="112"/>
      <c r="P850" s="112"/>
      <c r="Q850" s="112"/>
      <c r="R850" s="112"/>
      <c r="S850" s="112"/>
      <c r="T850" s="112"/>
      <c r="U850" s="112"/>
      <c r="V850" s="112"/>
      <c r="W850" s="112"/>
      <c r="X850" s="112"/>
      <c r="Y850" s="112"/>
      <c r="Z850" s="112"/>
    </row>
    <row r="851" spans="1:26" x14ac:dyDescent="0.2">
      <c r="A851" s="113">
        <f>'THE BOARD'!A618</f>
        <v>0</v>
      </c>
      <c r="B851" s="115">
        <f>'THE BOARD'!B618</f>
        <v>0</v>
      </c>
      <c r="C851" s="115"/>
      <c r="D851" s="115"/>
      <c r="E851" s="115"/>
      <c r="F851" s="115"/>
      <c r="G851" s="115"/>
      <c r="H851" s="115"/>
      <c r="I851" s="115"/>
      <c r="J851" s="115"/>
      <c r="K851" s="112"/>
      <c r="L851" s="112"/>
      <c r="M851" s="112"/>
      <c r="N851" s="112"/>
      <c r="O851" s="112"/>
      <c r="P851" s="112"/>
      <c r="Q851" s="112"/>
      <c r="R851" s="112"/>
      <c r="S851" s="112"/>
      <c r="T851" s="112"/>
      <c r="U851" s="112"/>
      <c r="V851" s="112"/>
      <c r="W851" s="112"/>
      <c r="X851" s="112"/>
      <c r="Y851" s="112"/>
      <c r="Z851" s="112"/>
    </row>
    <row r="852" spans="1:26" x14ac:dyDescent="0.2">
      <c r="A852" s="113">
        <f>'THE BOARD'!A619</f>
        <v>0</v>
      </c>
      <c r="B852" s="115">
        <f>'THE BOARD'!B619</f>
        <v>0</v>
      </c>
      <c r="C852" s="115"/>
      <c r="D852" s="115"/>
      <c r="E852" s="115"/>
      <c r="F852" s="115"/>
      <c r="G852" s="115"/>
      <c r="H852" s="115"/>
      <c r="I852" s="115"/>
      <c r="J852" s="115"/>
      <c r="K852" s="112"/>
      <c r="L852" s="112"/>
      <c r="M852" s="112"/>
      <c r="N852" s="112"/>
      <c r="O852" s="112"/>
      <c r="P852" s="112"/>
      <c r="Q852" s="112"/>
      <c r="R852" s="112"/>
      <c r="S852" s="112"/>
      <c r="T852" s="112"/>
      <c r="U852" s="112"/>
      <c r="V852" s="112"/>
      <c r="W852" s="112"/>
      <c r="X852" s="112"/>
      <c r="Y852" s="112"/>
      <c r="Z852" s="112"/>
    </row>
    <row r="853" spans="1:26" x14ac:dyDescent="0.2">
      <c r="A853" s="113">
        <f>'THE BOARD'!A620</f>
        <v>0</v>
      </c>
      <c r="B853" s="115">
        <f>'THE BOARD'!B620</f>
        <v>0</v>
      </c>
      <c r="C853" s="115"/>
      <c r="D853" s="115"/>
      <c r="E853" s="115"/>
      <c r="F853" s="115"/>
      <c r="G853" s="115"/>
      <c r="H853" s="115"/>
      <c r="I853" s="115"/>
      <c r="J853" s="115"/>
      <c r="K853" s="112"/>
      <c r="L853" s="112"/>
      <c r="M853" s="112"/>
      <c r="N853" s="112"/>
      <c r="O853" s="112"/>
      <c r="P853" s="112"/>
      <c r="Q853" s="112"/>
      <c r="R853" s="112"/>
      <c r="S853" s="112"/>
      <c r="T853" s="112"/>
      <c r="U853" s="112"/>
      <c r="V853" s="112"/>
      <c r="W853" s="112"/>
      <c r="X853" s="112"/>
      <c r="Y853" s="112"/>
      <c r="Z853" s="112"/>
    </row>
    <row r="854" spans="1:26" x14ac:dyDescent="0.2">
      <c r="A854" s="113">
        <f>'THE BOARD'!A621</f>
        <v>0</v>
      </c>
      <c r="B854" s="115">
        <f>'THE BOARD'!B621</f>
        <v>0</v>
      </c>
      <c r="C854" s="115"/>
      <c r="D854" s="115"/>
      <c r="E854" s="115"/>
      <c r="F854" s="115"/>
      <c r="G854" s="115"/>
      <c r="H854" s="115"/>
      <c r="I854" s="115"/>
      <c r="J854" s="115"/>
      <c r="K854" s="112"/>
      <c r="L854" s="112"/>
      <c r="M854" s="112"/>
      <c r="N854" s="112"/>
      <c r="O854" s="112"/>
      <c r="P854" s="112"/>
      <c r="Q854" s="112"/>
      <c r="R854" s="112"/>
      <c r="S854" s="112"/>
      <c r="T854" s="112"/>
      <c r="U854" s="112"/>
      <c r="V854" s="112"/>
      <c r="W854" s="112"/>
      <c r="X854" s="112"/>
      <c r="Y854" s="112"/>
      <c r="Z854" s="112"/>
    </row>
    <row r="855" spans="1:26" x14ac:dyDescent="0.2">
      <c r="A855" s="113">
        <f>'THE BOARD'!A622</f>
        <v>0</v>
      </c>
      <c r="B855" s="115">
        <f>'THE BOARD'!B622</f>
        <v>0</v>
      </c>
      <c r="C855" s="115"/>
      <c r="D855" s="115"/>
      <c r="E855" s="115"/>
      <c r="F855" s="115"/>
      <c r="G855" s="115"/>
      <c r="H855" s="115"/>
      <c r="I855" s="115"/>
      <c r="J855" s="115"/>
      <c r="K855" s="112"/>
      <c r="L855" s="112"/>
      <c r="M855" s="112"/>
      <c r="N855" s="112"/>
      <c r="O855" s="112"/>
      <c r="P855" s="112"/>
      <c r="Q855" s="112"/>
      <c r="R855" s="112"/>
      <c r="S855" s="112"/>
      <c r="T855" s="112"/>
      <c r="U855" s="112"/>
      <c r="V855" s="112"/>
      <c r="W855" s="112"/>
      <c r="X855" s="112"/>
      <c r="Y855" s="112"/>
      <c r="Z855" s="112"/>
    </row>
    <row r="856" spans="1:26" x14ac:dyDescent="0.2">
      <c r="A856" s="113">
        <f>'THE BOARD'!A623</f>
        <v>0</v>
      </c>
      <c r="B856" s="115">
        <f>'THE BOARD'!B623</f>
        <v>0</v>
      </c>
      <c r="C856" s="115"/>
      <c r="D856" s="115"/>
      <c r="E856" s="115"/>
      <c r="F856" s="115"/>
      <c r="G856" s="115"/>
      <c r="H856" s="115"/>
      <c r="I856" s="115"/>
      <c r="J856" s="115"/>
      <c r="K856" s="112"/>
      <c r="L856" s="112"/>
      <c r="M856" s="112"/>
      <c r="N856" s="112"/>
      <c r="O856" s="112"/>
      <c r="P856" s="112"/>
      <c r="Q856" s="112"/>
      <c r="R856" s="112"/>
      <c r="S856" s="112"/>
      <c r="T856" s="112"/>
      <c r="U856" s="112"/>
      <c r="V856" s="112"/>
      <c r="W856" s="112"/>
      <c r="X856" s="112"/>
      <c r="Y856" s="112"/>
      <c r="Z856" s="112"/>
    </row>
    <row r="857" spans="1:26" x14ac:dyDescent="0.2">
      <c r="A857" s="113">
        <f>'THE BOARD'!A624</f>
        <v>0</v>
      </c>
      <c r="B857" s="115">
        <f>'THE BOARD'!B624</f>
        <v>0</v>
      </c>
      <c r="C857" s="115"/>
      <c r="D857" s="115"/>
      <c r="E857" s="115"/>
      <c r="F857" s="115"/>
      <c r="G857" s="115"/>
      <c r="H857" s="115"/>
      <c r="I857" s="115"/>
      <c r="J857" s="115"/>
      <c r="K857" s="112"/>
      <c r="L857" s="112"/>
      <c r="M857" s="112"/>
      <c r="N857" s="112"/>
      <c r="O857" s="112"/>
      <c r="P857" s="112"/>
      <c r="Q857" s="112"/>
      <c r="R857" s="112"/>
      <c r="S857" s="112"/>
      <c r="T857" s="112"/>
      <c r="U857" s="112"/>
      <c r="V857" s="112"/>
      <c r="W857" s="112"/>
      <c r="X857" s="112"/>
      <c r="Y857" s="112"/>
      <c r="Z857" s="112"/>
    </row>
    <row r="858" spans="1:26" x14ac:dyDescent="0.2">
      <c r="A858" s="113">
        <f>'THE BOARD'!A625</f>
        <v>0</v>
      </c>
      <c r="B858" s="115">
        <f>'THE BOARD'!B625</f>
        <v>0</v>
      </c>
      <c r="C858" s="115"/>
      <c r="D858" s="115"/>
      <c r="E858" s="115"/>
      <c r="F858" s="115"/>
      <c r="G858" s="115"/>
      <c r="H858" s="115"/>
      <c r="I858" s="115"/>
      <c r="J858" s="115"/>
      <c r="K858" s="112"/>
      <c r="L858" s="112"/>
      <c r="M858" s="112"/>
      <c r="N858" s="112"/>
      <c r="O858" s="112"/>
      <c r="P858" s="112"/>
      <c r="Q858" s="112"/>
      <c r="R858" s="112"/>
      <c r="S858" s="112"/>
      <c r="T858" s="112"/>
      <c r="U858" s="112"/>
      <c r="V858" s="112"/>
      <c r="W858" s="112"/>
      <c r="X858" s="112"/>
      <c r="Y858" s="112"/>
      <c r="Z858" s="112"/>
    </row>
    <row r="859" spans="1:26" x14ac:dyDescent="0.2">
      <c r="A859" s="113">
        <f>'THE BOARD'!A626</f>
        <v>0</v>
      </c>
      <c r="B859" s="115">
        <f>'THE BOARD'!B626</f>
        <v>0</v>
      </c>
      <c r="C859" s="115"/>
      <c r="D859" s="115"/>
      <c r="E859" s="115"/>
      <c r="F859" s="115"/>
      <c r="G859" s="115"/>
      <c r="H859" s="115"/>
      <c r="I859" s="115"/>
      <c r="J859" s="115"/>
      <c r="K859" s="112"/>
      <c r="L859" s="112"/>
      <c r="M859" s="112"/>
      <c r="N859" s="112"/>
      <c r="O859" s="112"/>
      <c r="P859" s="112"/>
      <c r="Q859" s="112"/>
      <c r="R859" s="112"/>
      <c r="S859" s="112"/>
      <c r="T859" s="112"/>
      <c r="U859" s="112"/>
      <c r="V859" s="112"/>
      <c r="W859" s="112"/>
      <c r="X859" s="112"/>
      <c r="Y859" s="112"/>
      <c r="Z859" s="112"/>
    </row>
    <row r="860" spans="1:26" x14ac:dyDescent="0.2">
      <c r="A860" s="113">
        <f>'THE BOARD'!A627</f>
        <v>0</v>
      </c>
      <c r="B860" s="115">
        <f>'THE BOARD'!B627</f>
        <v>0</v>
      </c>
      <c r="C860" s="115"/>
      <c r="D860" s="115"/>
      <c r="E860" s="115"/>
      <c r="F860" s="115"/>
      <c r="G860" s="115"/>
      <c r="H860" s="115"/>
      <c r="I860" s="115"/>
      <c r="J860" s="115"/>
      <c r="K860" s="112"/>
      <c r="L860" s="112"/>
      <c r="M860" s="112"/>
      <c r="N860" s="112"/>
      <c r="O860" s="112"/>
      <c r="P860" s="112"/>
      <c r="Q860" s="112"/>
      <c r="R860" s="112"/>
      <c r="S860" s="112"/>
      <c r="T860" s="112"/>
      <c r="U860" s="112"/>
      <c r="V860" s="112"/>
      <c r="W860" s="112"/>
      <c r="X860" s="112"/>
      <c r="Y860" s="112"/>
      <c r="Z860" s="112"/>
    </row>
    <row r="861" spans="1:26" x14ac:dyDescent="0.2">
      <c r="A861" s="113">
        <f>'THE BOARD'!A628</f>
        <v>0</v>
      </c>
      <c r="B861" s="115">
        <f>'THE BOARD'!B628</f>
        <v>0</v>
      </c>
      <c r="C861" s="115"/>
      <c r="D861" s="115"/>
      <c r="E861" s="115"/>
      <c r="F861" s="115"/>
      <c r="G861" s="115"/>
      <c r="H861" s="115"/>
      <c r="I861" s="115"/>
      <c r="J861" s="115"/>
      <c r="K861" s="112"/>
      <c r="L861" s="112"/>
      <c r="M861" s="112"/>
      <c r="N861" s="112"/>
      <c r="O861" s="112"/>
      <c r="P861" s="112"/>
      <c r="Q861" s="112"/>
      <c r="R861" s="112"/>
      <c r="S861" s="112"/>
      <c r="T861" s="112"/>
      <c r="U861" s="112"/>
      <c r="V861" s="112"/>
      <c r="W861" s="112"/>
      <c r="X861" s="112"/>
      <c r="Y861" s="112"/>
      <c r="Z861" s="112"/>
    </row>
    <row r="862" spans="1:26" x14ac:dyDescent="0.2">
      <c r="A862" s="113">
        <f>'THE BOARD'!A629</f>
        <v>0</v>
      </c>
      <c r="B862" s="115">
        <f>'THE BOARD'!B629</f>
        <v>0</v>
      </c>
      <c r="C862" s="115"/>
      <c r="D862" s="115"/>
      <c r="E862" s="115"/>
      <c r="F862" s="115"/>
      <c r="G862" s="115"/>
      <c r="H862" s="115"/>
      <c r="I862" s="115"/>
      <c r="J862" s="115"/>
      <c r="K862" s="112"/>
      <c r="L862" s="112"/>
      <c r="M862" s="112"/>
      <c r="N862" s="112"/>
      <c r="O862" s="112"/>
      <c r="P862" s="112"/>
      <c r="Q862" s="112"/>
      <c r="R862" s="112"/>
      <c r="S862" s="112"/>
      <c r="T862" s="112"/>
      <c r="U862" s="112"/>
      <c r="V862" s="112"/>
      <c r="W862" s="112"/>
      <c r="X862" s="112"/>
      <c r="Y862" s="112"/>
      <c r="Z862" s="112"/>
    </row>
    <row r="863" spans="1:26" x14ac:dyDescent="0.2">
      <c r="A863" s="113">
        <f>'THE BOARD'!A630</f>
        <v>0</v>
      </c>
      <c r="B863" s="115">
        <f>'THE BOARD'!B630</f>
        <v>0</v>
      </c>
      <c r="C863" s="115"/>
      <c r="D863" s="115"/>
      <c r="E863" s="115"/>
      <c r="F863" s="115"/>
      <c r="G863" s="115"/>
      <c r="H863" s="115"/>
      <c r="I863" s="115"/>
      <c r="J863" s="115"/>
      <c r="K863" s="112"/>
      <c r="L863" s="112"/>
      <c r="M863" s="112"/>
      <c r="N863" s="112"/>
      <c r="O863" s="112"/>
      <c r="P863" s="112"/>
      <c r="Q863" s="112"/>
      <c r="R863" s="112"/>
      <c r="S863" s="112"/>
      <c r="T863" s="112"/>
      <c r="U863" s="112"/>
      <c r="V863" s="112"/>
      <c r="W863" s="112"/>
      <c r="X863" s="112"/>
      <c r="Y863" s="112"/>
      <c r="Z863" s="112"/>
    </row>
    <row r="864" spans="1:26" x14ac:dyDescent="0.2">
      <c r="A864" s="113">
        <f>'THE BOARD'!A631</f>
        <v>0</v>
      </c>
      <c r="B864" s="115">
        <f>'THE BOARD'!B631</f>
        <v>0</v>
      </c>
      <c r="C864" s="115"/>
      <c r="D864" s="115"/>
      <c r="E864" s="115"/>
      <c r="F864" s="115"/>
      <c r="G864" s="115"/>
      <c r="H864" s="115"/>
      <c r="I864" s="115"/>
      <c r="J864" s="115"/>
      <c r="K864" s="112"/>
      <c r="L864" s="112"/>
      <c r="M864" s="112"/>
      <c r="N864" s="112"/>
      <c r="O864" s="112"/>
      <c r="P864" s="112"/>
      <c r="Q864" s="112"/>
      <c r="R864" s="112"/>
      <c r="S864" s="112"/>
      <c r="T864" s="112"/>
      <c r="U864" s="112"/>
      <c r="V864" s="112"/>
      <c r="W864" s="112"/>
      <c r="X864" s="112"/>
      <c r="Y864" s="112"/>
      <c r="Z864" s="112"/>
    </row>
    <row r="865" spans="1:26" x14ac:dyDescent="0.2">
      <c r="A865" s="113">
        <f>'THE BOARD'!A632</f>
        <v>0</v>
      </c>
      <c r="B865" s="115">
        <f>'THE BOARD'!B632</f>
        <v>0</v>
      </c>
      <c r="C865" s="115"/>
      <c r="D865" s="115"/>
      <c r="E865" s="115"/>
      <c r="F865" s="115"/>
      <c r="G865" s="115"/>
      <c r="H865" s="115"/>
      <c r="I865" s="115"/>
      <c r="J865" s="115"/>
      <c r="K865" s="112"/>
      <c r="L865" s="112"/>
      <c r="M865" s="112"/>
      <c r="N865" s="112"/>
      <c r="O865" s="112"/>
      <c r="P865" s="112"/>
      <c r="Q865" s="112"/>
      <c r="R865" s="112"/>
      <c r="S865" s="112"/>
      <c r="T865" s="112"/>
      <c r="U865" s="112"/>
      <c r="V865" s="112"/>
      <c r="W865" s="112"/>
      <c r="X865" s="112"/>
      <c r="Y865" s="112"/>
      <c r="Z865" s="112"/>
    </row>
    <row r="866" spans="1:26" x14ac:dyDescent="0.2">
      <c r="A866" s="113">
        <f>'THE BOARD'!A633</f>
        <v>0</v>
      </c>
      <c r="B866" s="115">
        <f>'THE BOARD'!B633</f>
        <v>0</v>
      </c>
      <c r="C866" s="115"/>
      <c r="D866" s="115"/>
      <c r="E866" s="115"/>
      <c r="F866" s="115"/>
      <c r="G866" s="115"/>
      <c r="H866" s="115"/>
      <c r="I866" s="115"/>
      <c r="J866" s="115"/>
      <c r="K866" s="112"/>
      <c r="L866" s="112"/>
      <c r="M866" s="112"/>
      <c r="N866" s="112"/>
      <c r="O866" s="112"/>
      <c r="P866" s="112"/>
      <c r="Q866" s="112"/>
      <c r="R866" s="112"/>
      <c r="S866" s="112"/>
      <c r="T866" s="112"/>
      <c r="U866" s="112"/>
      <c r="V866" s="112"/>
      <c r="W866" s="112"/>
      <c r="X866" s="112"/>
      <c r="Y866" s="112"/>
      <c r="Z866" s="112"/>
    </row>
    <row r="867" spans="1:26" x14ac:dyDescent="0.2">
      <c r="A867" s="113">
        <f>'THE BOARD'!A634</f>
        <v>0</v>
      </c>
      <c r="B867" s="115">
        <f>'THE BOARD'!B634</f>
        <v>0</v>
      </c>
      <c r="C867" s="115"/>
      <c r="D867" s="115"/>
      <c r="E867" s="115"/>
      <c r="F867" s="115"/>
      <c r="G867" s="115"/>
      <c r="H867" s="115"/>
      <c r="I867" s="115"/>
      <c r="J867" s="115"/>
      <c r="K867" s="112"/>
      <c r="L867" s="112"/>
      <c r="M867" s="112"/>
      <c r="N867" s="112"/>
      <c r="O867" s="112"/>
      <c r="P867" s="112"/>
      <c r="Q867" s="112"/>
      <c r="R867" s="112"/>
      <c r="S867" s="112"/>
      <c r="T867" s="112"/>
      <c r="U867" s="112"/>
      <c r="V867" s="112"/>
      <c r="W867" s="112"/>
      <c r="X867" s="112"/>
      <c r="Y867" s="112"/>
      <c r="Z867" s="112"/>
    </row>
    <row r="868" spans="1:26" x14ac:dyDescent="0.2">
      <c r="A868" s="113">
        <f>'THE BOARD'!A635</f>
        <v>0</v>
      </c>
      <c r="B868" s="115">
        <f>'THE BOARD'!B635</f>
        <v>0</v>
      </c>
      <c r="C868" s="115"/>
      <c r="D868" s="115"/>
      <c r="E868" s="115"/>
      <c r="F868" s="115"/>
      <c r="G868" s="115"/>
      <c r="H868" s="115"/>
      <c r="I868" s="115"/>
      <c r="J868" s="115"/>
      <c r="K868" s="112"/>
      <c r="L868" s="112"/>
      <c r="M868" s="112"/>
      <c r="N868" s="112"/>
      <c r="O868" s="112"/>
      <c r="P868" s="112"/>
      <c r="Q868" s="112"/>
      <c r="R868" s="112"/>
      <c r="S868" s="112"/>
      <c r="T868" s="112"/>
      <c r="U868" s="112"/>
      <c r="V868" s="112"/>
      <c r="W868" s="112"/>
      <c r="X868" s="112"/>
      <c r="Y868" s="112"/>
      <c r="Z868" s="112"/>
    </row>
    <row r="869" spans="1:26" x14ac:dyDescent="0.2">
      <c r="A869" s="113">
        <f>'THE BOARD'!A636</f>
        <v>0</v>
      </c>
      <c r="B869" s="115">
        <f>'THE BOARD'!B636</f>
        <v>0</v>
      </c>
      <c r="C869" s="115"/>
      <c r="D869" s="115"/>
      <c r="E869" s="115"/>
      <c r="F869" s="115"/>
      <c r="G869" s="115"/>
      <c r="H869" s="115"/>
      <c r="I869" s="115"/>
      <c r="J869" s="115"/>
      <c r="K869" s="112"/>
      <c r="L869" s="112"/>
      <c r="M869" s="112"/>
      <c r="N869" s="112"/>
      <c r="O869" s="112"/>
      <c r="P869" s="112"/>
      <c r="Q869" s="112"/>
      <c r="R869" s="112"/>
      <c r="S869" s="112"/>
      <c r="T869" s="112"/>
      <c r="U869" s="112"/>
      <c r="V869" s="112"/>
      <c r="W869" s="112"/>
      <c r="X869" s="112"/>
      <c r="Y869" s="112"/>
      <c r="Z869" s="112"/>
    </row>
    <row r="870" spans="1:26" x14ac:dyDescent="0.2">
      <c r="A870" s="113">
        <f>'THE BOARD'!A637</f>
        <v>0</v>
      </c>
      <c r="B870" s="115">
        <f>'THE BOARD'!B637</f>
        <v>0</v>
      </c>
      <c r="C870" s="115"/>
      <c r="D870" s="115"/>
      <c r="E870" s="115"/>
      <c r="F870" s="115"/>
      <c r="G870" s="115"/>
      <c r="H870" s="115"/>
      <c r="I870" s="115"/>
      <c r="J870" s="115"/>
      <c r="K870" s="112"/>
      <c r="L870" s="112"/>
      <c r="M870" s="112"/>
      <c r="N870" s="112"/>
      <c r="O870" s="112"/>
      <c r="P870" s="112"/>
      <c r="Q870" s="112"/>
      <c r="R870" s="112"/>
      <c r="S870" s="112"/>
      <c r="T870" s="112"/>
      <c r="U870" s="112"/>
      <c r="V870" s="112"/>
      <c r="W870" s="112"/>
      <c r="X870" s="112"/>
      <c r="Y870" s="112"/>
      <c r="Z870" s="112"/>
    </row>
    <row r="871" spans="1:26" x14ac:dyDescent="0.2">
      <c r="A871" s="113">
        <f>'THE BOARD'!A638</f>
        <v>0</v>
      </c>
      <c r="B871" s="115">
        <f>'THE BOARD'!B638</f>
        <v>0</v>
      </c>
      <c r="C871" s="115"/>
      <c r="D871" s="115"/>
      <c r="E871" s="115"/>
      <c r="F871" s="115"/>
      <c r="G871" s="115"/>
      <c r="H871" s="115"/>
      <c r="I871" s="115"/>
      <c r="J871" s="115"/>
      <c r="K871" s="112"/>
      <c r="L871" s="112"/>
      <c r="M871" s="112"/>
      <c r="N871" s="112"/>
      <c r="O871" s="112"/>
      <c r="P871" s="112"/>
      <c r="Q871" s="112"/>
      <c r="R871" s="112"/>
      <c r="S871" s="112"/>
      <c r="T871" s="112"/>
      <c r="U871" s="112"/>
      <c r="V871" s="112"/>
      <c r="W871" s="112"/>
      <c r="X871" s="112"/>
      <c r="Y871" s="112"/>
      <c r="Z871" s="112"/>
    </row>
    <row r="872" spans="1:26" x14ac:dyDescent="0.2">
      <c r="A872" s="113">
        <f>'THE BOARD'!A639</f>
        <v>0</v>
      </c>
      <c r="B872" s="115">
        <f>'THE BOARD'!B639</f>
        <v>0</v>
      </c>
      <c r="C872" s="115"/>
      <c r="D872" s="115"/>
      <c r="E872" s="115"/>
      <c r="F872" s="115"/>
      <c r="G872" s="115"/>
      <c r="H872" s="115"/>
      <c r="I872" s="115"/>
      <c r="J872" s="115"/>
      <c r="K872" s="112"/>
      <c r="L872" s="112"/>
      <c r="M872" s="112"/>
      <c r="N872" s="112"/>
      <c r="O872" s="112"/>
      <c r="P872" s="112"/>
      <c r="Q872" s="112"/>
      <c r="R872" s="112"/>
      <c r="S872" s="112"/>
      <c r="T872" s="112"/>
      <c r="U872" s="112"/>
      <c r="V872" s="112"/>
      <c r="W872" s="112"/>
      <c r="X872" s="112"/>
      <c r="Y872" s="112"/>
      <c r="Z872" s="112"/>
    </row>
    <row r="873" spans="1:26" x14ac:dyDescent="0.2">
      <c r="A873" s="113">
        <f>'THE BOARD'!A640</f>
        <v>0</v>
      </c>
      <c r="B873" s="115">
        <f>'THE BOARD'!B640</f>
        <v>0</v>
      </c>
      <c r="C873" s="115"/>
      <c r="D873" s="115"/>
      <c r="E873" s="115"/>
      <c r="F873" s="115"/>
      <c r="G873" s="115"/>
      <c r="H873" s="115"/>
      <c r="I873" s="115"/>
      <c r="J873" s="115"/>
      <c r="K873" s="112"/>
      <c r="L873" s="112"/>
      <c r="M873" s="112"/>
      <c r="N873" s="112"/>
      <c r="O873" s="112"/>
      <c r="P873" s="112"/>
      <c r="Q873" s="112"/>
      <c r="R873" s="112"/>
      <c r="S873" s="112"/>
      <c r="T873" s="112"/>
      <c r="U873" s="112"/>
      <c r="V873" s="112"/>
      <c r="W873" s="112"/>
      <c r="X873" s="112"/>
      <c r="Y873" s="112"/>
      <c r="Z873" s="112"/>
    </row>
    <row r="874" spans="1:26" x14ac:dyDescent="0.2">
      <c r="A874" s="113">
        <f>'THE BOARD'!A641</f>
        <v>0</v>
      </c>
      <c r="B874" s="115">
        <f>'THE BOARD'!B641</f>
        <v>0</v>
      </c>
      <c r="C874" s="115"/>
      <c r="D874" s="115"/>
      <c r="E874" s="115"/>
      <c r="F874" s="115"/>
      <c r="G874" s="115"/>
      <c r="H874" s="115"/>
      <c r="I874" s="115"/>
      <c r="J874" s="115"/>
      <c r="K874" s="112"/>
      <c r="L874" s="112"/>
      <c r="M874" s="112"/>
      <c r="N874" s="112"/>
      <c r="O874" s="112"/>
      <c r="P874" s="112"/>
      <c r="Q874" s="112"/>
      <c r="R874" s="112"/>
      <c r="S874" s="112"/>
      <c r="T874" s="112"/>
      <c r="U874" s="112"/>
      <c r="V874" s="112"/>
      <c r="W874" s="112"/>
      <c r="X874" s="112"/>
      <c r="Y874" s="112"/>
      <c r="Z874" s="112"/>
    </row>
    <row r="875" spans="1:26" x14ac:dyDescent="0.2">
      <c r="A875" s="113">
        <f>'THE BOARD'!A642</f>
        <v>0</v>
      </c>
      <c r="B875" s="115">
        <f>'THE BOARD'!B642</f>
        <v>0</v>
      </c>
      <c r="C875" s="115"/>
      <c r="D875" s="115"/>
      <c r="E875" s="115"/>
      <c r="F875" s="115"/>
      <c r="G875" s="115"/>
      <c r="H875" s="115"/>
      <c r="I875" s="115"/>
      <c r="J875" s="115"/>
      <c r="K875" s="112"/>
      <c r="L875" s="112"/>
      <c r="M875" s="112"/>
      <c r="N875" s="112"/>
      <c r="O875" s="112"/>
      <c r="P875" s="112"/>
      <c r="Q875" s="112"/>
      <c r="R875" s="112"/>
      <c r="S875" s="112"/>
      <c r="T875" s="112"/>
      <c r="U875" s="112"/>
      <c r="V875" s="112"/>
      <c r="W875" s="112"/>
      <c r="X875" s="112"/>
      <c r="Y875" s="112"/>
      <c r="Z875" s="112"/>
    </row>
    <row r="876" spans="1:26" x14ac:dyDescent="0.2">
      <c r="A876" s="113">
        <f>'THE BOARD'!A643</f>
        <v>0</v>
      </c>
      <c r="B876" s="115">
        <f>'THE BOARD'!B643</f>
        <v>0</v>
      </c>
      <c r="C876" s="115"/>
      <c r="D876" s="115"/>
      <c r="E876" s="115"/>
      <c r="F876" s="115"/>
      <c r="G876" s="115"/>
      <c r="H876" s="115"/>
      <c r="I876" s="115"/>
      <c r="J876" s="115"/>
      <c r="K876" s="112"/>
      <c r="L876" s="112"/>
      <c r="M876" s="112"/>
      <c r="N876" s="112"/>
      <c r="O876" s="112"/>
      <c r="P876" s="112"/>
      <c r="Q876" s="112"/>
      <c r="R876" s="112"/>
      <c r="S876" s="112"/>
      <c r="T876" s="112"/>
      <c r="U876" s="112"/>
      <c r="V876" s="112"/>
      <c r="W876" s="112"/>
      <c r="X876" s="112"/>
      <c r="Y876" s="112"/>
      <c r="Z876" s="112"/>
    </row>
    <row r="877" spans="1:26" x14ac:dyDescent="0.2">
      <c r="A877" s="113">
        <f>'THE BOARD'!A644</f>
        <v>0</v>
      </c>
      <c r="B877" s="115">
        <f>'THE BOARD'!B644</f>
        <v>0</v>
      </c>
      <c r="C877" s="115"/>
      <c r="D877" s="115"/>
      <c r="E877" s="115"/>
      <c r="F877" s="115"/>
      <c r="G877" s="115"/>
      <c r="H877" s="115"/>
      <c r="I877" s="115"/>
      <c r="J877" s="115"/>
      <c r="K877" s="112"/>
      <c r="L877" s="112"/>
      <c r="M877" s="112"/>
      <c r="N877" s="112"/>
      <c r="O877" s="112"/>
      <c r="P877" s="112"/>
      <c r="Q877" s="112"/>
      <c r="R877" s="112"/>
      <c r="S877" s="112"/>
      <c r="T877" s="112"/>
      <c r="U877" s="112"/>
      <c r="V877" s="112"/>
      <c r="W877" s="112"/>
      <c r="X877" s="112"/>
      <c r="Y877" s="112"/>
      <c r="Z877" s="112"/>
    </row>
    <row r="878" spans="1:26" x14ac:dyDescent="0.2">
      <c r="A878" s="113">
        <f>'THE BOARD'!A645</f>
        <v>0</v>
      </c>
      <c r="B878" s="115">
        <f>'THE BOARD'!B645</f>
        <v>0</v>
      </c>
      <c r="C878" s="115"/>
      <c r="D878" s="115"/>
      <c r="E878" s="115"/>
      <c r="F878" s="115"/>
      <c r="G878" s="115"/>
      <c r="H878" s="115"/>
      <c r="I878" s="115"/>
      <c r="J878" s="115"/>
      <c r="K878" s="112"/>
      <c r="L878" s="112"/>
      <c r="M878" s="112"/>
      <c r="N878" s="112"/>
      <c r="O878" s="112"/>
      <c r="P878" s="112"/>
      <c r="Q878" s="112"/>
      <c r="R878" s="112"/>
      <c r="S878" s="112"/>
      <c r="T878" s="112"/>
      <c r="U878" s="112"/>
      <c r="V878" s="112"/>
      <c r="W878" s="112"/>
      <c r="X878" s="112"/>
      <c r="Y878" s="112"/>
      <c r="Z878" s="112"/>
    </row>
    <row r="879" spans="1:26" x14ac:dyDescent="0.2">
      <c r="A879" s="113">
        <f>'THE BOARD'!A646</f>
        <v>0</v>
      </c>
      <c r="B879" s="115">
        <f>'THE BOARD'!B646</f>
        <v>0</v>
      </c>
      <c r="C879" s="115"/>
      <c r="D879" s="115"/>
      <c r="E879" s="115"/>
      <c r="F879" s="115"/>
      <c r="G879" s="115"/>
      <c r="H879" s="115"/>
      <c r="I879" s="115"/>
      <c r="J879" s="115"/>
      <c r="K879" s="112"/>
      <c r="L879" s="112"/>
      <c r="M879" s="112"/>
      <c r="N879" s="112"/>
      <c r="O879" s="112"/>
      <c r="P879" s="112"/>
      <c r="Q879" s="112"/>
      <c r="R879" s="112"/>
      <c r="S879" s="112"/>
      <c r="T879" s="112"/>
      <c r="U879" s="112"/>
      <c r="V879" s="112"/>
      <c r="W879" s="112"/>
      <c r="X879" s="112"/>
      <c r="Y879" s="112"/>
      <c r="Z879" s="112"/>
    </row>
    <row r="880" spans="1:26" x14ac:dyDescent="0.2">
      <c r="A880" s="113">
        <f>'THE BOARD'!A647</f>
        <v>0</v>
      </c>
      <c r="B880" s="115">
        <f>'THE BOARD'!B647</f>
        <v>0</v>
      </c>
      <c r="C880" s="115"/>
      <c r="D880" s="115"/>
      <c r="E880" s="115"/>
      <c r="F880" s="115"/>
      <c r="G880" s="115"/>
      <c r="H880" s="115"/>
      <c r="I880" s="115"/>
      <c r="J880" s="115"/>
      <c r="K880" s="112"/>
      <c r="L880" s="112"/>
      <c r="M880" s="112"/>
      <c r="N880" s="112"/>
      <c r="O880" s="112"/>
      <c r="P880" s="112"/>
      <c r="Q880" s="112"/>
      <c r="R880" s="112"/>
      <c r="S880" s="112"/>
      <c r="T880" s="112"/>
      <c r="U880" s="112"/>
      <c r="V880" s="112"/>
      <c r="W880" s="112"/>
      <c r="X880" s="112"/>
      <c r="Y880" s="112"/>
      <c r="Z880" s="112"/>
    </row>
    <row r="881" spans="1:26" x14ac:dyDescent="0.2">
      <c r="A881" s="113">
        <f>'THE BOARD'!A648</f>
        <v>0</v>
      </c>
      <c r="B881" s="115">
        <f>'THE BOARD'!B648</f>
        <v>0</v>
      </c>
      <c r="C881" s="115"/>
      <c r="D881" s="115"/>
      <c r="E881" s="115"/>
      <c r="F881" s="115"/>
      <c r="G881" s="115"/>
      <c r="H881" s="115"/>
      <c r="I881" s="115"/>
      <c r="J881" s="115"/>
      <c r="K881" s="112"/>
      <c r="L881" s="112"/>
      <c r="M881" s="112"/>
      <c r="N881" s="112"/>
      <c r="O881" s="112"/>
      <c r="P881" s="112"/>
      <c r="Q881" s="112"/>
      <c r="R881" s="112"/>
      <c r="S881" s="112"/>
      <c r="T881" s="112"/>
      <c r="U881" s="112"/>
      <c r="V881" s="112"/>
      <c r="W881" s="112"/>
      <c r="X881" s="112"/>
      <c r="Y881" s="112"/>
      <c r="Z881" s="112"/>
    </row>
    <row r="882" spans="1:26" x14ac:dyDescent="0.2">
      <c r="A882" s="113">
        <f>'THE BOARD'!A649</f>
        <v>0</v>
      </c>
      <c r="B882" s="115">
        <f>'THE BOARD'!B649</f>
        <v>0</v>
      </c>
      <c r="C882" s="115"/>
      <c r="D882" s="115"/>
      <c r="E882" s="115"/>
      <c r="F882" s="115"/>
      <c r="G882" s="115"/>
      <c r="H882" s="115"/>
      <c r="I882" s="115"/>
      <c r="J882" s="115"/>
      <c r="K882" s="112"/>
      <c r="L882" s="112"/>
      <c r="M882" s="112"/>
      <c r="N882" s="112"/>
      <c r="O882" s="112"/>
      <c r="P882" s="112"/>
      <c r="Q882" s="112"/>
      <c r="R882" s="112"/>
      <c r="S882" s="112"/>
      <c r="T882" s="112"/>
      <c r="U882" s="112"/>
      <c r="V882" s="112"/>
      <c r="W882" s="112"/>
      <c r="X882" s="112"/>
      <c r="Y882" s="112"/>
      <c r="Z882" s="112"/>
    </row>
    <row r="883" spans="1:26" x14ac:dyDescent="0.2">
      <c r="A883" s="113">
        <f>'THE BOARD'!A650</f>
        <v>0</v>
      </c>
      <c r="B883" s="115">
        <f>'THE BOARD'!B650</f>
        <v>0</v>
      </c>
      <c r="C883" s="115"/>
      <c r="D883" s="115"/>
      <c r="E883" s="115"/>
      <c r="F883" s="115"/>
      <c r="G883" s="115"/>
      <c r="H883" s="115"/>
      <c r="I883" s="115"/>
      <c r="J883" s="115"/>
      <c r="K883" s="112"/>
      <c r="L883" s="112"/>
      <c r="M883" s="112"/>
      <c r="N883" s="112"/>
      <c r="O883" s="112"/>
      <c r="P883" s="112"/>
      <c r="Q883" s="112"/>
      <c r="R883" s="112"/>
      <c r="S883" s="112"/>
      <c r="T883" s="112"/>
      <c r="U883" s="112"/>
      <c r="V883" s="112"/>
      <c r="W883" s="112"/>
      <c r="X883" s="112"/>
      <c r="Y883" s="112"/>
      <c r="Z883" s="112"/>
    </row>
    <row r="884" spans="1:26" x14ac:dyDescent="0.2">
      <c r="A884" s="113">
        <f>'THE BOARD'!A651</f>
        <v>0</v>
      </c>
      <c r="B884" s="115">
        <f>'THE BOARD'!B651</f>
        <v>0</v>
      </c>
      <c r="C884" s="115"/>
      <c r="D884" s="115"/>
      <c r="E884" s="115"/>
      <c r="F884" s="115"/>
      <c r="G884" s="115"/>
      <c r="H884" s="115"/>
      <c r="I884" s="115"/>
      <c r="J884" s="115"/>
      <c r="K884" s="112"/>
      <c r="L884" s="112"/>
      <c r="M884" s="112"/>
      <c r="N884" s="112"/>
      <c r="O884" s="112"/>
      <c r="P884" s="112"/>
      <c r="Q884" s="112"/>
      <c r="R884" s="112"/>
      <c r="S884" s="112"/>
      <c r="T884" s="112"/>
      <c r="U884" s="112"/>
      <c r="V884" s="112"/>
      <c r="W884" s="112"/>
      <c r="X884" s="112"/>
      <c r="Y884" s="112"/>
      <c r="Z884" s="112"/>
    </row>
    <row r="885" spans="1:26" x14ac:dyDescent="0.2">
      <c r="A885" s="113">
        <f>'THE BOARD'!A652</f>
        <v>0</v>
      </c>
      <c r="B885" s="115">
        <f>'THE BOARD'!B652</f>
        <v>0</v>
      </c>
      <c r="C885" s="115"/>
      <c r="D885" s="115"/>
      <c r="E885" s="115"/>
      <c r="F885" s="115"/>
      <c r="G885" s="115"/>
      <c r="H885" s="115"/>
      <c r="I885" s="115"/>
      <c r="J885" s="115"/>
      <c r="K885" s="112"/>
      <c r="L885" s="112"/>
      <c r="M885" s="112"/>
      <c r="N885" s="112"/>
      <c r="O885" s="112"/>
      <c r="P885" s="112"/>
      <c r="Q885" s="112"/>
      <c r="R885" s="112"/>
      <c r="S885" s="112"/>
      <c r="T885" s="112"/>
      <c r="U885" s="112"/>
      <c r="V885" s="112"/>
      <c r="W885" s="112"/>
      <c r="X885" s="112"/>
      <c r="Y885" s="112"/>
      <c r="Z885" s="112"/>
    </row>
    <row r="886" spans="1:26" x14ac:dyDescent="0.2">
      <c r="A886" s="113">
        <f>'THE BOARD'!A653</f>
        <v>0</v>
      </c>
      <c r="B886" s="115">
        <f>'THE BOARD'!B653</f>
        <v>0</v>
      </c>
      <c r="C886" s="115"/>
      <c r="D886" s="115"/>
      <c r="E886" s="115"/>
      <c r="F886" s="115"/>
      <c r="G886" s="115"/>
      <c r="H886" s="115"/>
      <c r="I886" s="115"/>
      <c r="J886" s="115"/>
      <c r="K886" s="112"/>
      <c r="L886" s="112"/>
      <c r="M886" s="112"/>
      <c r="N886" s="112"/>
      <c r="O886" s="112"/>
      <c r="P886" s="112"/>
      <c r="Q886" s="112"/>
      <c r="R886" s="112"/>
      <c r="S886" s="112"/>
      <c r="T886" s="112"/>
      <c r="U886" s="112"/>
      <c r="V886" s="112"/>
      <c r="W886" s="112"/>
      <c r="X886" s="112"/>
      <c r="Y886" s="112"/>
      <c r="Z886" s="112"/>
    </row>
    <row r="887" spans="1:26" x14ac:dyDescent="0.2">
      <c r="A887" s="113">
        <f>'THE BOARD'!A654</f>
        <v>0</v>
      </c>
      <c r="B887" s="115">
        <f>'THE BOARD'!B654</f>
        <v>0</v>
      </c>
      <c r="C887" s="115"/>
      <c r="D887" s="115"/>
      <c r="E887" s="115"/>
      <c r="F887" s="115"/>
      <c r="G887" s="115"/>
      <c r="H887" s="115"/>
      <c r="I887" s="115"/>
      <c r="J887" s="115"/>
      <c r="K887" s="112"/>
      <c r="L887" s="112"/>
      <c r="M887" s="112"/>
      <c r="N887" s="112"/>
      <c r="O887" s="112"/>
      <c r="P887" s="112"/>
      <c r="Q887" s="112"/>
      <c r="R887" s="112"/>
      <c r="S887" s="112"/>
      <c r="T887" s="112"/>
      <c r="U887" s="112"/>
      <c r="V887" s="112"/>
      <c r="W887" s="112"/>
      <c r="X887" s="112"/>
      <c r="Y887" s="112"/>
      <c r="Z887" s="112"/>
    </row>
    <row r="888" spans="1:26" x14ac:dyDescent="0.2">
      <c r="A888" s="113">
        <f>'THE BOARD'!A655</f>
        <v>0</v>
      </c>
      <c r="B888" s="115">
        <f>'THE BOARD'!B655</f>
        <v>0</v>
      </c>
      <c r="C888" s="115"/>
      <c r="D888" s="115"/>
      <c r="E888" s="115"/>
      <c r="F888" s="115"/>
      <c r="G888" s="115"/>
      <c r="H888" s="115"/>
      <c r="I888" s="115"/>
      <c r="J888" s="115"/>
      <c r="K888" s="112"/>
      <c r="L888" s="112"/>
      <c r="M888" s="112"/>
      <c r="N888" s="112"/>
      <c r="O888" s="112"/>
      <c r="P888" s="112"/>
      <c r="Q888" s="112"/>
      <c r="R888" s="112"/>
      <c r="S888" s="112"/>
      <c r="T888" s="112"/>
      <c r="U888" s="112"/>
      <c r="V888" s="112"/>
      <c r="W888" s="112"/>
      <c r="X888" s="112"/>
      <c r="Y888" s="112"/>
      <c r="Z888" s="112"/>
    </row>
    <row r="889" spans="1:26" x14ac:dyDescent="0.2">
      <c r="A889" s="113">
        <f>'THE BOARD'!A656</f>
        <v>0</v>
      </c>
      <c r="B889" s="115">
        <f>'THE BOARD'!B656</f>
        <v>0</v>
      </c>
      <c r="C889" s="115"/>
      <c r="D889" s="115"/>
      <c r="E889" s="115"/>
      <c r="F889" s="115"/>
      <c r="G889" s="115"/>
      <c r="H889" s="115"/>
      <c r="I889" s="115"/>
      <c r="J889" s="115"/>
      <c r="K889" s="112"/>
      <c r="L889" s="112"/>
      <c r="M889" s="112"/>
      <c r="N889" s="112"/>
      <c r="O889" s="112"/>
      <c r="P889" s="112"/>
      <c r="Q889" s="112"/>
      <c r="R889" s="112"/>
      <c r="S889" s="112"/>
      <c r="T889" s="112"/>
      <c r="U889" s="112"/>
      <c r="V889" s="112"/>
      <c r="W889" s="112"/>
      <c r="X889" s="112"/>
      <c r="Y889" s="112"/>
      <c r="Z889" s="112"/>
    </row>
    <row r="890" spans="1:26" x14ac:dyDescent="0.2">
      <c r="A890" s="113">
        <f>'THE BOARD'!A657</f>
        <v>0</v>
      </c>
      <c r="B890" s="115">
        <f>'THE BOARD'!B657</f>
        <v>0</v>
      </c>
      <c r="C890" s="115"/>
      <c r="D890" s="115"/>
      <c r="E890" s="115"/>
      <c r="F890" s="115"/>
      <c r="G890" s="115"/>
      <c r="H890" s="115"/>
      <c r="I890" s="115"/>
      <c r="J890" s="115"/>
      <c r="K890" s="112"/>
      <c r="L890" s="112"/>
      <c r="M890" s="112"/>
      <c r="N890" s="112"/>
      <c r="O890" s="112"/>
      <c r="P890" s="112"/>
      <c r="Q890" s="112"/>
      <c r="R890" s="112"/>
      <c r="S890" s="112"/>
      <c r="T890" s="112"/>
      <c r="U890" s="112"/>
      <c r="V890" s="112"/>
      <c r="W890" s="112"/>
      <c r="X890" s="112"/>
      <c r="Y890" s="112"/>
      <c r="Z890" s="112"/>
    </row>
    <row r="891" spans="1:26" x14ac:dyDescent="0.2">
      <c r="A891" s="113">
        <f>'THE BOARD'!A658</f>
        <v>0</v>
      </c>
      <c r="B891" s="115">
        <f>'THE BOARD'!B658</f>
        <v>0</v>
      </c>
      <c r="C891" s="115"/>
      <c r="D891" s="115"/>
      <c r="E891" s="115"/>
      <c r="F891" s="115"/>
      <c r="G891" s="115"/>
      <c r="H891" s="115"/>
      <c r="I891" s="115"/>
      <c r="J891" s="115"/>
      <c r="K891" s="112"/>
      <c r="L891" s="112"/>
      <c r="M891" s="112"/>
      <c r="N891" s="112"/>
      <c r="O891" s="112"/>
      <c r="P891" s="112"/>
      <c r="Q891" s="112"/>
      <c r="R891" s="112"/>
      <c r="S891" s="112"/>
      <c r="T891" s="112"/>
      <c r="U891" s="112"/>
      <c r="V891" s="112"/>
      <c r="W891" s="112"/>
      <c r="X891" s="112"/>
      <c r="Y891" s="112"/>
      <c r="Z891" s="112"/>
    </row>
    <row r="892" spans="1:26" x14ac:dyDescent="0.2">
      <c r="A892" s="113">
        <f>'THE BOARD'!A659</f>
        <v>0</v>
      </c>
      <c r="B892" s="115">
        <f>'THE BOARD'!B659</f>
        <v>0</v>
      </c>
      <c r="C892" s="115"/>
      <c r="D892" s="115"/>
      <c r="E892" s="115"/>
      <c r="F892" s="115"/>
      <c r="G892" s="115"/>
      <c r="H892" s="115"/>
      <c r="I892" s="115"/>
      <c r="J892" s="115"/>
      <c r="K892" s="112"/>
      <c r="L892" s="112"/>
      <c r="M892" s="112"/>
      <c r="N892" s="112"/>
      <c r="O892" s="112"/>
      <c r="P892" s="112"/>
      <c r="Q892" s="112"/>
      <c r="R892" s="112"/>
      <c r="S892" s="112"/>
      <c r="T892" s="112"/>
      <c r="U892" s="112"/>
      <c r="V892" s="112"/>
      <c r="W892" s="112"/>
      <c r="X892" s="112"/>
      <c r="Y892" s="112"/>
      <c r="Z892" s="112"/>
    </row>
    <row r="893" spans="1:26" x14ac:dyDescent="0.2">
      <c r="A893" s="113">
        <f>'THE BOARD'!A660</f>
        <v>0</v>
      </c>
      <c r="B893" s="115">
        <f>'THE BOARD'!B660</f>
        <v>0</v>
      </c>
      <c r="C893" s="115"/>
      <c r="D893" s="115"/>
      <c r="E893" s="115"/>
      <c r="F893" s="115"/>
      <c r="G893" s="115"/>
      <c r="H893" s="115"/>
      <c r="I893" s="115"/>
      <c r="J893" s="115"/>
      <c r="K893" s="112"/>
      <c r="L893" s="112"/>
      <c r="M893" s="112"/>
      <c r="N893" s="112"/>
      <c r="O893" s="112"/>
      <c r="P893" s="112"/>
      <c r="Q893" s="112"/>
      <c r="R893" s="112"/>
      <c r="S893" s="112"/>
      <c r="T893" s="112"/>
      <c r="U893" s="112"/>
      <c r="V893" s="112"/>
      <c r="W893" s="112"/>
      <c r="X893" s="112"/>
      <c r="Y893" s="112"/>
      <c r="Z893" s="112"/>
    </row>
    <row r="894" spans="1:26" x14ac:dyDescent="0.2">
      <c r="A894" s="113">
        <f>'THE BOARD'!A661</f>
        <v>0</v>
      </c>
      <c r="B894" s="115">
        <f>'THE BOARD'!B661</f>
        <v>0</v>
      </c>
      <c r="C894" s="115"/>
      <c r="D894" s="115"/>
      <c r="E894" s="115"/>
      <c r="F894" s="115"/>
      <c r="G894" s="115"/>
      <c r="H894" s="115"/>
      <c r="I894" s="115"/>
      <c r="J894" s="115"/>
      <c r="K894" s="112"/>
      <c r="L894" s="112"/>
      <c r="M894" s="112"/>
      <c r="N894" s="112"/>
      <c r="O894" s="112"/>
      <c r="P894" s="112"/>
      <c r="Q894" s="112"/>
      <c r="R894" s="112"/>
      <c r="S894" s="112"/>
      <c r="T894" s="112"/>
      <c r="U894" s="112"/>
      <c r="V894" s="112"/>
      <c r="W894" s="112"/>
      <c r="X894" s="112"/>
      <c r="Y894" s="112"/>
      <c r="Z894" s="112"/>
    </row>
    <row r="895" spans="1:26" x14ac:dyDescent="0.2">
      <c r="A895" s="113">
        <f>'THE BOARD'!A662</f>
        <v>0</v>
      </c>
      <c r="B895" s="115">
        <f>'THE BOARD'!B662</f>
        <v>0</v>
      </c>
      <c r="C895" s="115"/>
      <c r="D895" s="115"/>
      <c r="E895" s="115"/>
      <c r="F895" s="115"/>
      <c r="G895" s="115"/>
      <c r="H895" s="115"/>
      <c r="I895" s="115"/>
      <c r="J895" s="115"/>
      <c r="K895" s="112"/>
      <c r="L895" s="112"/>
      <c r="M895" s="112"/>
      <c r="N895" s="112"/>
      <c r="O895" s="112"/>
      <c r="P895" s="112"/>
      <c r="Q895" s="112"/>
      <c r="R895" s="112"/>
      <c r="S895" s="112"/>
      <c r="T895" s="112"/>
      <c r="U895" s="112"/>
      <c r="V895" s="112"/>
      <c r="W895" s="112"/>
      <c r="X895" s="112"/>
      <c r="Y895" s="112"/>
      <c r="Z895" s="112"/>
    </row>
    <row r="896" spans="1:26" x14ac:dyDescent="0.2">
      <c r="A896" s="113">
        <f>'THE BOARD'!A663</f>
        <v>0</v>
      </c>
      <c r="B896" s="115">
        <f>'THE BOARD'!B663</f>
        <v>0</v>
      </c>
      <c r="C896" s="115"/>
      <c r="D896" s="115"/>
      <c r="E896" s="115"/>
      <c r="F896" s="115"/>
      <c r="G896" s="115"/>
      <c r="H896" s="115"/>
      <c r="I896" s="115"/>
      <c r="J896" s="115"/>
      <c r="K896" s="112"/>
      <c r="L896" s="112"/>
      <c r="M896" s="112"/>
      <c r="N896" s="112"/>
      <c r="O896" s="112"/>
      <c r="P896" s="112"/>
      <c r="Q896" s="112"/>
      <c r="R896" s="112"/>
      <c r="S896" s="112"/>
      <c r="T896" s="112"/>
      <c r="U896" s="112"/>
      <c r="V896" s="112"/>
      <c r="W896" s="112"/>
      <c r="X896" s="112"/>
      <c r="Y896" s="112"/>
      <c r="Z896" s="112"/>
    </row>
    <row r="897" spans="1:26" x14ac:dyDescent="0.2">
      <c r="A897" s="113">
        <f>'THE BOARD'!A664</f>
        <v>0</v>
      </c>
      <c r="B897" s="115">
        <f>'THE BOARD'!B664</f>
        <v>0</v>
      </c>
      <c r="C897" s="115"/>
      <c r="D897" s="115"/>
      <c r="E897" s="115"/>
      <c r="F897" s="115"/>
      <c r="G897" s="115"/>
      <c r="H897" s="115"/>
      <c r="I897" s="115"/>
      <c r="J897" s="115"/>
      <c r="K897" s="112"/>
      <c r="L897" s="112"/>
      <c r="M897" s="112"/>
      <c r="N897" s="112"/>
      <c r="O897" s="112"/>
      <c r="P897" s="112"/>
      <c r="Q897" s="112"/>
      <c r="R897" s="112"/>
      <c r="S897" s="112"/>
      <c r="T897" s="112"/>
      <c r="U897" s="112"/>
      <c r="V897" s="112"/>
      <c r="W897" s="112"/>
      <c r="X897" s="112"/>
      <c r="Y897" s="112"/>
      <c r="Z897" s="112"/>
    </row>
    <row r="898" spans="1:26" x14ac:dyDescent="0.2">
      <c r="A898" s="113">
        <f>'THE BOARD'!A665</f>
        <v>0</v>
      </c>
      <c r="B898" s="115">
        <f>'THE BOARD'!B665</f>
        <v>0</v>
      </c>
      <c r="C898" s="115"/>
      <c r="D898" s="115"/>
      <c r="E898" s="115"/>
      <c r="F898" s="115"/>
      <c r="G898" s="115"/>
      <c r="H898" s="115"/>
      <c r="I898" s="115"/>
      <c r="J898" s="115"/>
      <c r="K898" s="112"/>
      <c r="L898" s="112"/>
      <c r="M898" s="112"/>
      <c r="N898" s="112"/>
      <c r="O898" s="112"/>
      <c r="P898" s="112"/>
      <c r="Q898" s="112"/>
      <c r="R898" s="112"/>
      <c r="S898" s="112"/>
      <c r="T898" s="112"/>
      <c r="U898" s="112"/>
      <c r="V898" s="112"/>
      <c r="W898" s="112"/>
      <c r="X898" s="112"/>
      <c r="Y898" s="112"/>
      <c r="Z898" s="112"/>
    </row>
    <row r="899" spans="1:26" x14ac:dyDescent="0.2">
      <c r="A899" s="113">
        <f>'THE BOARD'!A666</f>
        <v>0</v>
      </c>
      <c r="B899" s="115">
        <f>'THE BOARD'!B666</f>
        <v>0</v>
      </c>
      <c r="C899" s="115"/>
      <c r="D899" s="115"/>
      <c r="E899" s="115"/>
      <c r="F899" s="115"/>
      <c r="G899" s="115"/>
      <c r="H899" s="115"/>
      <c r="I899" s="115"/>
      <c r="J899" s="115"/>
      <c r="K899" s="112"/>
      <c r="L899" s="112"/>
      <c r="M899" s="112"/>
      <c r="N899" s="112"/>
      <c r="O899" s="112"/>
      <c r="P899" s="112"/>
      <c r="Q899" s="112"/>
      <c r="R899" s="112"/>
      <c r="S899" s="112"/>
      <c r="T899" s="112"/>
      <c r="U899" s="112"/>
      <c r="V899" s="112"/>
      <c r="W899" s="112"/>
      <c r="X899" s="112"/>
      <c r="Y899" s="112"/>
      <c r="Z899" s="112"/>
    </row>
    <row r="900" spans="1:26" x14ac:dyDescent="0.2">
      <c r="A900" s="113">
        <f>'THE BOARD'!A667</f>
        <v>0</v>
      </c>
      <c r="B900" s="115">
        <f>'THE BOARD'!B667</f>
        <v>0</v>
      </c>
      <c r="C900" s="115"/>
      <c r="D900" s="115"/>
      <c r="E900" s="115"/>
      <c r="F900" s="115"/>
      <c r="G900" s="115"/>
      <c r="H900" s="115"/>
      <c r="I900" s="115"/>
      <c r="J900" s="115"/>
      <c r="K900" s="112"/>
      <c r="L900" s="112"/>
      <c r="M900" s="112"/>
      <c r="N900" s="112"/>
      <c r="O900" s="112"/>
      <c r="P900" s="112"/>
      <c r="Q900" s="112"/>
      <c r="R900" s="112"/>
      <c r="S900" s="112"/>
      <c r="T900" s="112"/>
      <c r="U900" s="112"/>
      <c r="V900" s="112"/>
      <c r="W900" s="112"/>
      <c r="X900" s="112"/>
      <c r="Y900" s="112"/>
      <c r="Z900" s="112"/>
    </row>
    <row r="901" spans="1:26" x14ac:dyDescent="0.2">
      <c r="A901" s="113">
        <f>'THE BOARD'!A668</f>
        <v>0</v>
      </c>
      <c r="B901" s="115">
        <f>'THE BOARD'!B668</f>
        <v>0</v>
      </c>
      <c r="C901" s="115"/>
      <c r="D901" s="115"/>
      <c r="E901" s="115"/>
      <c r="F901" s="115"/>
      <c r="G901" s="115"/>
      <c r="H901" s="115"/>
      <c r="I901" s="115"/>
      <c r="J901" s="115"/>
      <c r="K901" s="112"/>
      <c r="L901" s="112"/>
      <c r="M901" s="112"/>
      <c r="N901" s="112"/>
      <c r="O901" s="112"/>
      <c r="P901" s="112"/>
      <c r="Q901" s="112"/>
      <c r="R901" s="112"/>
      <c r="S901" s="112"/>
      <c r="T901" s="112"/>
      <c r="U901" s="112"/>
      <c r="V901" s="112"/>
      <c r="W901" s="112"/>
      <c r="X901" s="112"/>
      <c r="Y901" s="112"/>
      <c r="Z901" s="112"/>
    </row>
    <row r="902" spans="1:26" x14ac:dyDescent="0.2">
      <c r="A902" s="113">
        <f>'THE BOARD'!A669</f>
        <v>0</v>
      </c>
      <c r="B902" s="115">
        <f>'THE BOARD'!B669</f>
        <v>0</v>
      </c>
      <c r="C902" s="115"/>
      <c r="D902" s="115"/>
      <c r="E902" s="115"/>
      <c r="F902" s="115"/>
      <c r="G902" s="115"/>
      <c r="H902" s="115"/>
      <c r="I902" s="115"/>
      <c r="J902" s="115"/>
      <c r="K902" s="112"/>
      <c r="L902" s="112"/>
      <c r="M902" s="112"/>
      <c r="N902" s="112"/>
      <c r="O902" s="112"/>
      <c r="P902" s="112"/>
      <c r="Q902" s="112"/>
      <c r="R902" s="112"/>
      <c r="S902" s="112"/>
      <c r="T902" s="112"/>
      <c r="U902" s="112"/>
      <c r="V902" s="112"/>
      <c r="W902" s="112"/>
      <c r="X902" s="112"/>
      <c r="Y902" s="112"/>
      <c r="Z902" s="112"/>
    </row>
    <row r="903" spans="1:26" x14ac:dyDescent="0.2">
      <c r="A903" s="113">
        <f>'THE BOARD'!A670</f>
        <v>0</v>
      </c>
      <c r="B903" s="115">
        <f>'THE BOARD'!B670</f>
        <v>0</v>
      </c>
      <c r="C903" s="115"/>
      <c r="D903" s="115"/>
      <c r="E903" s="115"/>
      <c r="F903" s="115"/>
      <c r="G903" s="115"/>
      <c r="H903" s="115"/>
      <c r="I903" s="115"/>
      <c r="J903" s="115"/>
      <c r="K903" s="112"/>
      <c r="L903" s="112"/>
      <c r="M903" s="112"/>
      <c r="N903" s="112"/>
      <c r="O903" s="112"/>
      <c r="P903" s="112"/>
      <c r="Q903" s="112"/>
      <c r="R903" s="112"/>
      <c r="S903" s="112"/>
      <c r="T903" s="112"/>
      <c r="U903" s="112"/>
      <c r="V903" s="112"/>
      <c r="W903" s="112"/>
      <c r="X903" s="112"/>
      <c r="Y903" s="112"/>
      <c r="Z903" s="112"/>
    </row>
    <row r="904" spans="1:26" x14ac:dyDescent="0.2">
      <c r="A904" s="113">
        <f>'THE BOARD'!A671</f>
        <v>0</v>
      </c>
      <c r="B904" s="115">
        <f>'THE BOARD'!B671</f>
        <v>0</v>
      </c>
      <c r="C904" s="115"/>
      <c r="D904" s="115"/>
      <c r="E904" s="115"/>
      <c r="F904" s="115"/>
      <c r="G904" s="115"/>
      <c r="H904" s="115"/>
      <c r="I904" s="115"/>
      <c r="J904" s="115"/>
      <c r="K904" s="112"/>
      <c r="L904" s="112"/>
      <c r="M904" s="112"/>
      <c r="N904" s="112"/>
      <c r="O904" s="112"/>
      <c r="P904" s="112"/>
      <c r="Q904" s="112"/>
      <c r="R904" s="112"/>
      <c r="S904" s="112"/>
      <c r="T904" s="112"/>
      <c r="U904" s="112"/>
      <c r="V904" s="112"/>
      <c r="W904" s="112"/>
      <c r="X904" s="112"/>
      <c r="Y904" s="112"/>
      <c r="Z904" s="112"/>
    </row>
    <row r="905" spans="1:26" x14ac:dyDescent="0.2">
      <c r="A905" s="113">
        <f>'THE BOARD'!A672</f>
        <v>0</v>
      </c>
      <c r="B905" s="115">
        <f>'THE BOARD'!B672</f>
        <v>0</v>
      </c>
      <c r="C905" s="115"/>
      <c r="D905" s="115"/>
      <c r="E905" s="115"/>
      <c r="F905" s="115"/>
      <c r="G905" s="115"/>
      <c r="H905" s="115"/>
      <c r="I905" s="115"/>
      <c r="J905" s="115"/>
      <c r="K905" s="112"/>
      <c r="L905" s="112"/>
      <c r="M905" s="112"/>
      <c r="N905" s="112"/>
      <c r="O905" s="112"/>
      <c r="P905" s="112"/>
      <c r="Q905" s="112"/>
      <c r="R905" s="112"/>
      <c r="S905" s="112"/>
      <c r="T905" s="112"/>
      <c r="U905" s="112"/>
      <c r="V905" s="112"/>
      <c r="W905" s="112"/>
      <c r="X905" s="112"/>
      <c r="Y905" s="112"/>
      <c r="Z905" s="112"/>
    </row>
    <row r="906" spans="1:26" x14ac:dyDescent="0.2">
      <c r="A906" s="113">
        <f>'THE BOARD'!A673</f>
        <v>0</v>
      </c>
      <c r="B906" s="115">
        <f>'THE BOARD'!B673</f>
        <v>0</v>
      </c>
      <c r="C906" s="115"/>
      <c r="D906" s="115"/>
      <c r="E906" s="115"/>
      <c r="F906" s="115"/>
      <c r="G906" s="115"/>
      <c r="H906" s="115"/>
      <c r="I906" s="115"/>
      <c r="J906" s="115"/>
      <c r="K906" s="112"/>
      <c r="L906" s="112"/>
      <c r="M906" s="112"/>
      <c r="N906" s="112"/>
      <c r="O906" s="112"/>
      <c r="P906" s="112"/>
      <c r="Q906" s="112"/>
      <c r="R906" s="112"/>
      <c r="S906" s="112"/>
      <c r="T906" s="112"/>
      <c r="U906" s="112"/>
      <c r="V906" s="112"/>
      <c r="W906" s="112"/>
      <c r="X906" s="112"/>
      <c r="Y906" s="112"/>
      <c r="Z906" s="112"/>
    </row>
    <row r="907" spans="1:26" x14ac:dyDescent="0.2">
      <c r="A907" s="113">
        <f>'THE BOARD'!A674</f>
        <v>0</v>
      </c>
      <c r="B907" s="115">
        <f>'THE BOARD'!B674</f>
        <v>0</v>
      </c>
      <c r="C907" s="115"/>
      <c r="D907" s="115"/>
      <c r="E907" s="115"/>
      <c r="F907" s="115"/>
      <c r="G907" s="115"/>
      <c r="H907" s="115"/>
      <c r="I907" s="115"/>
      <c r="J907" s="115"/>
      <c r="K907" s="112"/>
      <c r="L907" s="112"/>
      <c r="M907" s="112"/>
      <c r="N907" s="112"/>
      <c r="O907" s="112"/>
      <c r="P907" s="112"/>
      <c r="Q907" s="112"/>
      <c r="R907" s="112"/>
      <c r="S907" s="112"/>
      <c r="T907" s="112"/>
      <c r="U907" s="112"/>
      <c r="V907" s="112"/>
      <c r="W907" s="112"/>
      <c r="X907" s="112"/>
      <c r="Y907" s="112"/>
      <c r="Z907" s="112"/>
    </row>
    <row r="908" spans="1:26" x14ac:dyDescent="0.2">
      <c r="A908" s="113">
        <f>'THE BOARD'!A675</f>
        <v>0</v>
      </c>
      <c r="B908" s="115">
        <f>'THE BOARD'!B675</f>
        <v>0</v>
      </c>
      <c r="C908" s="115"/>
      <c r="D908" s="115"/>
      <c r="E908" s="115"/>
      <c r="F908" s="115"/>
      <c r="G908" s="115"/>
      <c r="H908" s="115"/>
      <c r="I908" s="115"/>
      <c r="J908" s="115"/>
      <c r="K908" s="112"/>
      <c r="L908" s="112"/>
      <c r="M908" s="112"/>
      <c r="N908" s="112"/>
      <c r="O908" s="112"/>
      <c r="P908" s="112"/>
      <c r="Q908" s="112"/>
      <c r="R908" s="112"/>
      <c r="S908" s="112"/>
      <c r="T908" s="112"/>
      <c r="U908" s="112"/>
      <c r="V908" s="112"/>
      <c r="W908" s="112"/>
      <c r="X908" s="112"/>
      <c r="Y908" s="112"/>
      <c r="Z908" s="112"/>
    </row>
    <row r="909" spans="1:26" x14ac:dyDescent="0.2">
      <c r="A909" s="113">
        <f>'THE BOARD'!A676</f>
        <v>0</v>
      </c>
      <c r="B909" s="115">
        <f>'THE BOARD'!B676</f>
        <v>0</v>
      </c>
      <c r="C909" s="115"/>
      <c r="D909" s="115"/>
      <c r="E909" s="115"/>
      <c r="F909" s="115"/>
      <c r="G909" s="115"/>
      <c r="H909" s="115"/>
      <c r="I909" s="115"/>
      <c r="J909" s="115"/>
      <c r="K909" s="112"/>
      <c r="L909" s="112"/>
      <c r="M909" s="112"/>
      <c r="N909" s="112"/>
      <c r="O909" s="112"/>
      <c r="P909" s="112"/>
      <c r="Q909" s="112"/>
      <c r="R909" s="112"/>
      <c r="S909" s="112"/>
      <c r="T909" s="112"/>
      <c r="U909" s="112"/>
      <c r="V909" s="112"/>
      <c r="W909" s="112"/>
      <c r="X909" s="112"/>
      <c r="Y909" s="112"/>
      <c r="Z909" s="112"/>
    </row>
    <row r="910" spans="1:26" x14ac:dyDescent="0.2">
      <c r="A910" s="113">
        <f>'THE BOARD'!A677</f>
        <v>0</v>
      </c>
      <c r="B910" s="115">
        <f>'THE BOARD'!B677</f>
        <v>0</v>
      </c>
      <c r="C910" s="115"/>
      <c r="D910" s="115"/>
      <c r="E910" s="115"/>
      <c r="F910" s="115"/>
      <c r="G910" s="115"/>
      <c r="H910" s="115"/>
      <c r="I910" s="115"/>
      <c r="J910" s="115"/>
      <c r="K910" s="112"/>
      <c r="L910" s="112"/>
      <c r="M910" s="112"/>
      <c r="N910" s="112"/>
      <c r="O910" s="112"/>
      <c r="P910" s="112"/>
      <c r="Q910" s="112"/>
      <c r="R910" s="112"/>
      <c r="S910" s="112"/>
      <c r="T910" s="112"/>
      <c r="U910" s="112"/>
      <c r="V910" s="112"/>
      <c r="W910" s="112"/>
      <c r="X910" s="112"/>
      <c r="Y910" s="112"/>
      <c r="Z910" s="112"/>
    </row>
    <row r="911" spans="1:26" x14ac:dyDescent="0.2">
      <c r="A911" s="113">
        <f>'THE BOARD'!A678</f>
        <v>0</v>
      </c>
      <c r="B911" s="115">
        <f>'THE BOARD'!B678</f>
        <v>0</v>
      </c>
      <c r="C911" s="115"/>
      <c r="D911" s="115"/>
      <c r="E911" s="115"/>
      <c r="F911" s="115"/>
      <c r="G911" s="115"/>
      <c r="H911" s="115"/>
      <c r="I911" s="115"/>
      <c r="J911" s="115"/>
      <c r="K911" s="112"/>
      <c r="L911" s="112"/>
      <c r="M911" s="112"/>
      <c r="N911" s="112"/>
      <c r="O911" s="112"/>
      <c r="P911" s="112"/>
      <c r="Q911" s="112"/>
      <c r="R911" s="112"/>
      <c r="S911" s="112"/>
      <c r="T911" s="112"/>
      <c r="U911" s="112"/>
      <c r="V911" s="112"/>
      <c r="W911" s="112"/>
      <c r="X911" s="112"/>
      <c r="Y911" s="112"/>
      <c r="Z911" s="112"/>
    </row>
    <row r="912" spans="1:26" x14ac:dyDescent="0.2">
      <c r="A912" s="113">
        <f>'THE BOARD'!A679</f>
        <v>0</v>
      </c>
      <c r="B912" s="115">
        <f>'THE BOARD'!B679</f>
        <v>0</v>
      </c>
      <c r="C912" s="115"/>
      <c r="D912" s="115"/>
      <c r="E912" s="115"/>
      <c r="F912" s="115"/>
      <c r="G912" s="115"/>
      <c r="H912" s="115"/>
      <c r="I912" s="115"/>
      <c r="J912" s="115"/>
      <c r="K912" s="112"/>
      <c r="L912" s="112"/>
      <c r="M912" s="112"/>
      <c r="N912" s="112"/>
      <c r="O912" s="112"/>
      <c r="P912" s="112"/>
      <c r="Q912" s="112"/>
      <c r="R912" s="112"/>
      <c r="S912" s="112"/>
      <c r="T912" s="112"/>
      <c r="U912" s="112"/>
      <c r="V912" s="112"/>
      <c r="W912" s="112"/>
      <c r="X912" s="112"/>
      <c r="Y912" s="112"/>
      <c r="Z912" s="112"/>
    </row>
    <row r="913" spans="1:26" x14ac:dyDescent="0.2">
      <c r="A913" s="113">
        <f>'THE BOARD'!A680</f>
        <v>0</v>
      </c>
      <c r="B913" s="115">
        <f>'THE BOARD'!B680</f>
        <v>0</v>
      </c>
      <c r="C913" s="115"/>
      <c r="D913" s="115"/>
      <c r="E913" s="115"/>
      <c r="F913" s="115"/>
      <c r="G913" s="115"/>
      <c r="H913" s="115"/>
      <c r="I913" s="115"/>
      <c r="J913" s="115"/>
      <c r="K913" s="112"/>
      <c r="L913" s="112"/>
      <c r="M913" s="112"/>
      <c r="N913" s="112"/>
      <c r="O913" s="112"/>
      <c r="P913" s="112"/>
      <c r="Q913" s="112"/>
      <c r="R913" s="112"/>
      <c r="S913" s="112"/>
      <c r="T913" s="112"/>
      <c r="U913" s="112"/>
      <c r="V913" s="112"/>
      <c r="W913" s="112"/>
      <c r="X913" s="112"/>
      <c r="Y913" s="112"/>
      <c r="Z913" s="112"/>
    </row>
    <row r="914" spans="1:26" x14ac:dyDescent="0.2">
      <c r="A914" s="113">
        <f>'THE BOARD'!A681</f>
        <v>0</v>
      </c>
      <c r="B914" s="115">
        <f>'THE BOARD'!B681</f>
        <v>0</v>
      </c>
      <c r="C914" s="115"/>
      <c r="D914" s="115"/>
      <c r="E914" s="115"/>
      <c r="F914" s="115"/>
      <c r="G914" s="115"/>
      <c r="H914" s="115"/>
      <c r="I914" s="115"/>
      <c r="J914" s="115"/>
      <c r="K914" s="112"/>
      <c r="L914" s="112"/>
      <c r="M914" s="112"/>
      <c r="N914" s="112"/>
      <c r="O914" s="112"/>
      <c r="P914" s="112"/>
      <c r="Q914" s="112"/>
      <c r="R914" s="112"/>
      <c r="S914" s="112"/>
      <c r="T914" s="112"/>
      <c r="U914" s="112"/>
      <c r="V914" s="112"/>
      <c r="W914" s="112"/>
      <c r="X914" s="112"/>
      <c r="Y914" s="112"/>
      <c r="Z914" s="112"/>
    </row>
    <row r="915" spans="1:26" x14ac:dyDescent="0.2">
      <c r="A915" s="113">
        <f>'THE BOARD'!A682</f>
        <v>0</v>
      </c>
      <c r="B915" s="115">
        <f>'THE BOARD'!B682</f>
        <v>0</v>
      </c>
      <c r="C915" s="115"/>
      <c r="D915" s="115"/>
      <c r="E915" s="115"/>
      <c r="F915" s="115"/>
      <c r="G915" s="115"/>
      <c r="H915" s="115"/>
      <c r="I915" s="115"/>
      <c r="J915" s="115"/>
      <c r="K915" s="112"/>
      <c r="L915" s="112"/>
      <c r="M915" s="112"/>
      <c r="N915" s="112"/>
      <c r="O915" s="112"/>
      <c r="P915" s="112"/>
      <c r="Q915" s="112"/>
      <c r="R915" s="112"/>
      <c r="S915" s="112"/>
      <c r="T915" s="112"/>
      <c r="U915" s="112"/>
      <c r="V915" s="112"/>
      <c r="W915" s="112"/>
      <c r="X915" s="112"/>
      <c r="Y915" s="112"/>
      <c r="Z915" s="112"/>
    </row>
    <row r="916" spans="1:26" x14ac:dyDescent="0.2">
      <c r="A916" s="113">
        <f>'THE BOARD'!A683</f>
        <v>0</v>
      </c>
      <c r="B916" s="115">
        <f>'THE BOARD'!B683</f>
        <v>0</v>
      </c>
      <c r="C916" s="115"/>
      <c r="D916" s="115"/>
      <c r="E916" s="115"/>
      <c r="F916" s="115"/>
      <c r="G916" s="115"/>
      <c r="H916" s="115"/>
      <c r="I916" s="115"/>
      <c r="J916" s="115"/>
      <c r="K916" s="112"/>
      <c r="L916" s="112"/>
      <c r="M916" s="112"/>
      <c r="N916" s="112"/>
      <c r="O916" s="112"/>
      <c r="P916" s="112"/>
      <c r="Q916" s="112"/>
      <c r="R916" s="112"/>
      <c r="S916" s="112"/>
      <c r="T916" s="112"/>
      <c r="U916" s="112"/>
      <c r="V916" s="112"/>
      <c r="W916" s="112"/>
      <c r="X916" s="112"/>
      <c r="Y916" s="112"/>
      <c r="Z916" s="112"/>
    </row>
    <row r="917" spans="1:26" x14ac:dyDescent="0.2">
      <c r="A917" s="113">
        <f>'THE BOARD'!A684</f>
        <v>0</v>
      </c>
      <c r="B917" s="115">
        <f>'THE BOARD'!B684</f>
        <v>0</v>
      </c>
      <c r="C917" s="115"/>
      <c r="D917" s="115"/>
      <c r="E917" s="115"/>
      <c r="F917" s="115"/>
      <c r="G917" s="115"/>
      <c r="H917" s="115"/>
      <c r="I917" s="115"/>
      <c r="J917" s="115"/>
      <c r="K917" s="112"/>
      <c r="L917" s="112"/>
      <c r="M917" s="112"/>
      <c r="N917" s="112"/>
      <c r="O917" s="112"/>
      <c r="P917" s="112"/>
      <c r="Q917" s="112"/>
      <c r="R917" s="112"/>
      <c r="S917" s="112"/>
      <c r="T917" s="112"/>
      <c r="U917" s="112"/>
      <c r="V917" s="112"/>
      <c r="W917" s="112"/>
      <c r="X917" s="112"/>
      <c r="Y917" s="112"/>
      <c r="Z917" s="112"/>
    </row>
    <row r="918" spans="1:26" x14ac:dyDescent="0.2">
      <c r="A918" s="113">
        <f>'THE BOARD'!A685</f>
        <v>0</v>
      </c>
      <c r="B918" s="115">
        <f>'THE BOARD'!B685</f>
        <v>0</v>
      </c>
      <c r="C918" s="115"/>
      <c r="D918" s="115"/>
      <c r="E918" s="115"/>
      <c r="F918" s="115"/>
      <c r="G918" s="115"/>
      <c r="H918" s="115"/>
      <c r="I918" s="115"/>
      <c r="J918" s="115"/>
      <c r="K918" s="112"/>
      <c r="L918" s="112"/>
      <c r="M918" s="112"/>
      <c r="N918" s="112"/>
      <c r="O918" s="112"/>
      <c r="P918" s="112"/>
      <c r="Q918" s="112"/>
      <c r="R918" s="112"/>
      <c r="S918" s="112"/>
      <c r="T918" s="112"/>
      <c r="U918" s="112"/>
      <c r="V918" s="112"/>
      <c r="W918" s="112"/>
      <c r="X918" s="112"/>
      <c r="Y918" s="112"/>
      <c r="Z918" s="112"/>
    </row>
    <row r="919" spans="1:26" x14ac:dyDescent="0.2">
      <c r="A919" s="113">
        <f>'THE BOARD'!A686</f>
        <v>0</v>
      </c>
      <c r="B919" s="115">
        <f>'THE BOARD'!B686</f>
        <v>0</v>
      </c>
      <c r="C919" s="115"/>
      <c r="D919" s="115"/>
      <c r="E919" s="115"/>
      <c r="F919" s="115"/>
      <c r="G919" s="115"/>
      <c r="H919" s="115"/>
      <c r="I919" s="115"/>
      <c r="J919" s="115"/>
      <c r="K919" s="112"/>
      <c r="L919" s="112"/>
      <c r="M919" s="112"/>
      <c r="N919" s="112"/>
      <c r="O919" s="112"/>
      <c r="P919" s="112"/>
      <c r="Q919" s="112"/>
      <c r="R919" s="112"/>
      <c r="S919" s="112"/>
      <c r="T919" s="112"/>
      <c r="U919" s="112"/>
      <c r="V919" s="112"/>
      <c r="W919" s="112"/>
      <c r="X919" s="112"/>
      <c r="Y919" s="112"/>
      <c r="Z919" s="112"/>
    </row>
    <row r="920" spans="1:26" x14ac:dyDescent="0.2">
      <c r="A920" s="113">
        <f>'THE BOARD'!A687</f>
        <v>0</v>
      </c>
      <c r="B920" s="115">
        <f>'THE BOARD'!B687</f>
        <v>0</v>
      </c>
      <c r="C920" s="115"/>
      <c r="D920" s="115"/>
      <c r="E920" s="115"/>
      <c r="F920" s="115"/>
      <c r="G920" s="115"/>
      <c r="H920" s="115"/>
      <c r="I920" s="115"/>
      <c r="J920" s="115"/>
      <c r="K920" s="112"/>
      <c r="L920" s="112"/>
      <c r="M920" s="112"/>
      <c r="N920" s="112"/>
      <c r="O920" s="112"/>
      <c r="P920" s="112"/>
      <c r="Q920" s="112"/>
      <c r="R920" s="112"/>
      <c r="S920" s="112"/>
      <c r="T920" s="112"/>
      <c r="U920" s="112"/>
      <c r="V920" s="112"/>
      <c r="W920" s="112"/>
      <c r="X920" s="112"/>
      <c r="Y920" s="112"/>
      <c r="Z920" s="112"/>
    </row>
    <row r="921" spans="1:26" x14ac:dyDescent="0.2">
      <c r="A921" s="113">
        <f>'THE BOARD'!A688</f>
        <v>0</v>
      </c>
      <c r="B921" s="115">
        <f>'THE BOARD'!B688</f>
        <v>0</v>
      </c>
      <c r="C921" s="115"/>
      <c r="D921" s="115"/>
      <c r="E921" s="115"/>
      <c r="F921" s="115"/>
      <c r="G921" s="115"/>
      <c r="H921" s="115"/>
      <c r="I921" s="115"/>
      <c r="J921" s="115"/>
      <c r="K921" s="112"/>
      <c r="L921" s="112"/>
      <c r="M921" s="112"/>
      <c r="N921" s="112"/>
      <c r="O921" s="112"/>
      <c r="P921" s="112"/>
      <c r="Q921" s="112"/>
      <c r="R921" s="112"/>
      <c r="S921" s="112"/>
      <c r="T921" s="112"/>
      <c r="U921" s="112"/>
      <c r="V921" s="112"/>
      <c r="W921" s="112"/>
      <c r="X921" s="112"/>
      <c r="Y921" s="112"/>
      <c r="Z921" s="112"/>
    </row>
    <row r="922" spans="1:26" x14ac:dyDescent="0.2">
      <c r="A922" s="113">
        <f>'THE BOARD'!A689</f>
        <v>0</v>
      </c>
      <c r="B922" s="115">
        <f>'THE BOARD'!B689</f>
        <v>0</v>
      </c>
      <c r="C922" s="115"/>
      <c r="D922" s="115"/>
      <c r="E922" s="115"/>
      <c r="F922" s="115"/>
      <c r="G922" s="115"/>
      <c r="H922" s="115"/>
      <c r="I922" s="115"/>
      <c r="J922" s="115"/>
      <c r="K922" s="112"/>
      <c r="L922" s="112"/>
      <c r="M922" s="112"/>
      <c r="N922" s="112"/>
      <c r="O922" s="112"/>
      <c r="P922" s="112"/>
      <c r="Q922" s="112"/>
      <c r="R922" s="112"/>
      <c r="S922" s="112"/>
      <c r="T922" s="112"/>
      <c r="U922" s="112"/>
      <c r="V922" s="112"/>
      <c r="W922" s="112"/>
      <c r="X922" s="112"/>
      <c r="Y922" s="112"/>
      <c r="Z922" s="112"/>
    </row>
    <row r="923" spans="1:26" x14ac:dyDescent="0.2">
      <c r="A923" s="113">
        <f>'THE BOARD'!A690</f>
        <v>0</v>
      </c>
      <c r="B923" s="115">
        <f>'THE BOARD'!B690</f>
        <v>0</v>
      </c>
      <c r="C923" s="115"/>
      <c r="D923" s="115"/>
      <c r="E923" s="115"/>
      <c r="F923" s="115"/>
      <c r="G923" s="115"/>
      <c r="H923" s="115"/>
      <c r="I923" s="115"/>
      <c r="J923" s="115"/>
      <c r="K923" s="112"/>
      <c r="L923" s="112"/>
      <c r="M923" s="112"/>
      <c r="N923" s="112"/>
      <c r="O923" s="112"/>
      <c r="P923" s="112"/>
      <c r="Q923" s="112"/>
      <c r="R923" s="112"/>
      <c r="S923" s="112"/>
      <c r="T923" s="112"/>
      <c r="U923" s="112"/>
      <c r="V923" s="112"/>
      <c r="W923" s="112"/>
      <c r="X923" s="112"/>
      <c r="Y923" s="112"/>
      <c r="Z923" s="112"/>
    </row>
    <row r="924" spans="1:26" x14ac:dyDescent="0.2">
      <c r="A924" s="113">
        <f>'THE BOARD'!A691</f>
        <v>0</v>
      </c>
      <c r="B924" s="115">
        <f>'THE BOARD'!B691</f>
        <v>0</v>
      </c>
      <c r="C924" s="115"/>
      <c r="D924" s="115"/>
      <c r="E924" s="115"/>
      <c r="F924" s="115"/>
      <c r="G924" s="115"/>
      <c r="H924" s="115"/>
      <c r="I924" s="115"/>
      <c r="J924" s="115"/>
      <c r="K924" s="112"/>
      <c r="L924" s="112"/>
      <c r="M924" s="112"/>
      <c r="N924" s="112"/>
      <c r="O924" s="112"/>
      <c r="P924" s="112"/>
      <c r="Q924" s="112"/>
      <c r="R924" s="112"/>
      <c r="S924" s="112"/>
      <c r="T924" s="112"/>
      <c r="U924" s="112"/>
      <c r="V924" s="112"/>
      <c r="W924" s="112"/>
      <c r="X924" s="112"/>
      <c r="Y924" s="112"/>
      <c r="Z924" s="112"/>
    </row>
    <row r="925" spans="1:26" x14ac:dyDescent="0.2">
      <c r="A925" s="113">
        <f>'THE BOARD'!A692</f>
        <v>0</v>
      </c>
      <c r="B925" s="115">
        <f>'THE BOARD'!B692</f>
        <v>0</v>
      </c>
      <c r="C925" s="115"/>
      <c r="D925" s="115"/>
      <c r="E925" s="115"/>
      <c r="F925" s="115"/>
      <c r="G925" s="115"/>
      <c r="H925" s="115"/>
      <c r="I925" s="115"/>
      <c r="J925" s="115"/>
      <c r="K925" s="112"/>
      <c r="L925" s="112"/>
      <c r="M925" s="112"/>
      <c r="N925" s="112"/>
      <c r="O925" s="112"/>
      <c r="P925" s="112"/>
      <c r="Q925" s="112"/>
      <c r="R925" s="112"/>
      <c r="S925" s="112"/>
      <c r="T925" s="112"/>
      <c r="U925" s="112"/>
      <c r="V925" s="112"/>
      <c r="W925" s="112"/>
      <c r="X925" s="112"/>
      <c r="Y925" s="112"/>
      <c r="Z925" s="112"/>
    </row>
    <row r="926" spans="1:26" x14ac:dyDescent="0.2">
      <c r="A926" s="113">
        <f>'THE BOARD'!A693</f>
        <v>0</v>
      </c>
      <c r="B926" s="115">
        <f>'THE BOARD'!B693</f>
        <v>0</v>
      </c>
      <c r="C926" s="115"/>
      <c r="D926" s="115"/>
      <c r="E926" s="115"/>
      <c r="F926" s="115"/>
      <c r="G926" s="115"/>
      <c r="H926" s="115"/>
      <c r="I926" s="115"/>
      <c r="J926" s="115"/>
      <c r="K926" s="112"/>
      <c r="L926" s="112"/>
      <c r="M926" s="112"/>
      <c r="N926" s="112"/>
      <c r="O926" s="112"/>
      <c r="P926" s="112"/>
      <c r="Q926" s="112"/>
      <c r="R926" s="112"/>
      <c r="S926" s="112"/>
      <c r="T926" s="112"/>
      <c r="U926" s="112"/>
      <c r="V926" s="112"/>
      <c r="W926" s="112"/>
      <c r="X926" s="112"/>
      <c r="Y926" s="112"/>
      <c r="Z926" s="112"/>
    </row>
    <row r="927" spans="1:26" x14ac:dyDescent="0.2">
      <c r="A927" s="113">
        <f>'THE BOARD'!A694</f>
        <v>0</v>
      </c>
      <c r="B927" s="115">
        <f>'THE BOARD'!B694</f>
        <v>0</v>
      </c>
      <c r="C927" s="115"/>
      <c r="D927" s="115"/>
      <c r="E927" s="115"/>
      <c r="F927" s="115"/>
      <c r="G927" s="115"/>
      <c r="H927" s="115"/>
      <c r="I927" s="115"/>
      <c r="J927" s="115"/>
      <c r="K927" s="112"/>
      <c r="L927" s="112"/>
      <c r="M927" s="112"/>
      <c r="N927" s="112"/>
      <c r="O927" s="112"/>
      <c r="P927" s="112"/>
      <c r="Q927" s="112"/>
      <c r="R927" s="112"/>
      <c r="S927" s="112"/>
      <c r="T927" s="112"/>
      <c r="U927" s="112"/>
      <c r="V927" s="112"/>
      <c r="W927" s="112"/>
      <c r="X927" s="112"/>
      <c r="Y927" s="112"/>
      <c r="Z927" s="112"/>
    </row>
    <row r="928" spans="1:26" x14ac:dyDescent="0.2">
      <c r="A928" s="113">
        <f>'THE BOARD'!A695</f>
        <v>0</v>
      </c>
      <c r="B928" s="115">
        <f>'THE BOARD'!B695</f>
        <v>0</v>
      </c>
      <c r="C928" s="115"/>
      <c r="D928" s="115"/>
      <c r="E928" s="115"/>
      <c r="F928" s="115"/>
      <c r="G928" s="115"/>
      <c r="H928" s="115"/>
      <c r="I928" s="115"/>
      <c r="J928" s="115"/>
      <c r="K928" s="112"/>
      <c r="L928" s="112"/>
      <c r="M928" s="112"/>
      <c r="N928" s="112"/>
      <c r="O928" s="112"/>
      <c r="P928" s="112"/>
      <c r="Q928" s="112"/>
      <c r="R928" s="112"/>
      <c r="S928" s="112"/>
      <c r="T928" s="112"/>
      <c r="U928" s="112"/>
      <c r="V928" s="112"/>
      <c r="W928" s="112"/>
      <c r="X928" s="112"/>
      <c r="Y928" s="112"/>
      <c r="Z928" s="112"/>
    </row>
    <row r="929" spans="1:26" x14ac:dyDescent="0.2">
      <c r="A929" s="113">
        <f>'THE BOARD'!A696</f>
        <v>0</v>
      </c>
      <c r="B929" s="115">
        <f>'THE BOARD'!B696</f>
        <v>0</v>
      </c>
      <c r="C929" s="115"/>
      <c r="D929" s="115"/>
      <c r="E929" s="115"/>
      <c r="F929" s="115"/>
      <c r="G929" s="115"/>
      <c r="H929" s="115"/>
      <c r="I929" s="115"/>
      <c r="J929" s="115"/>
      <c r="K929" s="112"/>
      <c r="L929" s="112"/>
      <c r="M929" s="112"/>
      <c r="N929" s="112"/>
      <c r="O929" s="112"/>
      <c r="P929" s="112"/>
      <c r="Q929" s="112"/>
      <c r="R929" s="112"/>
      <c r="S929" s="112"/>
      <c r="T929" s="112"/>
      <c r="U929" s="112"/>
      <c r="V929" s="112"/>
      <c r="W929" s="112"/>
      <c r="X929" s="112"/>
      <c r="Y929" s="112"/>
      <c r="Z929" s="112"/>
    </row>
    <row r="930" spans="1:26" x14ac:dyDescent="0.2">
      <c r="A930" s="113">
        <f>'THE BOARD'!A697</f>
        <v>0</v>
      </c>
      <c r="B930" s="115">
        <f>'THE BOARD'!B697</f>
        <v>0</v>
      </c>
      <c r="C930" s="115"/>
      <c r="D930" s="115"/>
      <c r="E930" s="115"/>
      <c r="F930" s="115"/>
      <c r="G930" s="115"/>
      <c r="H930" s="115"/>
      <c r="I930" s="115"/>
      <c r="J930" s="115"/>
      <c r="K930" s="112"/>
      <c r="L930" s="112"/>
      <c r="M930" s="112"/>
      <c r="N930" s="112"/>
      <c r="O930" s="112"/>
      <c r="P930" s="112"/>
      <c r="Q930" s="112"/>
      <c r="R930" s="112"/>
      <c r="S930" s="112"/>
      <c r="T930" s="112"/>
      <c r="U930" s="112"/>
      <c r="V930" s="112"/>
      <c r="W930" s="112"/>
      <c r="X930" s="112"/>
      <c r="Y930" s="112"/>
      <c r="Z930" s="112"/>
    </row>
    <row r="931" spans="1:26" x14ac:dyDescent="0.2">
      <c r="A931" s="113">
        <f>'THE BOARD'!A698</f>
        <v>0</v>
      </c>
      <c r="B931" s="115">
        <f>'THE BOARD'!B698</f>
        <v>0</v>
      </c>
      <c r="C931" s="115"/>
      <c r="D931" s="115"/>
      <c r="E931" s="115"/>
      <c r="F931" s="115"/>
      <c r="G931" s="115"/>
      <c r="H931" s="115"/>
      <c r="I931" s="115"/>
      <c r="J931" s="115"/>
      <c r="K931" s="112"/>
      <c r="L931" s="112"/>
      <c r="M931" s="112"/>
      <c r="N931" s="112"/>
      <c r="O931" s="112"/>
      <c r="P931" s="112"/>
      <c r="Q931" s="112"/>
      <c r="R931" s="112"/>
      <c r="S931" s="112"/>
      <c r="T931" s="112"/>
      <c r="U931" s="112"/>
      <c r="V931" s="112"/>
      <c r="W931" s="112"/>
      <c r="X931" s="112"/>
      <c r="Y931" s="112"/>
      <c r="Z931" s="112"/>
    </row>
    <row r="932" spans="1:26" x14ac:dyDescent="0.2">
      <c r="A932" s="113">
        <f>'THE BOARD'!A699</f>
        <v>0</v>
      </c>
      <c r="B932" s="115">
        <f>'THE BOARD'!B699</f>
        <v>0</v>
      </c>
      <c r="C932" s="115"/>
      <c r="D932" s="115"/>
      <c r="E932" s="115"/>
      <c r="F932" s="115"/>
      <c r="G932" s="115"/>
      <c r="H932" s="115"/>
      <c r="I932" s="115"/>
      <c r="J932" s="115"/>
      <c r="K932" s="112"/>
      <c r="L932" s="112"/>
      <c r="M932" s="112"/>
      <c r="N932" s="112"/>
      <c r="O932" s="112"/>
      <c r="P932" s="112"/>
      <c r="Q932" s="112"/>
      <c r="R932" s="112"/>
      <c r="S932" s="112"/>
      <c r="T932" s="112"/>
      <c r="U932" s="112"/>
      <c r="V932" s="112"/>
      <c r="W932" s="112"/>
      <c r="X932" s="112"/>
      <c r="Y932" s="112"/>
      <c r="Z932" s="112"/>
    </row>
    <row r="933" spans="1:26" x14ac:dyDescent="0.2">
      <c r="A933" s="113">
        <f>'THE BOARD'!A700</f>
        <v>0</v>
      </c>
      <c r="B933" s="115">
        <f>'THE BOARD'!B700</f>
        <v>0</v>
      </c>
      <c r="C933" s="115"/>
      <c r="D933" s="115"/>
      <c r="E933" s="115"/>
      <c r="F933" s="115"/>
      <c r="G933" s="115"/>
      <c r="H933" s="115"/>
      <c r="I933" s="115"/>
      <c r="J933" s="115"/>
      <c r="K933" s="112"/>
      <c r="L933" s="112"/>
      <c r="M933" s="112"/>
      <c r="N933" s="112"/>
      <c r="O933" s="112"/>
      <c r="P933" s="112"/>
      <c r="Q933" s="112"/>
      <c r="R933" s="112"/>
      <c r="S933" s="112"/>
      <c r="T933" s="112"/>
      <c r="U933" s="112"/>
      <c r="V933" s="112"/>
      <c r="W933" s="112"/>
      <c r="X933" s="112"/>
      <c r="Y933" s="112"/>
      <c r="Z933" s="112"/>
    </row>
    <row r="934" spans="1:26" x14ac:dyDescent="0.2">
      <c r="A934" s="113">
        <f>'THE BOARD'!A701</f>
        <v>0</v>
      </c>
      <c r="B934" s="115">
        <f>'THE BOARD'!B701</f>
        <v>0</v>
      </c>
      <c r="C934" s="115"/>
      <c r="D934" s="115"/>
      <c r="E934" s="115"/>
      <c r="F934" s="115"/>
      <c r="G934" s="115"/>
      <c r="H934" s="115"/>
      <c r="I934" s="115"/>
      <c r="J934" s="115"/>
      <c r="K934" s="112"/>
      <c r="L934" s="112"/>
      <c r="M934" s="112"/>
      <c r="N934" s="112"/>
      <c r="O934" s="112"/>
      <c r="P934" s="112"/>
      <c r="Q934" s="112"/>
      <c r="R934" s="112"/>
      <c r="S934" s="112"/>
      <c r="T934" s="112"/>
      <c r="U934" s="112"/>
      <c r="V934" s="112"/>
      <c r="W934" s="112"/>
      <c r="X934" s="112"/>
      <c r="Y934" s="112"/>
      <c r="Z934" s="112"/>
    </row>
    <row r="935" spans="1:26" x14ac:dyDescent="0.2">
      <c r="A935" s="113">
        <f>'THE BOARD'!A702</f>
        <v>0</v>
      </c>
      <c r="B935" s="115">
        <f>'THE BOARD'!B702</f>
        <v>0</v>
      </c>
      <c r="C935" s="115"/>
      <c r="D935" s="115"/>
      <c r="E935" s="115"/>
      <c r="F935" s="115"/>
      <c r="G935" s="115"/>
      <c r="H935" s="115"/>
      <c r="I935" s="115"/>
      <c r="J935" s="115"/>
      <c r="K935" s="112"/>
      <c r="L935" s="112"/>
      <c r="M935" s="112"/>
      <c r="N935" s="112"/>
      <c r="O935" s="112"/>
      <c r="P935" s="112"/>
      <c r="Q935" s="112"/>
      <c r="R935" s="112"/>
      <c r="S935" s="112"/>
      <c r="T935" s="112"/>
      <c r="U935" s="112"/>
      <c r="V935" s="112"/>
      <c r="W935" s="112"/>
      <c r="X935" s="112"/>
      <c r="Y935" s="112"/>
      <c r="Z935" s="112"/>
    </row>
    <row r="936" spans="1:26" x14ac:dyDescent="0.2">
      <c r="A936" s="113">
        <f>'THE BOARD'!A703</f>
        <v>0</v>
      </c>
      <c r="B936" s="115">
        <f>'THE BOARD'!B703</f>
        <v>0</v>
      </c>
      <c r="C936" s="115"/>
      <c r="D936" s="115"/>
      <c r="E936" s="115"/>
      <c r="F936" s="115"/>
      <c r="G936" s="115"/>
      <c r="H936" s="115"/>
      <c r="I936" s="115"/>
      <c r="J936" s="115"/>
      <c r="K936" s="112"/>
      <c r="L936" s="112"/>
      <c r="M936" s="112"/>
      <c r="N936" s="112"/>
      <c r="O936" s="112"/>
      <c r="P936" s="112"/>
      <c r="Q936" s="112"/>
      <c r="R936" s="112"/>
      <c r="S936" s="112"/>
      <c r="T936" s="112"/>
      <c r="U936" s="112"/>
      <c r="V936" s="112"/>
      <c r="W936" s="112"/>
      <c r="X936" s="112"/>
      <c r="Y936" s="112"/>
      <c r="Z936" s="112"/>
    </row>
    <row r="937" spans="1:26" x14ac:dyDescent="0.2">
      <c r="A937" s="113">
        <f>'THE BOARD'!A704</f>
        <v>0</v>
      </c>
      <c r="B937" s="115">
        <f>'THE BOARD'!B704</f>
        <v>0</v>
      </c>
      <c r="C937" s="115"/>
      <c r="D937" s="115"/>
      <c r="E937" s="115"/>
      <c r="F937" s="115"/>
      <c r="G937" s="115"/>
      <c r="H937" s="115"/>
      <c r="I937" s="115"/>
      <c r="J937" s="115"/>
      <c r="K937" s="112"/>
      <c r="L937" s="112"/>
      <c r="M937" s="112"/>
      <c r="N937" s="112"/>
      <c r="O937" s="112"/>
      <c r="P937" s="112"/>
      <c r="Q937" s="112"/>
      <c r="R937" s="112"/>
      <c r="S937" s="112"/>
      <c r="T937" s="112"/>
      <c r="U937" s="112"/>
      <c r="V937" s="112"/>
      <c r="W937" s="112"/>
      <c r="X937" s="112"/>
      <c r="Y937" s="112"/>
      <c r="Z937" s="112"/>
    </row>
    <row r="938" spans="1:26" x14ac:dyDescent="0.2">
      <c r="A938" s="113">
        <f>'THE BOARD'!A705</f>
        <v>0</v>
      </c>
      <c r="B938" s="115">
        <f>'THE BOARD'!B705</f>
        <v>0</v>
      </c>
      <c r="C938" s="115"/>
      <c r="D938" s="115"/>
      <c r="E938" s="115"/>
      <c r="F938" s="115"/>
      <c r="G938" s="115"/>
      <c r="H938" s="115"/>
      <c r="I938" s="115"/>
      <c r="J938" s="115"/>
      <c r="K938" s="112"/>
      <c r="L938" s="112"/>
      <c r="M938" s="112"/>
      <c r="N938" s="112"/>
      <c r="O938" s="112"/>
      <c r="P938" s="112"/>
      <c r="Q938" s="112"/>
      <c r="R938" s="112"/>
      <c r="S938" s="112"/>
      <c r="T938" s="112"/>
      <c r="U938" s="112"/>
      <c r="V938" s="112"/>
      <c r="W938" s="112"/>
      <c r="X938" s="112"/>
      <c r="Y938" s="112"/>
      <c r="Z938" s="112"/>
    </row>
    <row r="939" spans="1:26" x14ac:dyDescent="0.2">
      <c r="A939" s="113">
        <f>'THE BOARD'!A706</f>
        <v>0</v>
      </c>
      <c r="B939" s="115">
        <f>'THE BOARD'!B706</f>
        <v>0</v>
      </c>
      <c r="C939" s="115"/>
      <c r="D939" s="115"/>
      <c r="E939" s="115"/>
      <c r="F939" s="115"/>
      <c r="G939" s="115"/>
      <c r="H939" s="115"/>
      <c r="I939" s="115"/>
      <c r="J939" s="115"/>
      <c r="K939" s="112"/>
      <c r="L939" s="112"/>
      <c r="M939" s="112"/>
      <c r="N939" s="112"/>
      <c r="O939" s="112"/>
      <c r="P939" s="112"/>
      <c r="Q939" s="112"/>
      <c r="R939" s="112"/>
      <c r="S939" s="112"/>
      <c r="T939" s="112"/>
      <c r="U939" s="112"/>
      <c r="V939" s="112"/>
      <c r="W939" s="112"/>
      <c r="X939" s="112"/>
      <c r="Y939" s="112"/>
      <c r="Z939" s="112"/>
    </row>
    <row r="940" spans="1:26" x14ac:dyDescent="0.2">
      <c r="A940" s="113">
        <f>'THE BOARD'!A707</f>
        <v>0</v>
      </c>
      <c r="B940" s="115">
        <f>'THE BOARD'!B707</f>
        <v>0</v>
      </c>
      <c r="C940" s="115"/>
      <c r="D940" s="115"/>
      <c r="E940" s="115"/>
      <c r="F940" s="115"/>
      <c r="G940" s="115"/>
      <c r="H940" s="115"/>
      <c r="I940" s="115"/>
      <c r="J940" s="115"/>
      <c r="K940" s="112"/>
      <c r="L940" s="112"/>
      <c r="M940" s="112"/>
      <c r="N940" s="112"/>
      <c r="O940" s="112"/>
      <c r="P940" s="112"/>
      <c r="Q940" s="112"/>
      <c r="R940" s="112"/>
      <c r="S940" s="112"/>
      <c r="T940" s="112"/>
      <c r="U940" s="112"/>
      <c r="V940" s="112"/>
      <c r="W940" s="112"/>
      <c r="X940" s="112"/>
      <c r="Y940" s="112"/>
      <c r="Z940" s="112"/>
    </row>
    <row r="941" spans="1:26" x14ac:dyDescent="0.2">
      <c r="A941" s="113">
        <f>'THE BOARD'!A708</f>
        <v>0</v>
      </c>
      <c r="B941" s="115">
        <f>'THE BOARD'!B708</f>
        <v>0</v>
      </c>
      <c r="C941" s="115"/>
      <c r="D941" s="115"/>
      <c r="E941" s="115"/>
      <c r="F941" s="115"/>
      <c r="G941" s="115"/>
      <c r="H941" s="115"/>
      <c r="I941" s="115"/>
      <c r="J941" s="115"/>
      <c r="K941" s="112"/>
      <c r="L941" s="112"/>
      <c r="M941" s="112"/>
      <c r="N941" s="112"/>
      <c r="O941" s="112"/>
      <c r="P941" s="112"/>
      <c r="Q941" s="112"/>
      <c r="R941" s="112"/>
      <c r="S941" s="112"/>
      <c r="T941" s="112"/>
      <c r="U941" s="112"/>
      <c r="V941" s="112"/>
      <c r="W941" s="112"/>
      <c r="X941" s="112"/>
      <c r="Y941" s="112"/>
      <c r="Z941" s="112"/>
    </row>
    <row r="942" spans="1:26" x14ac:dyDescent="0.2">
      <c r="A942" s="113">
        <f>'THE BOARD'!A709</f>
        <v>0</v>
      </c>
      <c r="B942" s="115">
        <f>'THE BOARD'!B709</f>
        <v>0</v>
      </c>
      <c r="C942" s="115"/>
      <c r="D942" s="115"/>
      <c r="E942" s="115"/>
      <c r="F942" s="115"/>
      <c r="G942" s="115"/>
      <c r="H942" s="115"/>
      <c r="I942" s="115"/>
      <c r="J942" s="115"/>
      <c r="K942" s="112"/>
      <c r="L942" s="112"/>
      <c r="M942" s="112"/>
      <c r="N942" s="112"/>
      <c r="O942" s="112"/>
      <c r="P942" s="112"/>
      <c r="Q942" s="112"/>
      <c r="R942" s="112"/>
      <c r="S942" s="112"/>
      <c r="T942" s="112"/>
      <c r="U942" s="112"/>
      <c r="V942" s="112"/>
      <c r="W942" s="112"/>
      <c r="X942" s="112"/>
      <c r="Y942" s="112"/>
      <c r="Z942" s="112"/>
    </row>
    <row r="943" spans="1:26" x14ac:dyDescent="0.2">
      <c r="A943" s="113">
        <f>'THE BOARD'!A710</f>
        <v>0</v>
      </c>
      <c r="B943" s="115">
        <f>'THE BOARD'!B710</f>
        <v>0</v>
      </c>
      <c r="C943" s="115"/>
      <c r="D943" s="115"/>
      <c r="E943" s="115"/>
      <c r="F943" s="115"/>
      <c r="G943" s="115"/>
      <c r="H943" s="115"/>
      <c r="I943" s="115"/>
      <c r="J943" s="115"/>
      <c r="K943" s="112"/>
      <c r="L943" s="112"/>
      <c r="M943" s="112"/>
      <c r="N943" s="112"/>
      <c r="O943" s="112"/>
      <c r="P943" s="112"/>
      <c r="Q943" s="112"/>
      <c r="R943" s="112"/>
      <c r="S943" s="112"/>
      <c r="T943" s="112"/>
      <c r="U943" s="112"/>
      <c r="V943" s="112"/>
      <c r="W943" s="112"/>
      <c r="X943" s="112"/>
      <c r="Y943" s="112"/>
      <c r="Z943" s="112"/>
    </row>
    <row r="944" spans="1:26" x14ac:dyDescent="0.2">
      <c r="A944" s="113">
        <f>'THE BOARD'!A711</f>
        <v>0</v>
      </c>
      <c r="B944" s="115">
        <f>'THE BOARD'!B711</f>
        <v>0</v>
      </c>
      <c r="C944" s="115"/>
      <c r="D944" s="115"/>
      <c r="E944" s="115"/>
      <c r="F944" s="115"/>
      <c r="G944" s="115"/>
      <c r="H944" s="115"/>
      <c r="I944" s="115"/>
      <c r="J944" s="115"/>
      <c r="K944" s="112"/>
      <c r="L944" s="112"/>
      <c r="M944" s="112"/>
      <c r="N944" s="112"/>
      <c r="O944" s="112"/>
      <c r="P944" s="112"/>
      <c r="Q944" s="112"/>
      <c r="R944" s="112"/>
      <c r="S944" s="112"/>
      <c r="T944" s="112"/>
      <c r="U944" s="112"/>
      <c r="V944" s="112"/>
      <c r="W944" s="112"/>
      <c r="X944" s="112"/>
      <c r="Y944" s="112"/>
      <c r="Z944" s="112"/>
    </row>
    <row r="945" spans="1:26" x14ac:dyDescent="0.2">
      <c r="A945" s="113">
        <f>'THE BOARD'!A712</f>
        <v>0</v>
      </c>
      <c r="B945" s="115">
        <f>'THE BOARD'!B712</f>
        <v>0</v>
      </c>
      <c r="C945" s="115"/>
      <c r="D945" s="115"/>
      <c r="E945" s="115"/>
      <c r="F945" s="115"/>
      <c r="G945" s="115"/>
      <c r="H945" s="115"/>
      <c r="I945" s="115"/>
      <c r="J945" s="115"/>
      <c r="K945" s="112"/>
      <c r="L945" s="112"/>
      <c r="M945" s="112"/>
      <c r="N945" s="112"/>
      <c r="O945" s="112"/>
      <c r="P945" s="112"/>
      <c r="Q945" s="112"/>
      <c r="R945" s="112"/>
      <c r="S945" s="112"/>
      <c r="T945" s="112"/>
      <c r="U945" s="112"/>
      <c r="V945" s="112"/>
      <c r="W945" s="112"/>
      <c r="X945" s="112"/>
      <c r="Y945" s="112"/>
      <c r="Z945" s="112"/>
    </row>
    <row r="946" spans="1:26" x14ac:dyDescent="0.2">
      <c r="A946" s="113">
        <f>'THE BOARD'!A713</f>
        <v>0</v>
      </c>
      <c r="B946" s="115">
        <f>'THE BOARD'!B713</f>
        <v>0</v>
      </c>
      <c r="C946" s="115"/>
      <c r="D946" s="115"/>
      <c r="E946" s="115"/>
      <c r="F946" s="115"/>
      <c r="G946" s="115"/>
      <c r="H946" s="115"/>
      <c r="I946" s="115"/>
      <c r="J946" s="115"/>
      <c r="K946" s="112"/>
      <c r="L946" s="112"/>
      <c r="M946" s="112"/>
      <c r="N946" s="112"/>
      <c r="O946" s="112"/>
      <c r="P946" s="112"/>
      <c r="Q946" s="112"/>
      <c r="R946" s="112"/>
      <c r="S946" s="112"/>
      <c r="T946" s="112"/>
      <c r="U946" s="112"/>
      <c r="V946" s="112"/>
      <c r="W946" s="112"/>
      <c r="X946" s="112"/>
      <c r="Y946" s="112"/>
      <c r="Z946" s="112"/>
    </row>
    <row r="947" spans="1:26" x14ac:dyDescent="0.2">
      <c r="A947" s="113">
        <f>'THE BOARD'!A714</f>
        <v>0</v>
      </c>
      <c r="B947" s="115">
        <f>'THE BOARD'!B714</f>
        <v>0</v>
      </c>
      <c r="C947" s="115"/>
      <c r="D947" s="115"/>
      <c r="E947" s="115"/>
      <c r="F947" s="115"/>
      <c r="G947" s="115"/>
      <c r="H947" s="115"/>
      <c r="I947" s="115"/>
      <c r="J947" s="115"/>
      <c r="K947" s="112"/>
      <c r="L947" s="112"/>
      <c r="M947" s="112"/>
      <c r="N947" s="112"/>
      <c r="O947" s="112"/>
      <c r="P947" s="112"/>
      <c r="Q947" s="112"/>
      <c r="R947" s="112"/>
      <c r="S947" s="112"/>
      <c r="T947" s="112"/>
      <c r="U947" s="112"/>
      <c r="V947" s="112"/>
      <c r="W947" s="112"/>
      <c r="X947" s="112"/>
      <c r="Y947" s="112"/>
      <c r="Z947" s="112"/>
    </row>
    <row r="948" spans="1:26" x14ac:dyDescent="0.2">
      <c r="A948" s="113">
        <f>'THE BOARD'!A715</f>
        <v>0</v>
      </c>
      <c r="B948" s="115">
        <f>'THE BOARD'!B715</f>
        <v>0</v>
      </c>
      <c r="C948" s="115"/>
      <c r="D948" s="115"/>
      <c r="E948" s="115"/>
      <c r="F948" s="115"/>
      <c r="G948" s="115"/>
      <c r="H948" s="115"/>
      <c r="I948" s="115"/>
      <c r="J948" s="115"/>
      <c r="K948" s="112"/>
      <c r="L948" s="112"/>
      <c r="M948" s="112"/>
      <c r="N948" s="112"/>
      <c r="O948" s="112"/>
      <c r="P948" s="112"/>
      <c r="Q948" s="112"/>
      <c r="R948" s="112"/>
      <c r="S948" s="112"/>
      <c r="T948" s="112"/>
      <c r="U948" s="112"/>
      <c r="V948" s="112"/>
      <c r="W948" s="112"/>
      <c r="X948" s="112"/>
      <c r="Y948" s="112"/>
      <c r="Z948" s="112"/>
    </row>
    <row r="949" spans="1:26" x14ac:dyDescent="0.2">
      <c r="A949" s="113">
        <f>'THE BOARD'!A716</f>
        <v>0</v>
      </c>
      <c r="B949" s="115">
        <f>'THE BOARD'!B716</f>
        <v>0</v>
      </c>
      <c r="C949" s="115"/>
      <c r="D949" s="115"/>
      <c r="E949" s="115"/>
      <c r="F949" s="115"/>
      <c r="G949" s="115"/>
      <c r="H949" s="115"/>
      <c r="I949" s="115"/>
      <c r="J949" s="115"/>
      <c r="K949" s="112"/>
      <c r="L949" s="112"/>
      <c r="M949" s="112"/>
      <c r="N949" s="112"/>
      <c r="O949" s="112"/>
      <c r="P949" s="112"/>
      <c r="Q949" s="112"/>
      <c r="R949" s="112"/>
      <c r="S949" s="112"/>
      <c r="T949" s="112"/>
      <c r="U949" s="112"/>
      <c r="V949" s="112"/>
      <c r="W949" s="112"/>
      <c r="X949" s="112"/>
      <c r="Y949" s="112"/>
      <c r="Z949" s="112"/>
    </row>
    <row r="950" spans="1:26" x14ac:dyDescent="0.2">
      <c r="A950" s="113">
        <f>'THE BOARD'!A717</f>
        <v>0</v>
      </c>
      <c r="B950" s="115">
        <f>'THE BOARD'!B717</f>
        <v>0</v>
      </c>
      <c r="C950" s="115"/>
      <c r="D950" s="115"/>
      <c r="E950" s="115"/>
      <c r="F950" s="115"/>
      <c r="G950" s="115"/>
      <c r="H950" s="115"/>
      <c r="I950" s="115"/>
      <c r="J950" s="115"/>
      <c r="K950" s="112"/>
      <c r="L950" s="112"/>
      <c r="M950" s="112"/>
      <c r="N950" s="112"/>
      <c r="O950" s="112"/>
      <c r="P950" s="112"/>
      <c r="Q950" s="112"/>
      <c r="R950" s="112"/>
      <c r="S950" s="112"/>
      <c r="T950" s="112"/>
      <c r="U950" s="112"/>
      <c r="V950" s="112"/>
      <c r="W950" s="112"/>
      <c r="X950" s="112"/>
      <c r="Y950" s="112"/>
      <c r="Z950" s="112"/>
    </row>
    <row r="951" spans="1:26" x14ac:dyDescent="0.2">
      <c r="A951" s="113">
        <f>'THE BOARD'!A718</f>
        <v>0</v>
      </c>
      <c r="B951" s="115">
        <f>'THE BOARD'!B718</f>
        <v>0</v>
      </c>
      <c r="C951" s="115"/>
      <c r="D951" s="115"/>
      <c r="E951" s="115"/>
      <c r="F951" s="115"/>
      <c r="G951" s="115"/>
      <c r="H951" s="115"/>
      <c r="I951" s="115"/>
      <c r="J951" s="115"/>
      <c r="K951" s="112"/>
      <c r="L951" s="112"/>
      <c r="M951" s="112"/>
      <c r="N951" s="112"/>
      <c r="O951" s="112"/>
      <c r="P951" s="112"/>
      <c r="Q951" s="112"/>
      <c r="R951" s="112"/>
      <c r="S951" s="112"/>
      <c r="T951" s="112"/>
      <c r="U951" s="112"/>
      <c r="V951" s="112"/>
      <c r="W951" s="112"/>
      <c r="X951" s="112"/>
      <c r="Y951" s="112"/>
      <c r="Z951" s="112"/>
    </row>
    <row r="952" spans="1:26" x14ac:dyDescent="0.2">
      <c r="A952" s="113">
        <f>'THE BOARD'!A719</f>
        <v>0</v>
      </c>
      <c r="B952" s="115">
        <f>'THE BOARD'!B719</f>
        <v>0</v>
      </c>
      <c r="C952" s="115"/>
      <c r="D952" s="115"/>
      <c r="E952" s="115"/>
      <c r="F952" s="115"/>
      <c r="G952" s="115"/>
      <c r="H952" s="115"/>
      <c r="I952" s="115"/>
      <c r="J952" s="115"/>
      <c r="K952" s="112"/>
      <c r="L952" s="112"/>
      <c r="M952" s="112"/>
      <c r="N952" s="112"/>
      <c r="O952" s="112"/>
      <c r="P952" s="112"/>
      <c r="Q952" s="112"/>
      <c r="R952" s="112"/>
      <c r="S952" s="112"/>
      <c r="T952" s="112"/>
      <c r="U952" s="112"/>
      <c r="V952" s="112"/>
      <c r="W952" s="112"/>
      <c r="X952" s="112"/>
      <c r="Y952" s="112"/>
      <c r="Z952" s="112"/>
    </row>
    <row r="953" spans="1:26" x14ac:dyDescent="0.2">
      <c r="A953" s="113">
        <f>'THE BOARD'!A720</f>
        <v>0</v>
      </c>
      <c r="B953" s="115">
        <f>'THE BOARD'!B720</f>
        <v>0</v>
      </c>
      <c r="C953" s="115"/>
      <c r="D953" s="115"/>
      <c r="E953" s="115"/>
      <c r="F953" s="115"/>
      <c r="G953" s="115"/>
      <c r="H953" s="115"/>
      <c r="I953" s="115"/>
      <c r="J953" s="115"/>
      <c r="K953" s="112"/>
      <c r="L953" s="112"/>
      <c r="M953" s="112"/>
      <c r="N953" s="112"/>
      <c r="O953" s="112"/>
      <c r="P953" s="112"/>
      <c r="Q953" s="112"/>
      <c r="R953" s="112"/>
      <c r="S953" s="112"/>
      <c r="T953" s="112"/>
      <c r="U953" s="112"/>
      <c r="V953" s="112"/>
      <c r="W953" s="112"/>
      <c r="X953" s="112"/>
      <c r="Y953" s="112"/>
      <c r="Z953" s="112"/>
    </row>
    <row r="954" spans="1:26" x14ac:dyDescent="0.2">
      <c r="A954" s="113">
        <f>'THE BOARD'!A721</f>
        <v>0</v>
      </c>
      <c r="B954" s="115">
        <f>'THE BOARD'!B721</f>
        <v>0</v>
      </c>
      <c r="C954" s="115"/>
      <c r="D954" s="115"/>
      <c r="E954" s="115"/>
      <c r="F954" s="115"/>
      <c r="G954" s="115"/>
      <c r="H954" s="115"/>
      <c r="I954" s="115"/>
      <c r="J954" s="115"/>
      <c r="K954" s="112"/>
      <c r="L954" s="112"/>
      <c r="M954" s="112"/>
      <c r="N954" s="112"/>
      <c r="O954" s="112"/>
      <c r="P954" s="112"/>
      <c r="Q954" s="112"/>
      <c r="R954" s="112"/>
      <c r="S954" s="112"/>
      <c r="T954" s="112"/>
      <c r="U954" s="112"/>
      <c r="V954" s="112"/>
      <c r="W954" s="112"/>
      <c r="X954" s="112"/>
      <c r="Y954" s="112"/>
      <c r="Z954" s="112"/>
    </row>
    <row r="955" spans="1:26" x14ac:dyDescent="0.2">
      <c r="A955" s="113">
        <f>'THE BOARD'!A722</f>
        <v>0</v>
      </c>
      <c r="B955" s="115">
        <f>'THE BOARD'!B722</f>
        <v>0</v>
      </c>
      <c r="C955" s="115"/>
      <c r="D955" s="115"/>
      <c r="E955" s="115"/>
      <c r="F955" s="115"/>
      <c r="G955" s="115"/>
      <c r="H955" s="115"/>
      <c r="I955" s="115"/>
      <c r="J955" s="115"/>
      <c r="K955" s="112"/>
      <c r="L955" s="112"/>
      <c r="M955" s="112"/>
      <c r="N955" s="112"/>
      <c r="O955" s="112"/>
      <c r="P955" s="112"/>
      <c r="Q955" s="112"/>
      <c r="R955" s="112"/>
      <c r="S955" s="112"/>
      <c r="T955" s="112"/>
      <c r="U955" s="112"/>
      <c r="V955" s="112"/>
      <c r="W955" s="112"/>
      <c r="X955" s="112"/>
      <c r="Y955" s="112"/>
      <c r="Z955" s="112"/>
    </row>
    <row r="956" spans="1:26" x14ac:dyDescent="0.2">
      <c r="A956" s="113">
        <f>'THE BOARD'!A723</f>
        <v>0</v>
      </c>
      <c r="B956" s="115">
        <f>'THE BOARD'!B723</f>
        <v>0</v>
      </c>
      <c r="C956" s="115"/>
      <c r="D956" s="115"/>
      <c r="E956" s="115"/>
      <c r="F956" s="115"/>
      <c r="G956" s="115"/>
      <c r="H956" s="115"/>
      <c r="I956" s="115"/>
      <c r="J956" s="115"/>
      <c r="K956" s="112"/>
      <c r="L956" s="112"/>
      <c r="M956" s="112"/>
      <c r="N956" s="112"/>
      <c r="O956" s="112"/>
      <c r="P956" s="112"/>
      <c r="Q956" s="112"/>
      <c r="R956" s="112"/>
      <c r="S956" s="112"/>
      <c r="T956" s="112"/>
      <c r="U956" s="112"/>
      <c r="V956" s="112"/>
      <c r="W956" s="112"/>
      <c r="X956" s="112"/>
      <c r="Y956" s="112"/>
      <c r="Z956" s="112"/>
    </row>
    <row r="957" spans="1:26" x14ac:dyDescent="0.2">
      <c r="A957" s="113">
        <f>'THE BOARD'!A724</f>
        <v>0</v>
      </c>
      <c r="B957" s="115">
        <f>'THE BOARD'!B724</f>
        <v>0</v>
      </c>
      <c r="C957" s="115"/>
      <c r="D957" s="115"/>
      <c r="E957" s="115"/>
      <c r="F957" s="115"/>
      <c r="G957" s="115"/>
      <c r="H957" s="115"/>
      <c r="I957" s="115"/>
      <c r="J957" s="115"/>
      <c r="K957" s="112"/>
      <c r="L957" s="112"/>
      <c r="M957" s="112"/>
      <c r="N957" s="112"/>
      <c r="O957" s="112"/>
      <c r="P957" s="112"/>
      <c r="Q957" s="112"/>
      <c r="R957" s="112"/>
      <c r="S957" s="112"/>
      <c r="T957" s="112"/>
      <c r="U957" s="112"/>
      <c r="V957" s="112"/>
      <c r="W957" s="112"/>
      <c r="X957" s="112"/>
      <c r="Y957" s="112"/>
      <c r="Z957" s="112"/>
    </row>
    <row r="958" spans="1:26" x14ac:dyDescent="0.2">
      <c r="A958" s="113">
        <f>'THE BOARD'!A725</f>
        <v>0</v>
      </c>
      <c r="B958" s="115">
        <f>'THE BOARD'!B725</f>
        <v>0</v>
      </c>
      <c r="C958" s="115"/>
      <c r="D958" s="115"/>
      <c r="E958" s="115"/>
      <c r="F958" s="115"/>
      <c r="G958" s="115"/>
      <c r="H958" s="115"/>
      <c r="I958" s="115"/>
      <c r="J958" s="115"/>
      <c r="K958" s="112"/>
      <c r="L958" s="112"/>
      <c r="M958" s="112"/>
      <c r="N958" s="112"/>
      <c r="O958" s="112"/>
      <c r="P958" s="112"/>
      <c r="Q958" s="112"/>
      <c r="R958" s="112"/>
      <c r="S958" s="112"/>
      <c r="T958" s="112"/>
      <c r="U958" s="112"/>
      <c r="V958" s="112"/>
      <c r="W958" s="112"/>
      <c r="X958" s="112"/>
      <c r="Y958" s="112"/>
      <c r="Z958" s="112"/>
    </row>
    <row r="959" spans="1:26" x14ac:dyDescent="0.2">
      <c r="A959" s="113">
        <f>'THE BOARD'!A726</f>
        <v>0</v>
      </c>
      <c r="B959" s="115">
        <f>'THE BOARD'!B726</f>
        <v>0</v>
      </c>
      <c r="C959" s="115"/>
      <c r="D959" s="115"/>
      <c r="E959" s="115"/>
      <c r="F959" s="115"/>
      <c r="G959" s="115"/>
      <c r="H959" s="115"/>
      <c r="I959" s="115"/>
      <c r="J959" s="115"/>
      <c r="K959" s="112"/>
      <c r="L959" s="112"/>
      <c r="M959" s="112"/>
      <c r="N959" s="112"/>
      <c r="O959" s="112"/>
      <c r="P959" s="112"/>
      <c r="Q959" s="112"/>
      <c r="R959" s="112"/>
      <c r="S959" s="112"/>
      <c r="T959" s="112"/>
      <c r="U959" s="112"/>
      <c r="V959" s="112"/>
      <c r="W959" s="112"/>
      <c r="X959" s="112"/>
      <c r="Y959" s="112"/>
      <c r="Z959" s="112"/>
    </row>
    <row r="960" spans="1:26" x14ac:dyDescent="0.2">
      <c r="A960" s="113">
        <f>'THE BOARD'!A727</f>
        <v>0</v>
      </c>
      <c r="B960" s="115">
        <f>'THE BOARD'!B727</f>
        <v>0</v>
      </c>
      <c r="C960" s="115"/>
      <c r="D960" s="115"/>
      <c r="E960" s="115"/>
      <c r="F960" s="115"/>
      <c r="G960" s="115"/>
      <c r="H960" s="115"/>
      <c r="I960" s="115"/>
      <c r="J960" s="115"/>
      <c r="K960" s="112"/>
      <c r="L960" s="112"/>
      <c r="M960" s="112"/>
      <c r="N960" s="112"/>
      <c r="O960" s="112"/>
      <c r="P960" s="112"/>
      <c r="Q960" s="112"/>
      <c r="R960" s="112"/>
      <c r="S960" s="112"/>
      <c r="T960" s="112"/>
      <c r="U960" s="112"/>
      <c r="V960" s="112"/>
      <c r="W960" s="112"/>
      <c r="X960" s="112"/>
      <c r="Y960" s="112"/>
      <c r="Z960" s="112"/>
    </row>
    <row r="961" spans="1:26" x14ac:dyDescent="0.2">
      <c r="A961" s="113">
        <f>'THE BOARD'!A728</f>
        <v>0</v>
      </c>
      <c r="B961" s="115">
        <f>'THE BOARD'!B728</f>
        <v>0</v>
      </c>
      <c r="C961" s="115"/>
      <c r="D961" s="115"/>
      <c r="E961" s="115"/>
      <c r="F961" s="115"/>
      <c r="G961" s="115"/>
      <c r="H961" s="115"/>
      <c r="I961" s="115"/>
      <c r="J961" s="115"/>
      <c r="K961" s="112"/>
      <c r="L961" s="112"/>
      <c r="M961" s="112"/>
      <c r="N961" s="112"/>
      <c r="O961" s="112"/>
      <c r="P961" s="112"/>
      <c r="Q961" s="112"/>
      <c r="R961" s="112"/>
      <c r="S961" s="112"/>
      <c r="T961" s="112"/>
      <c r="U961" s="112"/>
      <c r="V961" s="112"/>
      <c r="W961" s="112"/>
      <c r="X961" s="112"/>
      <c r="Y961" s="112"/>
      <c r="Z961" s="112"/>
    </row>
    <row r="962" spans="1:26" x14ac:dyDescent="0.2">
      <c r="A962" s="113">
        <f>'THE BOARD'!A729</f>
        <v>0</v>
      </c>
      <c r="B962" s="115">
        <f>'THE BOARD'!B729</f>
        <v>0</v>
      </c>
      <c r="C962" s="115"/>
      <c r="D962" s="115"/>
      <c r="E962" s="115"/>
      <c r="F962" s="115"/>
      <c r="G962" s="115"/>
      <c r="H962" s="115"/>
      <c r="I962" s="115"/>
      <c r="J962" s="115"/>
      <c r="K962" s="112"/>
      <c r="L962" s="112"/>
      <c r="M962" s="112"/>
      <c r="N962" s="112"/>
      <c r="O962" s="112"/>
      <c r="P962" s="112"/>
      <c r="Q962" s="112"/>
      <c r="R962" s="112"/>
      <c r="S962" s="112"/>
      <c r="T962" s="112"/>
      <c r="U962" s="112"/>
      <c r="V962" s="112"/>
      <c r="W962" s="112"/>
      <c r="X962" s="112"/>
      <c r="Y962" s="112"/>
      <c r="Z962" s="112"/>
    </row>
    <row r="963" spans="1:26" x14ac:dyDescent="0.2">
      <c r="A963" s="113">
        <f>'THE BOARD'!A730</f>
        <v>0</v>
      </c>
      <c r="B963" s="115">
        <f>'THE BOARD'!B730</f>
        <v>0</v>
      </c>
      <c r="C963" s="115"/>
      <c r="D963" s="115"/>
      <c r="E963" s="115"/>
      <c r="F963" s="115"/>
      <c r="G963" s="115"/>
      <c r="H963" s="115"/>
      <c r="I963" s="115"/>
      <c r="J963" s="115"/>
      <c r="K963" s="112"/>
      <c r="L963" s="112"/>
      <c r="M963" s="112"/>
      <c r="N963" s="112"/>
      <c r="O963" s="112"/>
      <c r="P963" s="112"/>
      <c r="Q963" s="112"/>
      <c r="R963" s="112"/>
      <c r="S963" s="112"/>
      <c r="T963" s="112"/>
      <c r="U963" s="112"/>
      <c r="V963" s="112"/>
      <c r="W963" s="112"/>
      <c r="X963" s="112"/>
      <c r="Y963" s="112"/>
      <c r="Z963" s="112"/>
    </row>
    <row r="964" spans="1:26" x14ac:dyDescent="0.2">
      <c r="A964" s="113">
        <f>'THE BOARD'!A731</f>
        <v>0</v>
      </c>
      <c r="B964" s="115">
        <f>'THE BOARD'!B731</f>
        <v>0</v>
      </c>
      <c r="C964" s="115"/>
      <c r="D964" s="115"/>
      <c r="E964" s="115"/>
      <c r="F964" s="115"/>
      <c r="G964" s="115"/>
      <c r="H964" s="115"/>
      <c r="I964" s="115"/>
      <c r="J964" s="115"/>
      <c r="K964" s="112"/>
      <c r="L964" s="112"/>
      <c r="M964" s="112"/>
      <c r="N964" s="112"/>
      <c r="O964" s="112"/>
      <c r="P964" s="112"/>
      <c r="Q964" s="112"/>
      <c r="R964" s="112"/>
      <c r="S964" s="112"/>
      <c r="T964" s="112"/>
      <c r="U964" s="112"/>
      <c r="V964" s="112"/>
      <c r="W964" s="112"/>
      <c r="X964" s="112"/>
      <c r="Y964" s="112"/>
      <c r="Z964" s="112"/>
    </row>
    <row r="965" spans="1:26" x14ac:dyDescent="0.2">
      <c r="A965" s="113">
        <f>'THE BOARD'!A732</f>
        <v>0</v>
      </c>
      <c r="B965" s="115">
        <f>'THE BOARD'!B732</f>
        <v>0</v>
      </c>
      <c r="C965" s="115"/>
      <c r="D965" s="115"/>
      <c r="E965" s="115"/>
      <c r="F965" s="115"/>
      <c r="G965" s="115"/>
      <c r="H965" s="115"/>
      <c r="I965" s="115"/>
      <c r="J965" s="115"/>
      <c r="K965" s="112"/>
      <c r="L965" s="112"/>
      <c r="M965" s="112"/>
      <c r="N965" s="112"/>
      <c r="O965" s="112"/>
      <c r="P965" s="112"/>
      <c r="Q965" s="112"/>
      <c r="R965" s="112"/>
      <c r="S965" s="112"/>
      <c r="T965" s="112"/>
      <c r="U965" s="112"/>
      <c r="V965" s="112"/>
      <c r="W965" s="112"/>
      <c r="X965" s="112"/>
      <c r="Y965" s="112"/>
      <c r="Z965" s="112"/>
    </row>
    <row r="966" spans="1:26" x14ac:dyDescent="0.2">
      <c r="A966" s="113">
        <f>'THE BOARD'!A733</f>
        <v>0</v>
      </c>
      <c r="B966" s="115">
        <f>'THE BOARD'!B733</f>
        <v>0</v>
      </c>
      <c r="C966" s="115"/>
      <c r="D966" s="115"/>
      <c r="E966" s="115"/>
      <c r="F966" s="115"/>
      <c r="G966" s="115"/>
      <c r="H966" s="115"/>
      <c r="I966" s="115"/>
      <c r="J966" s="115"/>
      <c r="K966" s="112"/>
      <c r="L966" s="112"/>
      <c r="M966" s="112"/>
      <c r="N966" s="112"/>
      <c r="O966" s="112"/>
      <c r="P966" s="112"/>
      <c r="Q966" s="112"/>
      <c r="R966" s="112"/>
      <c r="S966" s="112"/>
      <c r="T966" s="112"/>
      <c r="U966" s="112"/>
      <c r="V966" s="112"/>
      <c r="W966" s="112"/>
      <c r="X966" s="112"/>
      <c r="Y966" s="112"/>
      <c r="Z966" s="112"/>
    </row>
    <row r="967" spans="1:26" x14ac:dyDescent="0.2">
      <c r="A967" s="113">
        <f>'THE BOARD'!A734</f>
        <v>0</v>
      </c>
      <c r="B967" s="115">
        <f>'THE BOARD'!B734</f>
        <v>0</v>
      </c>
      <c r="C967" s="115"/>
      <c r="D967" s="115"/>
      <c r="E967" s="115"/>
      <c r="F967" s="115"/>
      <c r="G967" s="115"/>
      <c r="H967" s="115"/>
      <c r="I967" s="115"/>
      <c r="J967" s="115"/>
      <c r="K967" s="112"/>
      <c r="L967" s="112"/>
      <c r="M967" s="112"/>
      <c r="N967" s="112"/>
      <c r="O967" s="112"/>
      <c r="P967" s="112"/>
      <c r="Q967" s="112"/>
      <c r="R967" s="112"/>
      <c r="S967" s="112"/>
      <c r="T967" s="112"/>
      <c r="U967" s="112"/>
      <c r="V967" s="112"/>
      <c r="W967" s="112"/>
      <c r="X967" s="112"/>
      <c r="Y967" s="112"/>
      <c r="Z967" s="112"/>
    </row>
    <row r="968" spans="1:26" x14ac:dyDescent="0.2">
      <c r="A968" s="113">
        <f>'THE BOARD'!A735</f>
        <v>0</v>
      </c>
      <c r="B968" s="115">
        <f>'THE BOARD'!B735</f>
        <v>0</v>
      </c>
      <c r="C968" s="115"/>
      <c r="D968" s="115"/>
      <c r="E968" s="115"/>
      <c r="F968" s="115"/>
      <c r="G968" s="115"/>
      <c r="H968" s="115"/>
      <c r="I968" s="115"/>
      <c r="J968" s="115"/>
      <c r="K968" s="112"/>
      <c r="L968" s="112"/>
      <c r="M968" s="112"/>
      <c r="N968" s="112"/>
      <c r="O968" s="112"/>
      <c r="P968" s="112"/>
      <c r="Q968" s="112"/>
      <c r="R968" s="112"/>
      <c r="S968" s="112"/>
      <c r="T968" s="112"/>
      <c r="U968" s="112"/>
      <c r="V968" s="112"/>
      <c r="W968" s="112"/>
      <c r="X968" s="112"/>
      <c r="Y968" s="112"/>
      <c r="Z968" s="112"/>
    </row>
    <row r="969" spans="1:26" x14ac:dyDescent="0.2">
      <c r="A969" s="113">
        <f>'THE BOARD'!A736</f>
        <v>0</v>
      </c>
      <c r="B969" s="115">
        <f>'THE BOARD'!B736</f>
        <v>0</v>
      </c>
      <c r="C969" s="115"/>
      <c r="D969" s="115"/>
      <c r="E969" s="115"/>
      <c r="F969" s="115"/>
      <c r="G969" s="115"/>
      <c r="H969" s="115"/>
      <c r="I969" s="115"/>
      <c r="J969" s="115"/>
      <c r="K969" s="112"/>
      <c r="L969" s="112"/>
      <c r="M969" s="112"/>
      <c r="N969" s="112"/>
      <c r="O969" s="112"/>
      <c r="P969" s="112"/>
      <c r="Q969" s="112"/>
      <c r="R969" s="112"/>
      <c r="S969" s="112"/>
      <c r="T969" s="112"/>
      <c r="U969" s="112"/>
      <c r="V969" s="112"/>
      <c r="W969" s="112"/>
      <c r="X969" s="112"/>
      <c r="Y969" s="112"/>
      <c r="Z969" s="112"/>
    </row>
    <row r="970" spans="1:26" x14ac:dyDescent="0.2">
      <c r="A970" s="113">
        <f>'THE BOARD'!A737</f>
        <v>0</v>
      </c>
      <c r="B970" s="115">
        <f>'THE BOARD'!B737</f>
        <v>0</v>
      </c>
      <c r="C970" s="115"/>
      <c r="D970" s="115"/>
      <c r="E970" s="115"/>
      <c r="F970" s="115"/>
      <c r="G970" s="115"/>
      <c r="H970" s="115"/>
      <c r="I970" s="115"/>
      <c r="J970" s="115"/>
      <c r="K970" s="112"/>
      <c r="L970" s="112"/>
      <c r="M970" s="112"/>
      <c r="N970" s="112"/>
      <c r="O970" s="112"/>
      <c r="P970" s="112"/>
      <c r="Q970" s="112"/>
      <c r="R970" s="112"/>
      <c r="S970" s="112"/>
      <c r="T970" s="112"/>
      <c r="U970" s="112"/>
      <c r="V970" s="112"/>
      <c r="W970" s="112"/>
      <c r="X970" s="112"/>
      <c r="Y970" s="112"/>
      <c r="Z970" s="112"/>
    </row>
    <row r="971" spans="1:26" x14ac:dyDescent="0.2">
      <c r="A971" s="113">
        <f>'THE BOARD'!A738</f>
        <v>0</v>
      </c>
      <c r="B971" s="115">
        <f>'THE BOARD'!B738</f>
        <v>0</v>
      </c>
      <c r="C971" s="115"/>
      <c r="D971" s="115"/>
      <c r="E971" s="115"/>
      <c r="F971" s="115"/>
      <c r="G971" s="115"/>
      <c r="H971" s="115"/>
      <c r="I971" s="115"/>
      <c r="J971" s="115"/>
      <c r="K971" s="112"/>
      <c r="L971" s="112"/>
      <c r="M971" s="112"/>
      <c r="N971" s="112"/>
      <c r="O971" s="112"/>
      <c r="P971" s="112"/>
      <c r="Q971" s="112"/>
      <c r="R971" s="112"/>
      <c r="S971" s="112"/>
      <c r="T971" s="112"/>
      <c r="U971" s="112"/>
      <c r="V971" s="112"/>
      <c r="W971" s="112"/>
      <c r="X971" s="112"/>
      <c r="Y971" s="112"/>
      <c r="Z971" s="112"/>
    </row>
    <row r="972" spans="1:26" x14ac:dyDescent="0.2">
      <c r="A972" s="113">
        <f>'THE BOARD'!A739</f>
        <v>0</v>
      </c>
      <c r="B972" s="115">
        <f>'THE BOARD'!B739</f>
        <v>0</v>
      </c>
      <c r="C972" s="115"/>
      <c r="D972" s="115"/>
      <c r="E972" s="115"/>
      <c r="F972" s="115"/>
      <c r="G972" s="115"/>
      <c r="H972" s="115"/>
      <c r="I972" s="115"/>
      <c r="J972" s="115"/>
      <c r="K972" s="112"/>
      <c r="L972" s="112"/>
      <c r="M972" s="112"/>
      <c r="N972" s="112"/>
      <c r="O972" s="112"/>
      <c r="P972" s="112"/>
      <c r="Q972" s="112"/>
      <c r="R972" s="112"/>
      <c r="S972" s="112"/>
      <c r="T972" s="112"/>
      <c r="U972" s="112"/>
      <c r="V972" s="112"/>
      <c r="W972" s="112"/>
      <c r="X972" s="112"/>
      <c r="Y972" s="112"/>
      <c r="Z972" s="112"/>
    </row>
    <row r="973" spans="1:26" x14ac:dyDescent="0.2">
      <c r="A973" s="113">
        <f>'THE BOARD'!A740</f>
        <v>0</v>
      </c>
      <c r="B973" s="115">
        <f>'THE BOARD'!B740</f>
        <v>0</v>
      </c>
      <c r="C973" s="115"/>
      <c r="D973" s="115"/>
      <c r="E973" s="115"/>
      <c r="F973" s="115"/>
      <c r="G973" s="115"/>
      <c r="H973" s="115"/>
      <c r="I973" s="115"/>
      <c r="J973" s="115"/>
      <c r="K973" s="112"/>
      <c r="L973" s="112"/>
      <c r="M973" s="112"/>
      <c r="N973" s="112"/>
      <c r="O973" s="112"/>
      <c r="P973" s="112"/>
      <c r="Q973" s="112"/>
      <c r="R973" s="112"/>
      <c r="S973" s="112"/>
      <c r="T973" s="112"/>
      <c r="U973" s="112"/>
      <c r="V973" s="112"/>
      <c r="W973" s="112"/>
      <c r="X973" s="112"/>
      <c r="Y973" s="112"/>
      <c r="Z973" s="112"/>
    </row>
    <row r="974" spans="1:26" x14ac:dyDescent="0.2">
      <c r="A974" s="113">
        <f>'THE BOARD'!A741</f>
        <v>0</v>
      </c>
      <c r="B974" s="115">
        <f>'THE BOARD'!B741</f>
        <v>0</v>
      </c>
      <c r="C974" s="115"/>
      <c r="D974" s="115"/>
      <c r="E974" s="115"/>
      <c r="F974" s="115"/>
      <c r="G974" s="115"/>
      <c r="H974" s="115"/>
      <c r="I974" s="115"/>
      <c r="J974" s="115"/>
      <c r="K974" s="112"/>
      <c r="L974" s="112"/>
      <c r="M974" s="112"/>
      <c r="N974" s="112"/>
      <c r="O974" s="112"/>
      <c r="P974" s="112"/>
      <c r="Q974" s="112"/>
      <c r="R974" s="112"/>
      <c r="S974" s="112"/>
      <c r="T974" s="112"/>
      <c r="U974" s="112"/>
      <c r="V974" s="112"/>
      <c r="W974" s="112"/>
      <c r="X974" s="112"/>
      <c r="Y974" s="112"/>
      <c r="Z974" s="112"/>
    </row>
    <row r="975" spans="1:26" x14ac:dyDescent="0.2">
      <c r="A975" s="113">
        <f>'THE BOARD'!A742</f>
        <v>0</v>
      </c>
      <c r="B975" s="115">
        <f>'THE BOARD'!B742</f>
        <v>0</v>
      </c>
      <c r="C975" s="115"/>
      <c r="D975" s="115"/>
      <c r="E975" s="115"/>
      <c r="F975" s="115"/>
      <c r="G975" s="115"/>
      <c r="H975" s="115"/>
      <c r="I975" s="115"/>
      <c r="J975" s="115"/>
      <c r="K975" s="112"/>
      <c r="L975" s="112"/>
      <c r="M975" s="112"/>
      <c r="N975" s="112"/>
      <c r="O975" s="112"/>
      <c r="P975" s="112"/>
      <c r="Q975" s="112"/>
      <c r="R975" s="112"/>
      <c r="S975" s="112"/>
      <c r="T975" s="112"/>
      <c r="U975" s="112"/>
      <c r="V975" s="112"/>
      <c r="W975" s="112"/>
      <c r="X975" s="112"/>
      <c r="Y975" s="112"/>
      <c r="Z975" s="112"/>
    </row>
    <row r="976" spans="1:26" x14ac:dyDescent="0.2">
      <c r="A976" s="113">
        <f>'THE BOARD'!A743</f>
        <v>0</v>
      </c>
      <c r="B976" s="115">
        <f>'THE BOARD'!B743</f>
        <v>0</v>
      </c>
      <c r="C976" s="115"/>
      <c r="D976" s="115"/>
      <c r="E976" s="115"/>
      <c r="F976" s="115"/>
      <c r="G976" s="115"/>
      <c r="H976" s="115"/>
      <c r="I976" s="115"/>
      <c r="J976" s="115"/>
      <c r="K976" s="112"/>
      <c r="L976" s="112"/>
      <c r="M976" s="112"/>
      <c r="N976" s="112"/>
      <c r="O976" s="112"/>
      <c r="P976" s="112"/>
      <c r="Q976" s="112"/>
      <c r="R976" s="112"/>
      <c r="S976" s="112"/>
      <c r="T976" s="112"/>
      <c r="U976" s="112"/>
      <c r="V976" s="112"/>
      <c r="W976" s="112"/>
      <c r="X976" s="112"/>
      <c r="Y976" s="112"/>
      <c r="Z976" s="112"/>
    </row>
    <row r="977" spans="1:26" x14ac:dyDescent="0.2">
      <c r="A977" s="113">
        <f>'THE BOARD'!A744</f>
        <v>0</v>
      </c>
      <c r="B977" s="115">
        <f>'THE BOARD'!B744</f>
        <v>0</v>
      </c>
      <c r="C977" s="115"/>
      <c r="D977" s="115"/>
      <c r="E977" s="115"/>
      <c r="F977" s="115"/>
      <c r="G977" s="115"/>
      <c r="H977" s="115"/>
      <c r="I977" s="115"/>
      <c r="J977" s="115"/>
      <c r="K977" s="112"/>
      <c r="L977" s="112"/>
      <c r="M977" s="112"/>
      <c r="N977" s="112"/>
      <c r="O977" s="112"/>
      <c r="P977" s="112"/>
      <c r="Q977" s="112"/>
      <c r="R977" s="112"/>
      <c r="S977" s="112"/>
      <c r="T977" s="112"/>
      <c r="U977" s="112"/>
      <c r="V977" s="112"/>
      <c r="W977" s="112"/>
      <c r="X977" s="112"/>
      <c r="Y977" s="112"/>
      <c r="Z977" s="112"/>
    </row>
    <row r="978" spans="1:26" x14ac:dyDescent="0.2">
      <c r="A978" s="113">
        <f>'THE BOARD'!A745</f>
        <v>0</v>
      </c>
      <c r="B978" s="115">
        <f>'THE BOARD'!B745</f>
        <v>0</v>
      </c>
      <c r="C978" s="115"/>
      <c r="D978" s="115"/>
      <c r="E978" s="115"/>
      <c r="F978" s="115"/>
      <c r="G978" s="115"/>
      <c r="H978" s="115"/>
      <c r="I978" s="115"/>
      <c r="J978" s="115"/>
      <c r="K978" s="112"/>
      <c r="L978" s="112"/>
      <c r="M978" s="112"/>
      <c r="N978" s="112"/>
      <c r="O978" s="112"/>
      <c r="P978" s="112"/>
      <c r="Q978" s="112"/>
      <c r="R978" s="112"/>
      <c r="S978" s="112"/>
      <c r="T978" s="112"/>
      <c r="U978" s="112"/>
      <c r="V978" s="112"/>
      <c r="W978" s="112"/>
      <c r="X978" s="112"/>
      <c r="Y978" s="112"/>
      <c r="Z978" s="112"/>
    </row>
    <row r="979" spans="1:26" x14ac:dyDescent="0.2">
      <c r="A979" s="113">
        <f>'THE BOARD'!A746</f>
        <v>0</v>
      </c>
      <c r="B979" s="115">
        <f>'THE BOARD'!B746</f>
        <v>0</v>
      </c>
      <c r="C979" s="115"/>
      <c r="D979" s="115"/>
      <c r="E979" s="115"/>
      <c r="F979" s="115"/>
      <c r="G979" s="115"/>
      <c r="H979" s="115"/>
      <c r="I979" s="115"/>
      <c r="J979" s="115"/>
      <c r="K979" s="112"/>
      <c r="L979" s="112"/>
      <c r="M979" s="112"/>
      <c r="N979" s="112"/>
      <c r="O979" s="112"/>
      <c r="P979" s="112"/>
      <c r="Q979" s="112"/>
      <c r="R979" s="112"/>
      <c r="S979" s="112"/>
      <c r="T979" s="112"/>
      <c r="U979" s="112"/>
      <c r="V979" s="112"/>
      <c r="W979" s="112"/>
      <c r="X979" s="112"/>
      <c r="Y979" s="112"/>
      <c r="Z979" s="112"/>
    </row>
    <row r="980" spans="1:26" x14ac:dyDescent="0.2">
      <c r="A980" s="113">
        <f>'THE BOARD'!A747</f>
        <v>0</v>
      </c>
      <c r="B980" s="115">
        <f>'THE BOARD'!B747</f>
        <v>0</v>
      </c>
      <c r="C980" s="115"/>
      <c r="D980" s="115"/>
      <c r="E980" s="115"/>
      <c r="F980" s="115"/>
      <c r="G980" s="115"/>
      <c r="H980" s="115"/>
      <c r="I980" s="115"/>
      <c r="J980" s="115"/>
      <c r="K980" s="112"/>
      <c r="L980" s="112"/>
      <c r="M980" s="112"/>
      <c r="N980" s="112"/>
      <c r="O980" s="112"/>
      <c r="P980" s="112"/>
      <c r="Q980" s="112"/>
      <c r="R980" s="112"/>
      <c r="S980" s="112"/>
      <c r="T980" s="112"/>
      <c r="U980" s="112"/>
      <c r="V980" s="112"/>
      <c r="W980" s="112"/>
      <c r="X980" s="112"/>
      <c r="Y980" s="112"/>
      <c r="Z980" s="112"/>
    </row>
    <row r="981" spans="1:26" x14ac:dyDescent="0.2">
      <c r="A981" s="113">
        <f>'THE BOARD'!A748</f>
        <v>0</v>
      </c>
      <c r="B981" s="115">
        <f>'THE BOARD'!B748</f>
        <v>0</v>
      </c>
      <c r="C981" s="115"/>
      <c r="D981" s="115"/>
      <c r="E981" s="115"/>
      <c r="F981" s="115"/>
      <c r="G981" s="115"/>
      <c r="H981" s="115"/>
      <c r="I981" s="115"/>
      <c r="J981" s="115"/>
      <c r="K981" s="112"/>
      <c r="L981" s="112"/>
      <c r="M981" s="112"/>
      <c r="N981" s="112"/>
      <c r="O981" s="112"/>
      <c r="P981" s="112"/>
      <c r="Q981" s="112"/>
      <c r="R981" s="112"/>
      <c r="S981" s="112"/>
      <c r="T981" s="112"/>
      <c r="U981" s="112"/>
      <c r="V981" s="112"/>
      <c r="W981" s="112"/>
      <c r="X981" s="112"/>
      <c r="Y981" s="112"/>
      <c r="Z981" s="112"/>
    </row>
    <row r="982" spans="1:26" x14ac:dyDescent="0.2">
      <c r="A982" s="113">
        <f>'THE BOARD'!A749</f>
        <v>0</v>
      </c>
      <c r="B982" s="115">
        <f>'THE BOARD'!B749</f>
        <v>0</v>
      </c>
      <c r="C982" s="115"/>
      <c r="D982" s="115"/>
      <c r="E982" s="115"/>
      <c r="F982" s="115"/>
      <c r="G982" s="115"/>
      <c r="H982" s="115"/>
      <c r="I982" s="115"/>
      <c r="J982" s="115"/>
      <c r="K982" s="112"/>
      <c r="L982" s="112"/>
      <c r="M982" s="112"/>
      <c r="N982" s="112"/>
      <c r="O982" s="112"/>
      <c r="P982" s="112"/>
      <c r="Q982" s="112"/>
      <c r="R982" s="112"/>
      <c r="S982" s="112"/>
      <c r="T982" s="112"/>
      <c r="U982" s="112"/>
      <c r="V982" s="112"/>
      <c r="W982" s="112"/>
      <c r="X982" s="112"/>
      <c r="Y982" s="112"/>
      <c r="Z982" s="112"/>
    </row>
    <row r="983" spans="1:26" x14ac:dyDescent="0.2">
      <c r="A983" s="113">
        <f>'THE BOARD'!A750</f>
        <v>0</v>
      </c>
      <c r="B983" s="115">
        <f>'THE BOARD'!B750</f>
        <v>0</v>
      </c>
      <c r="C983" s="115"/>
      <c r="D983" s="115"/>
      <c r="E983" s="115"/>
      <c r="F983" s="115"/>
      <c r="G983" s="115"/>
      <c r="H983" s="115"/>
      <c r="I983" s="115"/>
      <c r="J983" s="115"/>
      <c r="K983" s="112"/>
      <c r="L983" s="112"/>
      <c r="M983" s="112"/>
      <c r="N983" s="112"/>
      <c r="O983" s="112"/>
      <c r="P983" s="112"/>
      <c r="Q983" s="112"/>
      <c r="R983" s="112"/>
      <c r="S983" s="112"/>
      <c r="T983" s="112"/>
      <c r="U983" s="112"/>
      <c r="V983" s="112"/>
      <c r="W983" s="112"/>
      <c r="X983" s="112"/>
      <c r="Y983" s="112"/>
      <c r="Z983" s="112"/>
    </row>
    <row r="984" spans="1:26" x14ac:dyDescent="0.2">
      <c r="A984" s="113">
        <f>'THE BOARD'!A751</f>
        <v>0</v>
      </c>
      <c r="B984" s="115">
        <f>'THE BOARD'!B751</f>
        <v>0</v>
      </c>
      <c r="C984" s="115"/>
      <c r="D984" s="115"/>
      <c r="E984" s="115"/>
      <c r="F984" s="115"/>
      <c r="G984" s="115"/>
      <c r="H984" s="115"/>
      <c r="I984" s="115"/>
      <c r="J984" s="115"/>
      <c r="K984" s="112"/>
      <c r="L984" s="112"/>
      <c r="M984" s="112"/>
      <c r="N984" s="112"/>
      <c r="O984" s="112"/>
      <c r="P984" s="112"/>
      <c r="Q984" s="112"/>
      <c r="R984" s="112"/>
      <c r="S984" s="112"/>
      <c r="T984" s="112"/>
      <c r="U984" s="112"/>
      <c r="V984" s="112"/>
      <c r="W984" s="112"/>
      <c r="X984" s="112"/>
      <c r="Y984" s="112"/>
      <c r="Z984" s="112"/>
    </row>
    <row r="985" spans="1:26" x14ac:dyDescent="0.2">
      <c r="A985" s="113">
        <f>'THE BOARD'!A752</f>
        <v>0</v>
      </c>
      <c r="B985" s="115">
        <f>'THE BOARD'!B752</f>
        <v>0</v>
      </c>
      <c r="C985" s="115"/>
      <c r="D985" s="115"/>
      <c r="E985" s="115"/>
      <c r="F985" s="115"/>
      <c r="G985" s="115"/>
      <c r="H985" s="115"/>
      <c r="I985" s="115"/>
      <c r="J985" s="115"/>
      <c r="K985" s="112"/>
      <c r="L985" s="112"/>
      <c r="M985" s="112"/>
      <c r="N985" s="112"/>
      <c r="O985" s="112"/>
      <c r="P985" s="112"/>
      <c r="Q985" s="112"/>
      <c r="R985" s="112"/>
      <c r="S985" s="112"/>
      <c r="T985" s="112"/>
      <c r="U985" s="112"/>
      <c r="V985" s="112"/>
      <c r="W985" s="112"/>
      <c r="X985" s="112"/>
      <c r="Y985" s="112"/>
      <c r="Z985" s="112"/>
    </row>
    <row r="986" spans="1:26" x14ac:dyDescent="0.2">
      <c r="A986" s="113">
        <f>'THE BOARD'!A753</f>
        <v>0</v>
      </c>
      <c r="B986" s="115">
        <f>'THE BOARD'!B753</f>
        <v>0</v>
      </c>
      <c r="C986" s="115"/>
      <c r="D986" s="115"/>
      <c r="E986" s="115"/>
      <c r="F986" s="115"/>
      <c r="G986" s="115"/>
      <c r="H986" s="115"/>
      <c r="I986" s="115"/>
      <c r="J986" s="115"/>
      <c r="K986" s="112"/>
      <c r="L986" s="112"/>
      <c r="M986" s="112"/>
      <c r="N986" s="112"/>
      <c r="O986" s="112"/>
      <c r="P986" s="112"/>
      <c r="Q986" s="112"/>
      <c r="R986" s="112"/>
      <c r="S986" s="112"/>
      <c r="T986" s="112"/>
      <c r="U986" s="112"/>
      <c r="V986" s="112"/>
      <c r="W986" s="112"/>
      <c r="X986" s="112"/>
      <c r="Y986" s="112"/>
      <c r="Z986" s="112"/>
    </row>
    <row r="987" spans="1:26" x14ac:dyDescent="0.2">
      <c r="A987" s="113">
        <f>'THE BOARD'!A754</f>
        <v>0</v>
      </c>
      <c r="B987" s="115">
        <f>'THE BOARD'!B754</f>
        <v>0</v>
      </c>
      <c r="C987" s="115"/>
      <c r="D987" s="115"/>
      <c r="E987" s="115"/>
      <c r="F987" s="115"/>
      <c r="G987" s="115"/>
      <c r="H987" s="115"/>
      <c r="I987" s="115"/>
      <c r="J987" s="115"/>
      <c r="K987" s="112"/>
      <c r="L987" s="112"/>
      <c r="M987" s="112"/>
      <c r="N987" s="112"/>
      <c r="O987" s="112"/>
      <c r="P987" s="112"/>
      <c r="Q987" s="112"/>
      <c r="R987" s="112"/>
      <c r="S987" s="112"/>
      <c r="T987" s="112"/>
      <c r="U987" s="112"/>
      <c r="V987" s="112"/>
      <c r="W987" s="112"/>
      <c r="X987" s="112"/>
      <c r="Y987" s="112"/>
      <c r="Z987" s="112"/>
    </row>
    <row r="988" spans="1:26" x14ac:dyDescent="0.2">
      <c r="A988" s="113">
        <f>'THE BOARD'!A755</f>
        <v>0</v>
      </c>
      <c r="B988" s="115">
        <f>'THE BOARD'!B755</f>
        <v>0</v>
      </c>
      <c r="C988" s="115"/>
      <c r="D988" s="115"/>
      <c r="E988" s="115"/>
      <c r="F988" s="115"/>
      <c r="G988" s="115"/>
      <c r="H988" s="115"/>
      <c r="I988" s="115"/>
      <c r="J988" s="115"/>
      <c r="K988" s="112"/>
      <c r="L988" s="112"/>
      <c r="M988" s="112"/>
      <c r="N988" s="112"/>
      <c r="O988" s="112"/>
      <c r="P988" s="112"/>
      <c r="Q988" s="112"/>
      <c r="R988" s="112"/>
      <c r="S988" s="112"/>
      <c r="T988" s="112"/>
      <c r="U988" s="112"/>
      <c r="V988" s="112"/>
      <c r="W988" s="112"/>
      <c r="X988" s="112"/>
      <c r="Y988" s="112"/>
      <c r="Z988" s="112"/>
    </row>
    <row r="989" spans="1:26" x14ac:dyDescent="0.2">
      <c r="A989" s="113">
        <f>'THE BOARD'!A756</f>
        <v>0</v>
      </c>
      <c r="B989" s="115">
        <f>'THE BOARD'!B756</f>
        <v>0</v>
      </c>
      <c r="C989" s="115"/>
      <c r="D989" s="115"/>
      <c r="E989" s="115"/>
      <c r="F989" s="115"/>
      <c r="G989" s="115"/>
      <c r="H989" s="115"/>
      <c r="I989" s="115"/>
      <c r="J989" s="115"/>
      <c r="K989" s="112"/>
      <c r="L989" s="112"/>
      <c r="M989" s="112"/>
      <c r="N989" s="112"/>
      <c r="O989" s="112"/>
      <c r="P989" s="112"/>
      <c r="Q989" s="112"/>
      <c r="R989" s="112"/>
      <c r="S989" s="112"/>
      <c r="T989" s="112"/>
      <c r="U989" s="112"/>
      <c r="V989" s="112"/>
      <c r="W989" s="112"/>
      <c r="X989" s="112"/>
      <c r="Y989" s="112"/>
      <c r="Z989" s="112"/>
    </row>
    <row r="990" spans="1:26" x14ac:dyDescent="0.2">
      <c r="A990" s="113">
        <f>'THE BOARD'!A757</f>
        <v>0</v>
      </c>
      <c r="B990" s="115">
        <f>'THE BOARD'!B757</f>
        <v>0</v>
      </c>
      <c r="C990" s="115"/>
      <c r="D990" s="115"/>
      <c r="E990" s="115"/>
      <c r="F990" s="115"/>
      <c r="G990" s="115"/>
      <c r="H990" s="115"/>
      <c r="I990" s="115"/>
      <c r="J990" s="115"/>
      <c r="K990" s="112"/>
      <c r="L990" s="112"/>
      <c r="M990" s="112"/>
      <c r="N990" s="112"/>
      <c r="O990" s="112"/>
      <c r="P990" s="112"/>
      <c r="Q990" s="112"/>
      <c r="R990" s="112"/>
      <c r="S990" s="112"/>
      <c r="T990" s="112"/>
      <c r="U990" s="112"/>
      <c r="V990" s="112"/>
      <c r="W990" s="112"/>
      <c r="X990" s="112"/>
      <c r="Y990" s="112"/>
      <c r="Z990" s="112"/>
    </row>
    <row r="991" spans="1:26" x14ac:dyDescent="0.2">
      <c r="A991" s="113">
        <f>'THE BOARD'!A758</f>
        <v>0</v>
      </c>
      <c r="B991" s="115">
        <f>'THE BOARD'!B758</f>
        <v>0</v>
      </c>
      <c r="C991" s="115"/>
      <c r="D991" s="115"/>
      <c r="E991" s="115"/>
      <c r="F991" s="115"/>
      <c r="G991" s="115"/>
      <c r="H991" s="115"/>
      <c r="I991" s="115"/>
      <c r="J991" s="115"/>
      <c r="K991" s="112"/>
      <c r="L991" s="112"/>
      <c r="M991" s="112"/>
      <c r="N991" s="112"/>
      <c r="O991" s="112"/>
      <c r="P991" s="112"/>
      <c r="Q991" s="112"/>
      <c r="R991" s="112"/>
      <c r="S991" s="112"/>
      <c r="T991" s="112"/>
      <c r="U991" s="112"/>
      <c r="V991" s="112"/>
      <c r="W991" s="112"/>
      <c r="X991" s="112"/>
      <c r="Y991" s="112"/>
      <c r="Z991" s="112"/>
    </row>
    <row r="992" spans="1:26" x14ac:dyDescent="0.2">
      <c r="A992" s="113">
        <f>'THE BOARD'!A759</f>
        <v>0</v>
      </c>
      <c r="B992" s="115">
        <f>'THE BOARD'!B759</f>
        <v>0</v>
      </c>
      <c r="C992" s="115"/>
      <c r="D992" s="115"/>
      <c r="E992" s="115"/>
      <c r="F992" s="115"/>
      <c r="G992" s="115"/>
      <c r="H992" s="115"/>
      <c r="I992" s="115"/>
      <c r="J992" s="115"/>
      <c r="K992" s="112"/>
      <c r="L992" s="112"/>
      <c r="M992" s="112"/>
      <c r="N992" s="112"/>
      <c r="O992" s="112"/>
      <c r="P992" s="112"/>
      <c r="Q992" s="112"/>
      <c r="R992" s="112"/>
      <c r="S992" s="112"/>
      <c r="T992" s="112"/>
      <c r="U992" s="112"/>
      <c r="V992" s="112"/>
      <c r="W992" s="112"/>
      <c r="X992" s="112"/>
      <c r="Y992" s="112"/>
      <c r="Z992" s="112"/>
    </row>
    <row r="993" spans="1:26" x14ac:dyDescent="0.2">
      <c r="A993" s="113">
        <f>'THE BOARD'!A760</f>
        <v>0</v>
      </c>
      <c r="B993" s="115">
        <f>'THE BOARD'!B760</f>
        <v>0</v>
      </c>
      <c r="C993" s="115"/>
      <c r="D993" s="115"/>
      <c r="E993" s="115"/>
      <c r="F993" s="115"/>
      <c r="G993" s="115"/>
      <c r="H993" s="115"/>
      <c r="I993" s="115"/>
      <c r="J993" s="115"/>
      <c r="K993" s="112"/>
      <c r="L993" s="112"/>
      <c r="M993" s="112"/>
      <c r="N993" s="112"/>
      <c r="O993" s="112"/>
      <c r="P993" s="112"/>
      <c r="Q993" s="112"/>
      <c r="R993" s="112"/>
      <c r="S993" s="112"/>
      <c r="T993" s="112"/>
      <c r="U993" s="112"/>
      <c r="V993" s="112"/>
      <c r="W993" s="112"/>
      <c r="X993" s="112"/>
      <c r="Y993" s="112"/>
      <c r="Z993" s="112"/>
    </row>
    <row r="994" spans="1:26" x14ac:dyDescent="0.2">
      <c r="A994" s="113">
        <f>'THE BOARD'!A761</f>
        <v>0</v>
      </c>
      <c r="B994" s="115">
        <f>'THE BOARD'!B761</f>
        <v>0</v>
      </c>
      <c r="C994" s="115"/>
      <c r="D994" s="115"/>
      <c r="E994" s="115"/>
      <c r="F994" s="115"/>
      <c r="G994" s="115"/>
      <c r="H994" s="115"/>
      <c r="I994" s="115"/>
      <c r="J994" s="115"/>
      <c r="K994" s="112"/>
      <c r="L994" s="112"/>
      <c r="M994" s="112"/>
      <c r="N994" s="112"/>
      <c r="O994" s="112"/>
      <c r="P994" s="112"/>
      <c r="Q994" s="112"/>
      <c r="R994" s="112"/>
      <c r="S994" s="112"/>
      <c r="T994" s="112"/>
      <c r="U994" s="112"/>
      <c r="V994" s="112"/>
      <c r="W994" s="112"/>
      <c r="X994" s="112"/>
      <c r="Y994" s="112"/>
      <c r="Z994" s="112"/>
    </row>
    <row r="995" spans="1:26" x14ac:dyDescent="0.2">
      <c r="A995" s="113">
        <f>'THE BOARD'!A762</f>
        <v>0</v>
      </c>
      <c r="B995" s="115">
        <f>'THE BOARD'!B762</f>
        <v>0</v>
      </c>
      <c r="C995" s="115"/>
      <c r="D995" s="115"/>
      <c r="E995" s="115"/>
      <c r="F995" s="115"/>
      <c r="G995" s="115"/>
      <c r="H995" s="115"/>
      <c r="I995" s="115"/>
      <c r="J995" s="115"/>
      <c r="K995" s="112"/>
      <c r="L995" s="112"/>
      <c r="M995" s="112"/>
      <c r="N995" s="112"/>
      <c r="O995" s="112"/>
      <c r="P995" s="112"/>
      <c r="Q995" s="112"/>
      <c r="R995" s="112"/>
      <c r="S995" s="112"/>
      <c r="T995" s="112"/>
      <c r="U995" s="112"/>
      <c r="V995" s="112"/>
      <c r="W995" s="112"/>
      <c r="X995" s="112"/>
      <c r="Y995" s="112"/>
      <c r="Z995" s="112"/>
    </row>
    <row r="996" spans="1:26" x14ac:dyDescent="0.2">
      <c r="A996" s="113">
        <f>'THE BOARD'!A763</f>
        <v>0</v>
      </c>
      <c r="B996" s="115">
        <f>'THE BOARD'!B763</f>
        <v>0</v>
      </c>
      <c r="C996" s="115"/>
      <c r="D996" s="115"/>
      <c r="E996" s="115"/>
      <c r="F996" s="115"/>
      <c r="G996" s="115"/>
      <c r="H996" s="115"/>
      <c r="I996" s="115"/>
      <c r="J996" s="115"/>
      <c r="K996" s="112"/>
      <c r="L996" s="112"/>
      <c r="M996" s="112"/>
      <c r="N996" s="112"/>
      <c r="O996" s="112"/>
      <c r="P996" s="112"/>
      <c r="Q996" s="112"/>
      <c r="R996" s="112"/>
      <c r="S996" s="112"/>
      <c r="T996" s="112"/>
      <c r="U996" s="112"/>
      <c r="V996" s="112"/>
      <c r="W996" s="112"/>
      <c r="X996" s="112"/>
      <c r="Y996" s="112"/>
      <c r="Z996" s="112"/>
    </row>
    <row r="997" spans="1:26" x14ac:dyDescent="0.2">
      <c r="A997" s="113">
        <f>'THE BOARD'!A764</f>
        <v>0</v>
      </c>
      <c r="B997" s="115">
        <f>'THE BOARD'!B764</f>
        <v>0</v>
      </c>
      <c r="C997" s="115"/>
      <c r="D997" s="115"/>
      <c r="E997" s="115"/>
      <c r="F997" s="115"/>
      <c r="G997" s="115"/>
      <c r="H997" s="115"/>
      <c r="I997" s="115"/>
      <c r="J997" s="115"/>
      <c r="K997" s="112"/>
      <c r="L997" s="112"/>
      <c r="M997" s="112"/>
      <c r="N997" s="112"/>
      <c r="O997" s="112"/>
      <c r="P997" s="112"/>
      <c r="Q997" s="112"/>
      <c r="R997" s="112"/>
      <c r="S997" s="112"/>
      <c r="T997" s="112"/>
      <c r="U997" s="112"/>
      <c r="V997" s="112"/>
      <c r="W997" s="112"/>
      <c r="X997" s="112"/>
      <c r="Y997" s="112"/>
      <c r="Z997" s="112"/>
    </row>
    <row r="998" spans="1:26" x14ac:dyDescent="0.2">
      <c r="A998" s="113">
        <f>'THE BOARD'!A765</f>
        <v>0</v>
      </c>
      <c r="B998" s="115">
        <f>'THE BOARD'!B765</f>
        <v>0</v>
      </c>
      <c r="C998" s="115"/>
      <c r="D998" s="115"/>
      <c r="E998" s="115"/>
      <c r="F998" s="115"/>
      <c r="G998" s="115"/>
      <c r="H998" s="115"/>
      <c r="I998" s="115"/>
      <c r="J998" s="115"/>
      <c r="K998" s="112"/>
      <c r="L998" s="112"/>
      <c r="M998" s="112"/>
      <c r="N998" s="112"/>
      <c r="O998" s="112"/>
      <c r="P998" s="112"/>
      <c r="Q998" s="112"/>
      <c r="R998" s="112"/>
      <c r="S998" s="112"/>
      <c r="T998" s="112"/>
      <c r="U998" s="112"/>
      <c r="V998" s="112"/>
      <c r="W998" s="112"/>
      <c r="X998" s="112"/>
      <c r="Y998" s="112"/>
      <c r="Z998" s="112"/>
    </row>
    <row r="999" spans="1:26" x14ac:dyDescent="0.2">
      <c r="A999" s="113">
        <f>'THE BOARD'!A766</f>
        <v>0</v>
      </c>
      <c r="B999" s="115">
        <f>'THE BOARD'!B766</f>
        <v>0</v>
      </c>
      <c r="C999" s="115"/>
      <c r="D999" s="115"/>
      <c r="E999" s="115"/>
      <c r="F999" s="115"/>
      <c r="G999" s="115"/>
      <c r="H999" s="115"/>
      <c r="I999" s="115"/>
      <c r="J999" s="115"/>
      <c r="K999" s="112"/>
      <c r="L999" s="112"/>
      <c r="M999" s="112"/>
      <c r="N999" s="112"/>
      <c r="O999" s="112"/>
      <c r="P999" s="112"/>
      <c r="Q999" s="112"/>
      <c r="R999" s="112"/>
      <c r="S999" s="112"/>
      <c r="T999" s="112"/>
      <c r="U999" s="112"/>
      <c r="V999" s="112"/>
      <c r="W999" s="112"/>
      <c r="X999" s="112"/>
      <c r="Y999" s="112"/>
      <c r="Z999" s="112"/>
    </row>
    <row r="1000" spans="1:26" x14ac:dyDescent="0.2">
      <c r="A1000" s="113">
        <f>'THE BOARD'!A767</f>
        <v>0</v>
      </c>
      <c r="B1000" s="115">
        <f>'THE BOARD'!B767</f>
        <v>0</v>
      </c>
      <c r="C1000" s="115"/>
      <c r="D1000" s="115"/>
      <c r="E1000" s="115"/>
      <c r="F1000" s="115"/>
      <c r="G1000" s="115"/>
      <c r="H1000" s="115"/>
      <c r="I1000" s="115"/>
      <c r="J1000" s="115"/>
      <c r="K1000" s="112"/>
      <c r="L1000" s="112"/>
      <c r="M1000" s="112"/>
      <c r="N1000" s="112"/>
      <c r="O1000" s="112"/>
      <c r="P1000" s="112"/>
      <c r="Q1000" s="112"/>
      <c r="R1000" s="112"/>
      <c r="S1000" s="112"/>
      <c r="T1000" s="112"/>
      <c r="U1000" s="112"/>
      <c r="V1000" s="112"/>
      <c r="W1000" s="112"/>
      <c r="X1000" s="112"/>
      <c r="Y1000" s="112"/>
      <c r="Z1000" s="1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1000"/>
  <sheetViews>
    <sheetView workbookViewId="0"/>
  </sheetViews>
  <sheetFormatPr defaultColWidth="12.5703125" defaultRowHeight="15.75" customHeight="1" x14ac:dyDescent="0.2"/>
  <cols>
    <col min="2" max="2" width="21.85546875" customWidth="1"/>
    <col min="3" max="3" width="19.140625" customWidth="1"/>
    <col min="4" max="4" width="16.5703125" customWidth="1"/>
    <col min="10" max="10" width="32.42578125" customWidth="1"/>
  </cols>
  <sheetData>
    <row r="1" spans="1:11" ht="15.75" customHeight="1" x14ac:dyDescent="0.25">
      <c r="A1" s="120" t="s">
        <v>147</v>
      </c>
      <c r="C1" s="99"/>
      <c r="D1" s="99"/>
    </row>
    <row r="2" spans="1:11" ht="12.75" x14ac:dyDescent="0.2">
      <c r="A2" s="68" t="e">
        <f>'THE BOARD'!#REF!</f>
        <v>#REF!</v>
      </c>
      <c r="B2" s="68" t="e">
        <f>'THE BOARD'!#REF!</f>
        <v>#REF!</v>
      </c>
      <c r="C2" s="99" t="e">
        <f>IF('THE BOARD'!#REF! = "NESTED","",IF('THE BOARD'!#REF!&lt;&gt;"",'THE BOARD'!#REF!+0.72,""))</f>
        <v>#REF!</v>
      </c>
      <c r="D2" s="99" t="e">
        <f>IF(C2&lt;&gt;"", IF('THE BOARD'!#REF! = "NESTED","",'THE BOARD'!#REF! + IF(C2&lt;&gt;"", 0.72,0)),"")</f>
        <v>#REF!</v>
      </c>
      <c r="E2" s="68" t="e">
        <f>'THE BOARD'!#REF!</f>
        <v>#REF!</v>
      </c>
      <c r="F2" s="68" t="e">
        <f>'THE BOARD'!#REF!</f>
        <v>#REF!</v>
      </c>
      <c r="G2" s="68" t="e">
        <f>'THE BOARD'!#REF!</f>
        <v>#REF!</v>
      </c>
      <c r="H2" s="68" t="e">
        <f>'THE BOARD'!#REF!</f>
        <v>#REF!</v>
      </c>
      <c r="I2" s="68" t="e">
        <f>'THE BOARD'!#REF!</f>
        <v>#REF!</v>
      </c>
      <c r="J2" s="68" t="e">
        <f>'THE BOARD'!#REF!</f>
        <v>#REF!</v>
      </c>
      <c r="K2" s="68" t="e">
        <f>'THE BOARD'!#REF!</f>
        <v>#REF!</v>
      </c>
    </row>
    <row r="3" spans="1:11" ht="12.75" x14ac:dyDescent="0.2">
      <c r="A3" s="68" t="e">
        <f>'THE BOARD'!#REF!</f>
        <v>#REF!</v>
      </c>
      <c r="B3" s="68" t="e">
        <f>'THE BOARD'!#REF!</f>
        <v>#REF!</v>
      </c>
      <c r="C3" s="99" t="e">
        <f>IF('THE BOARD'!#REF! = "NESTED","",IF('THE BOARD'!#REF!&lt;&gt;"",'THE BOARD'!#REF!+0.72,""))</f>
        <v>#REF!</v>
      </c>
      <c r="D3" s="99" t="e">
        <f>IF(C3&lt;&gt;"", IF('THE BOARD'!#REF! = "NESTED","",'THE BOARD'!#REF! + IF(C3&lt;&gt;"", 0.72,0)),"")</f>
        <v>#REF!</v>
      </c>
      <c r="E3" s="68" t="e">
        <f>'THE BOARD'!#REF!</f>
        <v>#REF!</v>
      </c>
      <c r="F3" s="68" t="e">
        <f>'THE BOARD'!#REF!</f>
        <v>#REF!</v>
      </c>
      <c r="G3" s="68" t="e">
        <f>'THE BOARD'!#REF!</f>
        <v>#REF!</v>
      </c>
      <c r="H3" s="68" t="e">
        <f>'THE BOARD'!#REF!</f>
        <v>#REF!</v>
      </c>
      <c r="I3" s="68" t="e">
        <f>'THE BOARD'!#REF!</f>
        <v>#REF!</v>
      </c>
      <c r="J3" s="68" t="e">
        <f>'THE BOARD'!#REF!</f>
        <v>#REF!</v>
      </c>
      <c r="K3" s="68" t="e">
        <f>'THE BOARD'!#REF!</f>
        <v>#REF!</v>
      </c>
    </row>
    <row r="4" spans="1:11" ht="12.75" x14ac:dyDescent="0.2">
      <c r="A4" s="68" t="e">
        <f>'THE BOARD'!#REF!</f>
        <v>#REF!</v>
      </c>
      <c r="B4" s="68" t="e">
        <f>'THE BOARD'!#REF!</f>
        <v>#REF!</v>
      </c>
      <c r="C4" s="99" t="e">
        <f>IF('THE BOARD'!#REF! = "NESTED","",IF('THE BOARD'!#REF!&lt;&gt;"",'THE BOARD'!#REF!+0.72,""))</f>
        <v>#REF!</v>
      </c>
      <c r="D4" s="99" t="e">
        <f>IF(C4&lt;&gt;"", IF('THE BOARD'!#REF! = "NESTED","",'THE BOARD'!#REF! + IF(C4&lt;&gt;"", 0.72,0)),"")</f>
        <v>#REF!</v>
      </c>
      <c r="E4" s="68" t="e">
        <f>'THE BOARD'!#REF!</f>
        <v>#REF!</v>
      </c>
      <c r="F4" s="68" t="e">
        <f>'THE BOARD'!#REF!</f>
        <v>#REF!</v>
      </c>
      <c r="G4" s="68" t="e">
        <f>'THE BOARD'!#REF!</f>
        <v>#REF!</v>
      </c>
      <c r="H4" s="68" t="e">
        <f>'THE BOARD'!#REF!</f>
        <v>#REF!</v>
      </c>
      <c r="I4" s="68" t="e">
        <f>'THE BOARD'!#REF!</f>
        <v>#REF!</v>
      </c>
      <c r="J4" s="68" t="e">
        <f>'THE BOARD'!#REF!</f>
        <v>#REF!</v>
      </c>
      <c r="K4" s="68" t="e">
        <f>'THE BOARD'!#REF!</f>
        <v>#REF!</v>
      </c>
    </row>
    <row r="5" spans="1:11" ht="12.75" x14ac:dyDescent="0.2">
      <c r="A5" s="68" t="e">
        <f>'THE BOARD'!#REF!</f>
        <v>#REF!</v>
      </c>
      <c r="B5" s="68" t="e">
        <f>'THE BOARD'!#REF!</f>
        <v>#REF!</v>
      </c>
      <c r="C5" s="99" t="e">
        <f>IF('THE BOARD'!#REF! = "NESTED","",IF('THE BOARD'!#REF!&lt;&gt;"",'THE BOARD'!#REF!+0.72,""))</f>
        <v>#REF!</v>
      </c>
      <c r="D5" s="99" t="e">
        <f>IF(C5&lt;&gt;"", IF('THE BOARD'!#REF! = "NESTED","",'THE BOARD'!#REF! + IF(C5&lt;&gt;"", 0.72,0)),"")</f>
        <v>#REF!</v>
      </c>
      <c r="E5" s="68" t="e">
        <f>'THE BOARD'!#REF!</f>
        <v>#REF!</v>
      </c>
      <c r="F5" s="68" t="e">
        <f>'THE BOARD'!#REF!</f>
        <v>#REF!</v>
      </c>
      <c r="G5" s="68" t="e">
        <f>'THE BOARD'!#REF!</f>
        <v>#REF!</v>
      </c>
      <c r="H5" s="68" t="e">
        <f>'THE BOARD'!#REF!</f>
        <v>#REF!</v>
      </c>
      <c r="I5" s="68" t="e">
        <f>'THE BOARD'!#REF!</f>
        <v>#REF!</v>
      </c>
      <c r="J5" s="68" t="e">
        <f>'THE BOARD'!#REF!</f>
        <v>#REF!</v>
      </c>
      <c r="K5" s="68" t="e">
        <f>'THE BOARD'!#REF!</f>
        <v>#REF!</v>
      </c>
    </row>
    <row r="6" spans="1:11" ht="12.75" x14ac:dyDescent="0.2">
      <c r="A6" s="68" t="e">
        <f>'THE BOARD'!#REF!</f>
        <v>#REF!</v>
      </c>
      <c r="B6" s="68" t="e">
        <f>'THE BOARD'!#REF!</f>
        <v>#REF!</v>
      </c>
      <c r="C6" s="99" t="e">
        <f>IF('THE BOARD'!#REF! = "NESTED","",IF('THE BOARD'!#REF!&lt;&gt;"",'THE BOARD'!#REF!+0.72,""))</f>
        <v>#REF!</v>
      </c>
      <c r="D6" s="99" t="e">
        <f>IF(C6&lt;&gt;"", IF('THE BOARD'!#REF! = "NESTED","",'THE BOARD'!#REF! + IF(C6&lt;&gt;"", 0.72,0)),"")</f>
        <v>#REF!</v>
      </c>
      <c r="E6" s="68" t="e">
        <f>'THE BOARD'!#REF!</f>
        <v>#REF!</v>
      </c>
      <c r="F6" s="68" t="e">
        <f>'THE BOARD'!#REF!</f>
        <v>#REF!</v>
      </c>
      <c r="G6" s="68" t="e">
        <f>'THE BOARD'!#REF!</f>
        <v>#REF!</v>
      </c>
      <c r="H6" s="68" t="e">
        <f>'THE BOARD'!#REF!</f>
        <v>#REF!</v>
      </c>
      <c r="I6" s="68" t="e">
        <f>'THE BOARD'!#REF!</f>
        <v>#REF!</v>
      </c>
      <c r="J6" s="68" t="e">
        <f>'THE BOARD'!#REF!</f>
        <v>#REF!</v>
      </c>
      <c r="K6" s="68" t="e">
        <f>'THE BOARD'!#REF!</f>
        <v>#REF!</v>
      </c>
    </row>
    <row r="7" spans="1:11" ht="12.75" x14ac:dyDescent="0.2">
      <c r="A7" s="68" t="e">
        <f>'THE BOARD'!#REF!</f>
        <v>#REF!</v>
      </c>
      <c r="B7" s="68" t="e">
        <f>'THE BOARD'!#REF!</f>
        <v>#REF!</v>
      </c>
      <c r="C7" s="99" t="e">
        <f>IF('THE BOARD'!#REF! = "NESTED","",IF('THE BOARD'!#REF!&lt;&gt;"",'THE BOARD'!#REF!+0.72,""))</f>
        <v>#REF!</v>
      </c>
      <c r="D7" s="99" t="e">
        <f>IF(C7&lt;&gt;"", IF('THE BOARD'!#REF! = "NESTED","",'THE BOARD'!#REF! + IF(C7&lt;&gt;"", 0.72,0)),"")</f>
        <v>#REF!</v>
      </c>
      <c r="E7" s="68" t="e">
        <f>'THE BOARD'!#REF!</f>
        <v>#REF!</v>
      </c>
      <c r="F7" s="68" t="e">
        <f>'THE BOARD'!#REF!</f>
        <v>#REF!</v>
      </c>
      <c r="G7" s="68" t="e">
        <f>'THE BOARD'!#REF!</f>
        <v>#REF!</v>
      </c>
      <c r="H7" s="68" t="e">
        <f>'THE BOARD'!#REF!</f>
        <v>#REF!</v>
      </c>
      <c r="I7" s="68" t="e">
        <f>'THE BOARD'!#REF!</f>
        <v>#REF!</v>
      </c>
      <c r="J7" s="68" t="e">
        <f>'THE BOARD'!#REF!</f>
        <v>#REF!</v>
      </c>
      <c r="K7" s="68" t="e">
        <f>'THE BOARD'!#REF!</f>
        <v>#REF!</v>
      </c>
    </row>
    <row r="8" spans="1:11" ht="12.75" x14ac:dyDescent="0.2">
      <c r="A8" s="68" t="e">
        <f>'THE BOARD'!#REF!</f>
        <v>#REF!</v>
      </c>
      <c r="B8" s="68" t="e">
        <f>'THE BOARD'!#REF!</f>
        <v>#REF!</v>
      </c>
      <c r="C8" s="99" t="e">
        <f>IF('THE BOARD'!#REF! = "NESTED","",IF('THE BOARD'!#REF!&lt;&gt;"",'THE BOARD'!#REF!+0.72,""))</f>
        <v>#REF!</v>
      </c>
      <c r="D8" s="99" t="e">
        <f>IF(C8&lt;&gt;"", IF('THE BOARD'!#REF! = "NESTED","",'THE BOARD'!#REF! + IF(C8&lt;&gt;"", 0.72,0)),"")</f>
        <v>#REF!</v>
      </c>
      <c r="E8" s="68" t="e">
        <f>'THE BOARD'!#REF!</f>
        <v>#REF!</v>
      </c>
      <c r="F8" s="68" t="e">
        <f>'THE BOARD'!#REF!</f>
        <v>#REF!</v>
      </c>
      <c r="G8" s="68" t="e">
        <f>'THE BOARD'!#REF!</f>
        <v>#REF!</v>
      </c>
      <c r="H8" s="68" t="e">
        <f>'THE BOARD'!#REF!</f>
        <v>#REF!</v>
      </c>
      <c r="I8" s="68" t="e">
        <f>'THE BOARD'!#REF!</f>
        <v>#REF!</v>
      </c>
      <c r="J8" s="68" t="e">
        <f>'THE BOARD'!#REF!</f>
        <v>#REF!</v>
      </c>
      <c r="K8" s="68" t="e">
        <f>'THE BOARD'!#REF!</f>
        <v>#REF!</v>
      </c>
    </row>
    <row r="9" spans="1:11" ht="12.75" x14ac:dyDescent="0.2">
      <c r="A9" s="68" t="e">
        <f>'THE BOARD'!#REF!</f>
        <v>#REF!</v>
      </c>
      <c r="B9" s="68" t="e">
        <f>'THE BOARD'!#REF!</f>
        <v>#REF!</v>
      </c>
      <c r="C9" s="99" t="e">
        <f>IF('THE BOARD'!#REF! = "NESTED","",IF('THE BOARD'!#REF!&lt;&gt;"",'THE BOARD'!#REF!+0.72,""))</f>
        <v>#REF!</v>
      </c>
      <c r="D9" s="99" t="e">
        <f>IF(C9&lt;&gt;"", IF('THE BOARD'!#REF! = "NESTED","",'THE BOARD'!#REF! + IF(C9&lt;&gt;"", 0.72,0)),"")</f>
        <v>#REF!</v>
      </c>
      <c r="E9" s="68" t="e">
        <f>'THE BOARD'!#REF!</f>
        <v>#REF!</v>
      </c>
      <c r="F9" s="68" t="e">
        <f>'THE BOARD'!#REF!</f>
        <v>#REF!</v>
      </c>
      <c r="G9" s="68" t="e">
        <f>'THE BOARD'!#REF!</f>
        <v>#REF!</v>
      </c>
      <c r="H9" s="68" t="e">
        <f>'THE BOARD'!#REF!</f>
        <v>#REF!</v>
      </c>
      <c r="I9" s="68" t="e">
        <f>'THE BOARD'!#REF!</f>
        <v>#REF!</v>
      </c>
      <c r="J9" s="68" t="e">
        <f>'THE BOARD'!#REF!</f>
        <v>#REF!</v>
      </c>
      <c r="K9" s="68" t="e">
        <f>'THE BOARD'!#REF!</f>
        <v>#REF!</v>
      </c>
    </row>
    <row r="10" spans="1:11" ht="12.75" x14ac:dyDescent="0.2">
      <c r="A10" s="68" t="e">
        <f>'THE BOARD'!#REF!</f>
        <v>#REF!</v>
      </c>
      <c r="B10" s="68" t="e">
        <f>'THE BOARD'!#REF!</f>
        <v>#REF!</v>
      </c>
      <c r="C10" s="99" t="e">
        <f>IF('THE BOARD'!#REF! = "NESTED","",IF('THE BOARD'!#REF!&lt;&gt;"",'THE BOARD'!#REF!+0.72,""))</f>
        <v>#REF!</v>
      </c>
      <c r="D10" s="99" t="e">
        <f>IF(C10&lt;&gt;"", IF('THE BOARD'!#REF! = "NESTED","",'THE BOARD'!#REF! + IF(C10&lt;&gt;"", 0.72,0)),"")</f>
        <v>#REF!</v>
      </c>
      <c r="E10" s="68" t="e">
        <f>'THE BOARD'!#REF!</f>
        <v>#REF!</v>
      </c>
      <c r="F10" s="68" t="e">
        <f>'THE BOARD'!#REF!</f>
        <v>#REF!</v>
      </c>
      <c r="G10" s="68" t="e">
        <f>'THE BOARD'!#REF!</f>
        <v>#REF!</v>
      </c>
      <c r="H10" s="68" t="e">
        <f>'THE BOARD'!#REF!</f>
        <v>#REF!</v>
      </c>
      <c r="I10" s="68" t="e">
        <f>'THE BOARD'!#REF!</f>
        <v>#REF!</v>
      </c>
      <c r="J10" s="68" t="e">
        <f>'THE BOARD'!#REF!</f>
        <v>#REF!</v>
      </c>
      <c r="K10" s="68" t="e">
        <f>'THE BOARD'!#REF!</f>
        <v>#REF!</v>
      </c>
    </row>
    <row r="11" spans="1:11" ht="12.75" x14ac:dyDescent="0.2">
      <c r="A11" s="68" t="e">
        <f>'THE BOARD'!#REF!</f>
        <v>#REF!</v>
      </c>
      <c r="B11" s="68" t="e">
        <f>'THE BOARD'!#REF!</f>
        <v>#REF!</v>
      </c>
      <c r="C11" s="99" t="e">
        <f>IF('THE BOARD'!#REF! = "NESTED","",IF('THE BOARD'!#REF!&lt;&gt;"",'THE BOARD'!#REF!+0.72,""))</f>
        <v>#REF!</v>
      </c>
      <c r="D11" s="99" t="e">
        <f>IF(C11&lt;&gt;"", IF('THE BOARD'!#REF! = "NESTED","",'THE BOARD'!#REF! + IF(C11&lt;&gt;"", 0.72,0)),"")</f>
        <v>#REF!</v>
      </c>
      <c r="E11" s="68" t="e">
        <f>'THE BOARD'!#REF!</f>
        <v>#REF!</v>
      </c>
      <c r="F11" s="68" t="e">
        <f>'THE BOARD'!#REF!</f>
        <v>#REF!</v>
      </c>
      <c r="G11" s="68" t="e">
        <f>'THE BOARD'!#REF!</f>
        <v>#REF!</v>
      </c>
      <c r="H11" s="68" t="e">
        <f>'THE BOARD'!#REF!</f>
        <v>#REF!</v>
      </c>
      <c r="I11" s="68" t="e">
        <f>'THE BOARD'!#REF!</f>
        <v>#REF!</v>
      </c>
      <c r="J11" s="68" t="e">
        <f>'THE BOARD'!#REF!</f>
        <v>#REF!</v>
      </c>
      <c r="K11" s="68" t="e">
        <f>'THE BOARD'!#REF!</f>
        <v>#REF!</v>
      </c>
    </row>
    <row r="12" spans="1:11" ht="12.75" x14ac:dyDescent="0.2">
      <c r="A12" s="68" t="e">
        <f>'THE BOARD'!#REF!</f>
        <v>#REF!</v>
      </c>
      <c r="B12" s="68" t="e">
        <f>'THE BOARD'!#REF!</f>
        <v>#REF!</v>
      </c>
      <c r="C12" s="99" t="e">
        <f>IF('THE BOARD'!#REF! = "NESTED","",IF('THE BOARD'!#REF!&lt;&gt;"",'THE BOARD'!#REF!+0.72,""))</f>
        <v>#REF!</v>
      </c>
      <c r="D12" s="99" t="e">
        <f>IF(C12&lt;&gt;"", IF('THE BOARD'!#REF! = "NESTED","",'THE BOARD'!#REF! + IF(C12&lt;&gt;"", 0.72,0)),"")</f>
        <v>#REF!</v>
      </c>
      <c r="E12" s="68" t="e">
        <f>'THE BOARD'!#REF!</f>
        <v>#REF!</v>
      </c>
      <c r="F12" s="68" t="e">
        <f>'THE BOARD'!#REF!</f>
        <v>#REF!</v>
      </c>
      <c r="G12" s="68" t="e">
        <f>'THE BOARD'!#REF!</f>
        <v>#REF!</v>
      </c>
      <c r="H12" s="68" t="e">
        <f>'THE BOARD'!#REF!</f>
        <v>#REF!</v>
      </c>
      <c r="I12" s="68" t="e">
        <f>'THE BOARD'!#REF!</f>
        <v>#REF!</v>
      </c>
      <c r="J12" s="68" t="e">
        <f>'THE BOARD'!#REF!</f>
        <v>#REF!</v>
      </c>
      <c r="K12" s="68" t="e">
        <f>'THE BOARD'!#REF!</f>
        <v>#REF!</v>
      </c>
    </row>
    <row r="13" spans="1:11" ht="12.75" x14ac:dyDescent="0.2">
      <c r="A13" s="68" t="e">
        <f>'THE BOARD'!#REF!</f>
        <v>#REF!</v>
      </c>
      <c r="B13" s="68" t="e">
        <f>'THE BOARD'!#REF!</f>
        <v>#REF!</v>
      </c>
      <c r="C13" s="99" t="e">
        <f>IF('THE BOARD'!#REF! = "NESTED","",IF('THE BOARD'!#REF!&lt;&gt;"",'THE BOARD'!#REF!+0.72,""))</f>
        <v>#REF!</v>
      </c>
      <c r="D13" s="99" t="e">
        <f>IF(C13&lt;&gt;"", IF('THE BOARD'!#REF! = "NESTED","",'THE BOARD'!#REF! + IF(C13&lt;&gt;"", 0.72,0)),"")</f>
        <v>#REF!</v>
      </c>
      <c r="E13" s="68" t="e">
        <f>'THE BOARD'!#REF!</f>
        <v>#REF!</v>
      </c>
      <c r="F13" s="68" t="e">
        <f>'THE BOARD'!#REF!</f>
        <v>#REF!</v>
      </c>
      <c r="G13" s="68" t="e">
        <f>'THE BOARD'!#REF!</f>
        <v>#REF!</v>
      </c>
      <c r="H13" s="68" t="e">
        <f>'THE BOARD'!#REF!</f>
        <v>#REF!</v>
      </c>
      <c r="I13" s="68" t="e">
        <f>'THE BOARD'!#REF!</f>
        <v>#REF!</v>
      </c>
      <c r="J13" s="68" t="e">
        <f>'THE BOARD'!#REF!</f>
        <v>#REF!</v>
      </c>
      <c r="K13" s="68" t="e">
        <f>'THE BOARD'!#REF!</f>
        <v>#REF!</v>
      </c>
    </row>
    <row r="14" spans="1:11" ht="12.75" x14ac:dyDescent="0.2">
      <c r="A14" s="68" t="e">
        <f>'THE BOARD'!#REF!</f>
        <v>#REF!</v>
      </c>
      <c r="B14" s="68" t="e">
        <f>'THE BOARD'!#REF!</f>
        <v>#REF!</v>
      </c>
      <c r="C14" s="99" t="e">
        <f>IF('THE BOARD'!#REF! = "NESTED","",IF('THE BOARD'!#REF!&lt;&gt;"",'THE BOARD'!#REF!+0.72,""))</f>
        <v>#REF!</v>
      </c>
      <c r="D14" s="99" t="e">
        <f>IF(C14&lt;&gt;"", IF('THE BOARD'!#REF! = "NESTED","",'THE BOARD'!#REF! + IF(C14&lt;&gt;"", 0.72,0)),"")</f>
        <v>#REF!</v>
      </c>
      <c r="E14" s="68" t="e">
        <f>'THE BOARD'!#REF!</f>
        <v>#REF!</v>
      </c>
      <c r="F14" s="68" t="e">
        <f>'THE BOARD'!#REF!</f>
        <v>#REF!</v>
      </c>
      <c r="G14" s="68" t="e">
        <f>'THE BOARD'!#REF!</f>
        <v>#REF!</v>
      </c>
      <c r="H14" s="68" t="e">
        <f>'THE BOARD'!#REF!</f>
        <v>#REF!</v>
      </c>
      <c r="I14" s="68" t="e">
        <f>'THE BOARD'!#REF!</f>
        <v>#REF!</v>
      </c>
      <c r="J14" s="68" t="e">
        <f>'THE BOARD'!#REF!</f>
        <v>#REF!</v>
      </c>
      <c r="K14" s="68" t="e">
        <f>'THE BOARD'!#REF!</f>
        <v>#REF!</v>
      </c>
    </row>
    <row r="15" spans="1:11" ht="12.75" x14ac:dyDescent="0.2">
      <c r="A15" s="68" t="e">
        <f>'THE BOARD'!#REF!</f>
        <v>#REF!</v>
      </c>
      <c r="B15" s="68" t="e">
        <f>'THE BOARD'!#REF!</f>
        <v>#REF!</v>
      </c>
      <c r="C15" s="99" t="e">
        <f>IF('THE BOARD'!#REF! = "NESTED","",IF('THE BOARD'!#REF!&lt;&gt;"",'THE BOARD'!#REF!+0.72,""))</f>
        <v>#REF!</v>
      </c>
      <c r="D15" s="99" t="e">
        <f>IF(C15&lt;&gt;"", IF('THE BOARD'!#REF! = "NESTED","",'THE BOARD'!#REF! + IF(C15&lt;&gt;"", 0.72,0)),"")</f>
        <v>#REF!</v>
      </c>
      <c r="E15" s="68" t="e">
        <f>'THE BOARD'!#REF!</f>
        <v>#REF!</v>
      </c>
      <c r="F15" s="68" t="e">
        <f>'THE BOARD'!#REF!</f>
        <v>#REF!</v>
      </c>
      <c r="G15" s="68" t="e">
        <f>'THE BOARD'!#REF!</f>
        <v>#REF!</v>
      </c>
      <c r="H15" s="68" t="e">
        <f>'THE BOARD'!#REF!</f>
        <v>#REF!</v>
      </c>
      <c r="I15" s="68" t="e">
        <f>'THE BOARD'!#REF!</f>
        <v>#REF!</v>
      </c>
      <c r="J15" s="68" t="e">
        <f>'THE BOARD'!#REF!</f>
        <v>#REF!</v>
      </c>
      <c r="K15" s="68" t="e">
        <f>'THE BOARD'!#REF!</f>
        <v>#REF!</v>
      </c>
    </row>
    <row r="16" spans="1:11" ht="12.75" x14ac:dyDescent="0.2">
      <c r="A16" s="68" t="e">
        <f>'THE BOARD'!#REF!</f>
        <v>#REF!</v>
      </c>
      <c r="B16" s="68" t="e">
        <f>'THE BOARD'!#REF!</f>
        <v>#REF!</v>
      </c>
      <c r="C16" s="99" t="e">
        <f>IF('THE BOARD'!#REF! = "NESTED","",IF('THE BOARD'!#REF!&lt;&gt;"",'THE BOARD'!#REF!+0.72,""))</f>
        <v>#REF!</v>
      </c>
      <c r="D16" s="99" t="e">
        <f>IF(C16&lt;&gt;"", IF('THE BOARD'!#REF! = "NESTED","",'THE BOARD'!#REF! + IF(C16&lt;&gt;"", 0.72,0)),"")</f>
        <v>#REF!</v>
      </c>
      <c r="E16" s="68" t="e">
        <f>'THE BOARD'!#REF!</f>
        <v>#REF!</v>
      </c>
      <c r="F16" s="68" t="e">
        <f>'THE BOARD'!#REF!</f>
        <v>#REF!</v>
      </c>
      <c r="G16" s="68" t="e">
        <f>'THE BOARD'!#REF!</f>
        <v>#REF!</v>
      </c>
      <c r="H16" s="68" t="e">
        <f>'THE BOARD'!#REF!</f>
        <v>#REF!</v>
      </c>
      <c r="I16" s="68" t="e">
        <f>'THE BOARD'!#REF!</f>
        <v>#REF!</v>
      </c>
      <c r="J16" s="68" t="e">
        <f>'THE BOARD'!#REF!</f>
        <v>#REF!</v>
      </c>
      <c r="K16" s="68" t="e">
        <f>'THE BOARD'!#REF!</f>
        <v>#REF!</v>
      </c>
    </row>
    <row r="17" spans="1:11" ht="12.75" x14ac:dyDescent="0.2">
      <c r="A17" s="68" t="e">
        <f>'THE BOARD'!#REF!</f>
        <v>#REF!</v>
      </c>
      <c r="B17" s="68" t="e">
        <f>'THE BOARD'!#REF!</f>
        <v>#REF!</v>
      </c>
      <c r="C17" s="99" t="e">
        <f>IF('THE BOARD'!#REF! = "NESTED","",IF('THE BOARD'!#REF!&lt;&gt;"",'THE BOARD'!#REF!+0.72,""))</f>
        <v>#REF!</v>
      </c>
      <c r="D17" s="99" t="e">
        <f>IF(C17&lt;&gt;"", IF('THE BOARD'!#REF! = "NESTED","",'THE BOARD'!#REF! + IF(C17&lt;&gt;"", 0.72,0)),"")</f>
        <v>#REF!</v>
      </c>
      <c r="E17" s="68" t="e">
        <f>'THE BOARD'!#REF!</f>
        <v>#REF!</v>
      </c>
      <c r="F17" s="68" t="e">
        <f>'THE BOARD'!#REF!</f>
        <v>#REF!</v>
      </c>
      <c r="G17" s="68" t="e">
        <f>'THE BOARD'!#REF!</f>
        <v>#REF!</v>
      </c>
      <c r="H17" s="68" t="e">
        <f>'THE BOARD'!#REF!</f>
        <v>#REF!</v>
      </c>
      <c r="I17" s="68" t="e">
        <f>'THE BOARD'!#REF!</f>
        <v>#REF!</v>
      </c>
      <c r="J17" s="68" t="e">
        <f>'THE BOARD'!#REF!</f>
        <v>#REF!</v>
      </c>
      <c r="K17" s="68" t="e">
        <f>'THE BOARD'!#REF!</f>
        <v>#REF!</v>
      </c>
    </row>
    <row r="18" spans="1:11" ht="12.75" x14ac:dyDescent="0.2">
      <c r="A18" s="68" t="e">
        <f>'THE BOARD'!#REF!</f>
        <v>#REF!</v>
      </c>
      <c r="B18" s="68" t="e">
        <f>'THE BOARD'!#REF!</f>
        <v>#REF!</v>
      </c>
      <c r="C18" s="99" t="e">
        <f>IF('THE BOARD'!#REF! = "NESTED","",IF('THE BOARD'!#REF!&lt;&gt;"",'THE BOARD'!#REF!+0.72,""))</f>
        <v>#REF!</v>
      </c>
      <c r="D18" s="99" t="e">
        <f>IF(C18&lt;&gt;"", IF('THE BOARD'!#REF! = "NESTED","",'THE BOARD'!#REF! + IF(C18&lt;&gt;"", 0.72,0)),"")</f>
        <v>#REF!</v>
      </c>
      <c r="E18" s="68" t="e">
        <f>'THE BOARD'!#REF!</f>
        <v>#REF!</v>
      </c>
      <c r="F18" s="68" t="e">
        <f>'THE BOARD'!#REF!</f>
        <v>#REF!</v>
      </c>
      <c r="G18" s="68" t="e">
        <f>'THE BOARD'!#REF!</f>
        <v>#REF!</v>
      </c>
      <c r="H18" s="68" t="e">
        <f>'THE BOARD'!#REF!</f>
        <v>#REF!</v>
      </c>
      <c r="I18" s="68" t="e">
        <f>'THE BOARD'!#REF!</f>
        <v>#REF!</v>
      </c>
      <c r="J18" s="68" t="e">
        <f>'THE BOARD'!#REF!</f>
        <v>#REF!</v>
      </c>
      <c r="K18" s="68" t="e">
        <f>'THE BOARD'!#REF!</f>
        <v>#REF!</v>
      </c>
    </row>
    <row r="19" spans="1:11" ht="12.75" x14ac:dyDescent="0.2">
      <c r="A19" s="68" t="e">
        <f>'THE BOARD'!#REF!</f>
        <v>#REF!</v>
      </c>
      <c r="B19" s="68" t="e">
        <f>'THE BOARD'!#REF!</f>
        <v>#REF!</v>
      </c>
      <c r="C19" s="99" t="e">
        <f>IF('THE BOARD'!#REF! = "NESTED","",IF('THE BOARD'!#REF!&lt;&gt;"",'THE BOARD'!#REF!+0.72,""))</f>
        <v>#REF!</v>
      </c>
      <c r="D19" s="99" t="e">
        <f>IF(C19&lt;&gt;"", IF('THE BOARD'!#REF! = "NESTED","",'THE BOARD'!#REF! + IF(C19&lt;&gt;"", 0.72,0)),"")</f>
        <v>#REF!</v>
      </c>
      <c r="E19" s="68" t="e">
        <f>'THE BOARD'!#REF!</f>
        <v>#REF!</v>
      </c>
      <c r="F19" s="68" t="e">
        <f>'THE BOARD'!#REF!</f>
        <v>#REF!</v>
      </c>
      <c r="G19" s="68" t="e">
        <f>'THE BOARD'!#REF!</f>
        <v>#REF!</v>
      </c>
      <c r="H19" s="68" t="e">
        <f>'THE BOARD'!#REF!</f>
        <v>#REF!</v>
      </c>
      <c r="I19" s="68" t="e">
        <f>'THE BOARD'!#REF!</f>
        <v>#REF!</v>
      </c>
      <c r="J19" s="68" t="e">
        <f>'THE BOARD'!#REF!</f>
        <v>#REF!</v>
      </c>
      <c r="K19" s="68" t="e">
        <f>'THE BOARD'!#REF!</f>
        <v>#REF!</v>
      </c>
    </row>
    <row r="20" spans="1:11" ht="12.75" x14ac:dyDescent="0.2">
      <c r="A20" s="68" t="e">
        <f>'THE BOARD'!#REF!</f>
        <v>#REF!</v>
      </c>
      <c r="B20" s="68" t="e">
        <f>'THE BOARD'!#REF!</f>
        <v>#REF!</v>
      </c>
      <c r="C20" s="99" t="e">
        <f>IF('THE BOARD'!#REF! = "NESTED","",IF('THE BOARD'!#REF!&lt;&gt;"",'THE BOARD'!#REF!+0.72,""))</f>
        <v>#REF!</v>
      </c>
      <c r="D20" s="99" t="e">
        <f>IF(C20&lt;&gt;"", IF('THE BOARD'!#REF! = "NESTED","",'THE BOARD'!#REF! + IF(C20&lt;&gt;"", 0.72,0)),"")</f>
        <v>#REF!</v>
      </c>
      <c r="E20" s="68" t="e">
        <f>'THE BOARD'!#REF!</f>
        <v>#REF!</v>
      </c>
      <c r="F20" s="68" t="e">
        <f>'THE BOARD'!#REF!</f>
        <v>#REF!</v>
      </c>
      <c r="G20" s="68" t="e">
        <f>'THE BOARD'!#REF!</f>
        <v>#REF!</v>
      </c>
      <c r="H20" s="68" t="e">
        <f>'THE BOARD'!#REF!</f>
        <v>#REF!</v>
      </c>
      <c r="I20" s="68" t="e">
        <f>'THE BOARD'!#REF!</f>
        <v>#REF!</v>
      </c>
      <c r="J20" s="68" t="e">
        <f>'THE BOARD'!#REF!</f>
        <v>#REF!</v>
      </c>
      <c r="K20" s="68" t="e">
        <f>'THE BOARD'!#REF!</f>
        <v>#REF!</v>
      </c>
    </row>
    <row r="21" spans="1:11" ht="12.75" x14ac:dyDescent="0.2">
      <c r="A21" s="68" t="e">
        <f>'THE BOARD'!#REF!</f>
        <v>#REF!</v>
      </c>
      <c r="B21" s="68" t="e">
        <f>'THE BOARD'!#REF!</f>
        <v>#REF!</v>
      </c>
      <c r="C21" s="99" t="e">
        <f>IF('THE BOARD'!#REF! = "NESTED","",IF('THE BOARD'!#REF!&lt;&gt;"",'THE BOARD'!#REF!+0.72,""))</f>
        <v>#REF!</v>
      </c>
      <c r="D21" s="99" t="e">
        <f>IF(C21&lt;&gt;"", IF('THE BOARD'!#REF! = "NESTED","",'THE BOARD'!#REF! + IF(C21&lt;&gt;"", 0.72,0)),"")</f>
        <v>#REF!</v>
      </c>
      <c r="E21" s="68" t="e">
        <f>'THE BOARD'!#REF!</f>
        <v>#REF!</v>
      </c>
      <c r="F21" s="68" t="e">
        <f>'THE BOARD'!#REF!</f>
        <v>#REF!</v>
      </c>
      <c r="G21" s="68" t="e">
        <f>'THE BOARD'!#REF!</f>
        <v>#REF!</v>
      </c>
      <c r="H21" s="68" t="e">
        <f>'THE BOARD'!#REF!</f>
        <v>#REF!</v>
      </c>
      <c r="I21" s="68" t="e">
        <f>'THE BOARD'!#REF!</f>
        <v>#REF!</v>
      </c>
      <c r="J21" s="68" t="e">
        <f>'THE BOARD'!#REF!</f>
        <v>#REF!</v>
      </c>
      <c r="K21" s="68" t="e">
        <f>'THE BOARD'!#REF!</f>
        <v>#REF!</v>
      </c>
    </row>
    <row r="22" spans="1:11" ht="12.75" x14ac:dyDescent="0.2">
      <c r="A22" s="68" t="e">
        <f>'THE BOARD'!#REF!</f>
        <v>#REF!</v>
      </c>
      <c r="B22" s="68" t="e">
        <f>'THE BOARD'!#REF!</f>
        <v>#REF!</v>
      </c>
      <c r="C22" s="99" t="e">
        <f>IF('THE BOARD'!#REF! = "NESTED","",IF('THE BOARD'!#REF!&lt;&gt;"",'THE BOARD'!#REF!+0.72,""))</f>
        <v>#REF!</v>
      </c>
      <c r="D22" s="99" t="e">
        <f>IF(C22&lt;&gt;"", IF('THE BOARD'!#REF! = "NESTED","",'THE BOARD'!#REF! + IF(C22&lt;&gt;"", 0.72,0)),"")</f>
        <v>#REF!</v>
      </c>
      <c r="E22" s="68" t="e">
        <f>'THE BOARD'!#REF!</f>
        <v>#REF!</v>
      </c>
      <c r="F22" s="68" t="e">
        <f>'THE BOARD'!#REF!</f>
        <v>#REF!</v>
      </c>
      <c r="G22" s="68" t="e">
        <f>'THE BOARD'!#REF!</f>
        <v>#REF!</v>
      </c>
      <c r="H22" s="68" t="e">
        <f>'THE BOARD'!#REF!</f>
        <v>#REF!</v>
      </c>
      <c r="I22" s="68" t="e">
        <f>'THE BOARD'!#REF!</f>
        <v>#REF!</v>
      </c>
      <c r="J22" s="68" t="e">
        <f>'THE BOARD'!#REF!</f>
        <v>#REF!</v>
      </c>
      <c r="K22" s="68" t="e">
        <f>'THE BOARD'!#REF!</f>
        <v>#REF!</v>
      </c>
    </row>
    <row r="23" spans="1:11" ht="12.75" x14ac:dyDescent="0.2">
      <c r="A23" s="68" t="e">
        <f>'THE BOARD'!#REF!</f>
        <v>#REF!</v>
      </c>
      <c r="B23" s="68" t="e">
        <f>'THE BOARD'!#REF!</f>
        <v>#REF!</v>
      </c>
      <c r="C23" s="99" t="e">
        <f>IF('THE BOARD'!#REF! = "NESTED","",IF('THE BOARD'!#REF!&lt;&gt;"",'THE BOARD'!#REF!+0.72,""))</f>
        <v>#REF!</v>
      </c>
      <c r="D23" s="99" t="e">
        <f>IF(C23&lt;&gt;"", IF('THE BOARD'!#REF! = "NESTED","",'THE BOARD'!#REF! + IF(C23&lt;&gt;"", 0.72,0)),"")</f>
        <v>#REF!</v>
      </c>
      <c r="E23" s="68" t="e">
        <f>'THE BOARD'!#REF!</f>
        <v>#REF!</v>
      </c>
      <c r="F23" s="68" t="e">
        <f>'THE BOARD'!#REF!</f>
        <v>#REF!</v>
      </c>
      <c r="G23" s="68" t="e">
        <f>'THE BOARD'!#REF!</f>
        <v>#REF!</v>
      </c>
      <c r="H23" s="68" t="e">
        <f>'THE BOARD'!#REF!</f>
        <v>#REF!</v>
      </c>
      <c r="I23" s="68" t="e">
        <f>'THE BOARD'!#REF!</f>
        <v>#REF!</v>
      </c>
      <c r="J23" s="68" t="e">
        <f>'THE BOARD'!#REF!</f>
        <v>#REF!</v>
      </c>
      <c r="K23" s="68" t="e">
        <f>'THE BOARD'!#REF!</f>
        <v>#REF!</v>
      </c>
    </row>
    <row r="24" spans="1:11" ht="12.75" x14ac:dyDescent="0.2">
      <c r="A24" s="68" t="e">
        <f>'THE BOARD'!#REF!</f>
        <v>#REF!</v>
      </c>
      <c r="B24" s="68" t="e">
        <f>'THE BOARD'!#REF!</f>
        <v>#REF!</v>
      </c>
      <c r="C24" s="99" t="e">
        <f>IF('THE BOARD'!#REF! = "NESTED","",IF('THE BOARD'!#REF!&lt;&gt;"",'THE BOARD'!#REF!+0.72,""))</f>
        <v>#REF!</v>
      </c>
      <c r="D24" s="99" t="e">
        <f>IF(C24&lt;&gt;"", IF('THE BOARD'!#REF! = "NESTED","",'THE BOARD'!#REF! + IF(C24&lt;&gt;"", 0.72,0)),"")</f>
        <v>#REF!</v>
      </c>
      <c r="E24" s="68" t="e">
        <f>'THE BOARD'!#REF!</f>
        <v>#REF!</v>
      </c>
      <c r="F24" s="68" t="e">
        <f>'THE BOARD'!#REF!</f>
        <v>#REF!</v>
      </c>
      <c r="G24" s="68" t="e">
        <f>'THE BOARD'!#REF!</f>
        <v>#REF!</v>
      </c>
      <c r="H24" s="68" t="e">
        <f>'THE BOARD'!#REF!</f>
        <v>#REF!</v>
      </c>
      <c r="I24" s="68" t="e">
        <f>'THE BOARD'!#REF!</f>
        <v>#REF!</v>
      </c>
      <c r="J24" s="68" t="e">
        <f>'THE BOARD'!#REF!</f>
        <v>#REF!</v>
      </c>
      <c r="K24" s="68" t="e">
        <f>'THE BOARD'!#REF!</f>
        <v>#REF!</v>
      </c>
    </row>
    <row r="25" spans="1:11" ht="12.75" x14ac:dyDescent="0.2">
      <c r="A25" s="68" t="e">
        <f>'THE BOARD'!#REF!</f>
        <v>#REF!</v>
      </c>
      <c r="B25" s="68" t="e">
        <f>'THE BOARD'!#REF!</f>
        <v>#REF!</v>
      </c>
      <c r="C25" s="99" t="e">
        <f>IF('THE BOARD'!#REF! = "NESTED","",IF('THE BOARD'!#REF!&lt;&gt;"",'THE BOARD'!#REF!+0.72,""))</f>
        <v>#REF!</v>
      </c>
      <c r="D25" s="99" t="e">
        <f>IF(C25&lt;&gt;"", IF('THE BOARD'!#REF! = "NESTED","",'THE BOARD'!#REF! + IF(C25&lt;&gt;"", 0.72,0)),"")</f>
        <v>#REF!</v>
      </c>
      <c r="E25" s="68" t="e">
        <f>'THE BOARD'!#REF!</f>
        <v>#REF!</v>
      </c>
      <c r="F25" s="68" t="e">
        <f>'THE BOARD'!#REF!</f>
        <v>#REF!</v>
      </c>
      <c r="G25" s="68" t="e">
        <f>'THE BOARD'!#REF!</f>
        <v>#REF!</v>
      </c>
      <c r="H25" s="68" t="e">
        <f>'THE BOARD'!#REF!</f>
        <v>#REF!</v>
      </c>
      <c r="I25" s="68" t="e">
        <f>'THE BOARD'!#REF!</f>
        <v>#REF!</v>
      </c>
      <c r="J25" s="68" t="e">
        <f>'THE BOARD'!#REF!</f>
        <v>#REF!</v>
      </c>
      <c r="K25" s="68" t="e">
        <f>'THE BOARD'!#REF!</f>
        <v>#REF!</v>
      </c>
    </row>
    <row r="26" spans="1:11" ht="12.75" x14ac:dyDescent="0.2">
      <c r="A26" s="68" t="e">
        <f>'THE BOARD'!#REF!</f>
        <v>#REF!</v>
      </c>
      <c r="B26" s="68" t="e">
        <f>'THE BOARD'!#REF!</f>
        <v>#REF!</v>
      </c>
      <c r="C26" s="99" t="e">
        <f>IF('THE BOARD'!#REF! = "NESTED","",IF('THE BOARD'!#REF!&lt;&gt;"",'THE BOARD'!#REF!+0.72,""))</f>
        <v>#REF!</v>
      </c>
      <c r="D26" s="99" t="e">
        <f>IF(C26&lt;&gt;"", IF('THE BOARD'!#REF! = "NESTED","",'THE BOARD'!#REF! + IF(C26&lt;&gt;"", 0.72,0)),"")</f>
        <v>#REF!</v>
      </c>
      <c r="E26" s="68" t="e">
        <f>'THE BOARD'!#REF!</f>
        <v>#REF!</v>
      </c>
      <c r="F26" s="68" t="e">
        <f>'THE BOARD'!#REF!</f>
        <v>#REF!</v>
      </c>
      <c r="G26" s="68" t="e">
        <f>'THE BOARD'!#REF!</f>
        <v>#REF!</v>
      </c>
      <c r="H26" s="68" t="e">
        <f>'THE BOARD'!#REF!</f>
        <v>#REF!</v>
      </c>
      <c r="I26" s="68" t="e">
        <f>'THE BOARD'!#REF!</f>
        <v>#REF!</v>
      </c>
      <c r="J26" s="68" t="e">
        <f>'THE BOARD'!#REF!</f>
        <v>#REF!</v>
      </c>
      <c r="K26" s="68" t="e">
        <f>'THE BOARD'!#REF!</f>
        <v>#REF!</v>
      </c>
    </row>
    <row r="27" spans="1:11" ht="12.75" x14ac:dyDescent="0.2">
      <c r="A27" s="68" t="e">
        <f>'THE BOARD'!#REF!</f>
        <v>#REF!</v>
      </c>
      <c r="B27" s="68" t="e">
        <f>'THE BOARD'!#REF!</f>
        <v>#REF!</v>
      </c>
      <c r="C27" s="99" t="e">
        <f>IF('THE BOARD'!#REF! = "NESTED","",IF('THE BOARD'!#REF!&lt;&gt;"",'THE BOARD'!#REF!+0.72,""))</f>
        <v>#REF!</v>
      </c>
      <c r="D27" s="99" t="e">
        <f>IF(C27&lt;&gt;"", IF('THE BOARD'!#REF! = "NESTED","",'THE BOARD'!#REF! + IF(C27&lt;&gt;"", 0.72,0)),"")</f>
        <v>#REF!</v>
      </c>
      <c r="E27" s="68" t="e">
        <f>'THE BOARD'!#REF!</f>
        <v>#REF!</v>
      </c>
      <c r="F27" s="68" t="e">
        <f>'THE BOARD'!#REF!</f>
        <v>#REF!</v>
      </c>
      <c r="G27" s="68" t="e">
        <f>'THE BOARD'!#REF!</f>
        <v>#REF!</v>
      </c>
      <c r="H27" s="68" t="e">
        <f>'THE BOARD'!#REF!</f>
        <v>#REF!</v>
      </c>
      <c r="I27" s="68" t="e">
        <f>'THE BOARD'!#REF!</f>
        <v>#REF!</v>
      </c>
      <c r="J27" s="68" t="e">
        <f>'THE BOARD'!#REF!</f>
        <v>#REF!</v>
      </c>
      <c r="K27" s="68" t="e">
        <f>'THE BOARD'!#REF!</f>
        <v>#REF!</v>
      </c>
    </row>
    <row r="28" spans="1:11" ht="12.75" x14ac:dyDescent="0.2">
      <c r="A28" s="68" t="e">
        <f>'THE BOARD'!#REF!</f>
        <v>#REF!</v>
      </c>
      <c r="B28" s="68" t="e">
        <f>'THE BOARD'!#REF!</f>
        <v>#REF!</v>
      </c>
      <c r="C28" s="99" t="e">
        <f>IF('THE BOARD'!#REF! = "NESTED","",IF('THE BOARD'!#REF!&lt;&gt;"",'THE BOARD'!#REF!+0.72,""))</f>
        <v>#REF!</v>
      </c>
      <c r="D28" s="99" t="e">
        <f>IF(C28&lt;&gt;"", IF('THE BOARD'!#REF! = "NESTED","",'THE BOARD'!#REF! + IF(C28&lt;&gt;"", 0.72,0)),"")</f>
        <v>#REF!</v>
      </c>
      <c r="E28" s="68" t="e">
        <f>'THE BOARD'!#REF!</f>
        <v>#REF!</v>
      </c>
      <c r="F28" s="68" t="e">
        <f>'THE BOARD'!#REF!</f>
        <v>#REF!</v>
      </c>
      <c r="G28" s="68" t="e">
        <f>'THE BOARD'!#REF!</f>
        <v>#REF!</v>
      </c>
      <c r="H28" s="68" t="e">
        <f>'THE BOARD'!#REF!</f>
        <v>#REF!</v>
      </c>
      <c r="I28" s="68" t="e">
        <f>'THE BOARD'!#REF!</f>
        <v>#REF!</v>
      </c>
      <c r="J28" s="68" t="e">
        <f>'THE BOARD'!#REF!</f>
        <v>#REF!</v>
      </c>
      <c r="K28" s="68" t="e">
        <f>'THE BOARD'!#REF!</f>
        <v>#REF!</v>
      </c>
    </row>
    <row r="29" spans="1:11" ht="12.75" x14ac:dyDescent="0.2">
      <c r="A29" s="68" t="e">
        <f>'THE BOARD'!#REF!</f>
        <v>#REF!</v>
      </c>
      <c r="B29" s="68" t="e">
        <f>'THE BOARD'!#REF!</f>
        <v>#REF!</v>
      </c>
      <c r="C29" s="99" t="e">
        <f>IF('THE BOARD'!#REF! = "NESTED","",IF('THE BOARD'!#REF!&lt;&gt;"",'THE BOARD'!#REF!+0.72,""))</f>
        <v>#REF!</v>
      </c>
      <c r="D29" s="99" t="e">
        <f>IF(C29&lt;&gt;"", IF('THE BOARD'!#REF! = "NESTED","",'THE BOARD'!#REF! + IF(C29&lt;&gt;"", 0.72,0)),"")</f>
        <v>#REF!</v>
      </c>
      <c r="E29" s="68" t="e">
        <f>'THE BOARD'!#REF!</f>
        <v>#REF!</v>
      </c>
      <c r="F29" s="68" t="e">
        <f>'THE BOARD'!#REF!</f>
        <v>#REF!</v>
      </c>
      <c r="G29" s="68" t="e">
        <f>'THE BOARD'!#REF!</f>
        <v>#REF!</v>
      </c>
      <c r="H29" s="68" t="e">
        <f>'THE BOARD'!#REF!</f>
        <v>#REF!</v>
      </c>
      <c r="I29" s="68" t="e">
        <f>'THE BOARD'!#REF!</f>
        <v>#REF!</v>
      </c>
      <c r="J29" s="68" t="e">
        <f>'THE BOARD'!#REF!</f>
        <v>#REF!</v>
      </c>
      <c r="K29" s="68" t="e">
        <f>'THE BOARD'!#REF!</f>
        <v>#REF!</v>
      </c>
    </row>
    <row r="30" spans="1:11" ht="12.75" x14ac:dyDescent="0.2">
      <c r="A30" s="68" t="e">
        <f>'THE BOARD'!#REF!</f>
        <v>#REF!</v>
      </c>
      <c r="B30" s="68" t="e">
        <f>'THE BOARD'!#REF!</f>
        <v>#REF!</v>
      </c>
      <c r="C30" s="99" t="e">
        <f>IF('THE BOARD'!#REF! = "NESTED","",IF('THE BOARD'!#REF!&lt;&gt;"",'THE BOARD'!#REF!+0.72,""))</f>
        <v>#REF!</v>
      </c>
      <c r="D30" s="99" t="e">
        <f>IF(C30&lt;&gt;"", IF('THE BOARD'!#REF! = "NESTED","",'THE BOARD'!#REF! + IF(C30&lt;&gt;"", 0.72,0)),"")</f>
        <v>#REF!</v>
      </c>
      <c r="E30" s="68" t="e">
        <f>'THE BOARD'!#REF!</f>
        <v>#REF!</v>
      </c>
      <c r="F30" s="68" t="e">
        <f>'THE BOARD'!#REF!</f>
        <v>#REF!</v>
      </c>
      <c r="G30" s="68" t="e">
        <f>'THE BOARD'!#REF!</f>
        <v>#REF!</v>
      </c>
      <c r="H30" s="68" t="e">
        <f>'THE BOARD'!#REF!</f>
        <v>#REF!</v>
      </c>
      <c r="I30" s="68" t="e">
        <f>'THE BOARD'!#REF!</f>
        <v>#REF!</v>
      </c>
      <c r="J30" s="68" t="e">
        <f>'THE BOARD'!#REF!</f>
        <v>#REF!</v>
      </c>
      <c r="K30" s="68" t="e">
        <f>'THE BOARD'!#REF!</f>
        <v>#REF!</v>
      </c>
    </row>
    <row r="31" spans="1:11" ht="12.75" x14ac:dyDescent="0.2">
      <c r="A31" s="68" t="e">
        <f>'THE BOARD'!#REF!</f>
        <v>#REF!</v>
      </c>
      <c r="B31" s="68" t="e">
        <f>'THE BOARD'!#REF!</f>
        <v>#REF!</v>
      </c>
      <c r="C31" s="99" t="e">
        <f>IF('THE BOARD'!#REF! = "NESTED","",IF('THE BOARD'!#REF!&lt;&gt;"",'THE BOARD'!#REF!+0.72,""))</f>
        <v>#REF!</v>
      </c>
      <c r="D31" s="99" t="e">
        <f>IF(C31&lt;&gt;"", IF('THE BOARD'!#REF! = "NESTED","",'THE BOARD'!#REF! + IF(C31&lt;&gt;"", 0.72,0)),"")</f>
        <v>#REF!</v>
      </c>
      <c r="E31" s="68" t="e">
        <f>'THE BOARD'!#REF!</f>
        <v>#REF!</v>
      </c>
      <c r="F31" s="68" t="e">
        <f>'THE BOARD'!#REF!</f>
        <v>#REF!</v>
      </c>
      <c r="G31" s="68" t="e">
        <f>'THE BOARD'!#REF!</f>
        <v>#REF!</v>
      </c>
      <c r="H31" s="68" t="e">
        <f>'THE BOARD'!#REF!</f>
        <v>#REF!</v>
      </c>
      <c r="I31" s="68" t="e">
        <f>'THE BOARD'!#REF!</f>
        <v>#REF!</v>
      </c>
      <c r="J31" s="68" t="e">
        <f>'THE BOARD'!#REF!</f>
        <v>#REF!</v>
      </c>
      <c r="K31" s="68" t="e">
        <f>'THE BOARD'!#REF!</f>
        <v>#REF!</v>
      </c>
    </row>
    <row r="32" spans="1:11" ht="12.75" x14ac:dyDescent="0.2">
      <c r="A32" s="68" t="e">
        <f>'THE BOARD'!#REF!</f>
        <v>#REF!</v>
      </c>
      <c r="B32" s="68" t="e">
        <f>'THE BOARD'!#REF!</f>
        <v>#REF!</v>
      </c>
      <c r="C32" s="99" t="e">
        <f>IF('THE BOARD'!#REF! = "NESTED","",IF('THE BOARD'!#REF!&lt;&gt;"",'THE BOARD'!#REF!+0.72,""))</f>
        <v>#REF!</v>
      </c>
      <c r="D32" s="99" t="e">
        <f>IF(C32&lt;&gt;"", IF('THE BOARD'!#REF! = "NESTED","",'THE BOARD'!#REF! + IF(C32&lt;&gt;"", 0.72,0)),"")</f>
        <v>#REF!</v>
      </c>
      <c r="E32" s="68" t="e">
        <f>'THE BOARD'!#REF!</f>
        <v>#REF!</v>
      </c>
      <c r="F32" s="68" t="e">
        <f>'THE BOARD'!#REF!</f>
        <v>#REF!</v>
      </c>
      <c r="G32" s="68" t="e">
        <f>'THE BOARD'!#REF!</f>
        <v>#REF!</v>
      </c>
      <c r="H32" s="68" t="e">
        <f>'THE BOARD'!#REF!</f>
        <v>#REF!</v>
      </c>
      <c r="I32" s="68" t="e">
        <f>'THE BOARD'!#REF!</f>
        <v>#REF!</v>
      </c>
      <c r="J32" s="68" t="e">
        <f>'THE BOARD'!#REF!</f>
        <v>#REF!</v>
      </c>
      <c r="K32" s="68" t="e">
        <f>'THE BOARD'!#REF!</f>
        <v>#REF!</v>
      </c>
    </row>
    <row r="33" spans="1:11" ht="12.75" x14ac:dyDescent="0.2">
      <c r="A33" s="68" t="e">
        <f>'THE BOARD'!#REF!</f>
        <v>#REF!</v>
      </c>
      <c r="B33" s="68" t="e">
        <f>'THE BOARD'!#REF!</f>
        <v>#REF!</v>
      </c>
      <c r="C33" s="99" t="e">
        <f>IF('THE BOARD'!#REF! = "NESTED","",IF('THE BOARD'!#REF!&lt;&gt;"",'THE BOARD'!#REF!+0.72,""))</f>
        <v>#REF!</v>
      </c>
      <c r="D33" s="99" t="e">
        <f>IF(C33&lt;&gt;"", IF('THE BOARD'!#REF! = "NESTED","",'THE BOARD'!#REF! + IF(C33&lt;&gt;"", 0.72,0)),"")</f>
        <v>#REF!</v>
      </c>
      <c r="E33" s="68" t="e">
        <f>'THE BOARD'!#REF!</f>
        <v>#REF!</v>
      </c>
      <c r="F33" s="68" t="e">
        <f>'THE BOARD'!#REF!</f>
        <v>#REF!</v>
      </c>
      <c r="G33" s="68" t="e">
        <f>'THE BOARD'!#REF!</f>
        <v>#REF!</v>
      </c>
      <c r="H33" s="68" t="e">
        <f>'THE BOARD'!#REF!</f>
        <v>#REF!</v>
      </c>
      <c r="I33" s="68" t="e">
        <f>'THE BOARD'!#REF!</f>
        <v>#REF!</v>
      </c>
      <c r="J33" s="68" t="e">
        <f>'THE BOARD'!#REF!</f>
        <v>#REF!</v>
      </c>
      <c r="K33" s="68" t="e">
        <f>'THE BOARD'!#REF!</f>
        <v>#REF!</v>
      </c>
    </row>
    <row r="34" spans="1:11" ht="12.75" x14ac:dyDescent="0.2">
      <c r="A34" s="68" t="e">
        <f>'THE BOARD'!#REF!</f>
        <v>#REF!</v>
      </c>
      <c r="B34" s="68" t="e">
        <f>'THE BOARD'!#REF!</f>
        <v>#REF!</v>
      </c>
      <c r="C34" s="99" t="e">
        <f>IF('THE BOARD'!#REF! = "NESTED","",IF('THE BOARD'!#REF!&lt;&gt;"",'THE BOARD'!#REF!+0.72,""))</f>
        <v>#REF!</v>
      </c>
      <c r="D34" s="99" t="e">
        <f>IF(C34&lt;&gt;"", IF('THE BOARD'!#REF! = "NESTED","",'THE BOARD'!#REF! + IF(C34&lt;&gt;"", 0.72,0)),"")</f>
        <v>#REF!</v>
      </c>
      <c r="E34" s="68" t="e">
        <f>'THE BOARD'!#REF!</f>
        <v>#REF!</v>
      </c>
      <c r="F34" s="68" t="e">
        <f>'THE BOARD'!#REF!</f>
        <v>#REF!</v>
      </c>
      <c r="G34" s="68" t="e">
        <f>'THE BOARD'!#REF!</f>
        <v>#REF!</v>
      </c>
      <c r="H34" s="68" t="e">
        <f>'THE BOARD'!#REF!</f>
        <v>#REF!</v>
      </c>
      <c r="I34" s="68" t="e">
        <f>'THE BOARD'!#REF!</f>
        <v>#REF!</v>
      </c>
      <c r="J34" s="68" t="e">
        <f>'THE BOARD'!#REF!</f>
        <v>#REF!</v>
      </c>
      <c r="K34" s="68" t="e">
        <f>'THE BOARD'!#REF!</f>
        <v>#REF!</v>
      </c>
    </row>
    <row r="35" spans="1:11" ht="12.75" x14ac:dyDescent="0.2">
      <c r="A35" s="68" t="e">
        <f>'THE BOARD'!#REF!</f>
        <v>#REF!</v>
      </c>
      <c r="B35" s="68" t="e">
        <f>'THE BOARD'!#REF!</f>
        <v>#REF!</v>
      </c>
      <c r="C35" s="99" t="e">
        <f>IF('THE BOARD'!#REF! = "NESTED","",IF('THE BOARD'!#REF!&lt;&gt;"",'THE BOARD'!#REF!+0.72,""))</f>
        <v>#REF!</v>
      </c>
      <c r="D35" s="99" t="e">
        <f>IF(C35&lt;&gt;"", IF('THE BOARD'!#REF! = "NESTED","",'THE BOARD'!#REF! + IF(C35&lt;&gt;"", 0.72,0)),"")</f>
        <v>#REF!</v>
      </c>
      <c r="E35" s="68" t="e">
        <f>'THE BOARD'!#REF!</f>
        <v>#REF!</v>
      </c>
      <c r="F35" s="68" t="e">
        <f>'THE BOARD'!#REF!</f>
        <v>#REF!</v>
      </c>
      <c r="G35" s="68" t="e">
        <f>'THE BOARD'!#REF!</f>
        <v>#REF!</v>
      </c>
      <c r="H35" s="68" t="e">
        <f>'THE BOARD'!#REF!</f>
        <v>#REF!</v>
      </c>
      <c r="I35" s="68" t="e">
        <f>'THE BOARD'!#REF!</f>
        <v>#REF!</v>
      </c>
      <c r="J35" s="68" t="e">
        <f>'THE BOARD'!#REF!</f>
        <v>#REF!</v>
      </c>
      <c r="K35" s="68" t="e">
        <f>'THE BOARD'!#REF!</f>
        <v>#REF!</v>
      </c>
    </row>
    <row r="36" spans="1:11" ht="12.75" x14ac:dyDescent="0.2">
      <c r="A36" s="68" t="e">
        <f>'THE BOARD'!#REF!</f>
        <v>#REF!</v>
      </c>
      <c r="B36" s="68" t="e">
        <f>'THE BOARD'!#REF!</f>
        <v>#REF!</v>
      </c>
      <c r="C36" s="99" t="e">
        <f>IF('THE BOARD'!#REF! = "NESTED","",IF('THE BOARD'!#REF!&lt;&gt;"",'THE BOARD'!#REF!+0.72,""))</f>
        <v>#REF!</v>
      </c>
      <c r="D36" s="99" t="e">
        <f>IF(C36&lt;&gt;"", IF('THE BOARD'!#REF! = "NESTED","",'THE BOARD'!#REF! + IF(C36&lt;&gt;"", 0.72,0)),"")</f>
        <v>#REF!</v>
      </c>
      <c r="E36" s="68" t="e">
        <f>'THE BOARD'!#REF!</f>
        <v>#REF!</v>
      </c>
      <c r="F36" s="68" t="e">
        <f>'THE BOARD'!#REF!</f>
        <v>#REF!</v>
      </c>
      <c r="G36" s="68" t="e">
        <f>'THE BOARD'!#REF!</f>
        <v>#REF!</v>
      </c>
      <c r="H36" s="68" t="e">
        <f>'THE BOARD'!#REF!</f>
        <v>#REF!</v>
      </c>
      <c r="I36" s="68" t="e">
        <f>'THE BOARD'!#REF!</f>
        <v>#REF!</v>
      </c>
      <c r="J36" s="68" t="e">
        <f>'THE BOARD'!#REF!</f>
        <v>#REF!</v>
      </c>
      <c r="K36" s="68" t="e">
        <f>'THE BOARD'!#REF!</f>
        <v>#REF!</v>
      </c>
    </row>
    <row r="37" spans="1:11" ht="12.75" x14ac:dyDescent="0.2">
      <c r="A37" s="68" t="e">
        <f>'THE BOARD'!#REF!</f>
        <v>#REF!</v>
      </c>
      <c r="B37" s="68" t="e">
        <f>'THE BOARD'!#REF!</f>
        <v>#REF!</v>
      </c>
      <c r="C37" s="99" t="e">
        <f>IF('THE BOARD'!#REF! = "NESTED","",IF('THE BOARD'!#REF!&lt;&gt;"",'THE BOARD'!#REF!+0.72,""))</f>
        <v>#REF!</v>
      </c>
      <c r="D37" s="99" t="e">
        <f>IF(C37&lt;&gt;"", IF('THE BOARD'!#REF! = "NESTED","",'THE BOARD'!#REF! + IF(C37&lt;&gt;"", 0.72,0)),"")</f>
        <v>#REF!</v>
      </c>
      <c r="E37" s="68" t="e">
        <f>'THE BOARD'!#REF!</f>
        <v>#REF!</v>
      </c>
      <c r="F37" s="68" t="e">
        <f>'THE BOARD'!#REF!</f>
        <v>#REF!</v>
      </c>
      <c r="G37" s="68" t="e">
        <f>'THE BOARD'!#REF!</f>
        <v>#REF!</v>
      </c>
      <c r="H37" s="68" t="e">
        <f>'THE BOARD'!#REF!</f>
        <v>#REF!</v>
      </c>
      <c r="I37" s="68" t="e">
        <f>'THE BOARD'!#REF!</f>
        <v>#REF!</v>
      </c>
      <c r="J37" s="68" t="e">
        <f>'THE BOARD'!#REF!</f>
        <v>#REF!</v>
      </c>
      <c r="K37" s="68" t="e">
        <f>'THE BOARD'!#REF!</f>
        <v>#REF!</v>
      </c>
    </row>
    <row r="38" spans="1:11" ht="12.75" x14ac:dyDescent="0.2">
      <c r="A38" s="68" t="e">
        <f>'THE BOARD'!#REF!</f>
        <v>#REF!</v>
      </c>
      <c r="B38" s="68" t="e">
        <f>'THE BOARD'!#REF!</f>
        <v>#REF!</v>
      </c>
      <c r="C38" s="99" t="e">
        <f>IF('THE BOARD'!#REF! = "NESTED","",IF('THE BOARD'!#REF!&lt;&gt;"",'THE BOARD'!#REF!+0.72,""))</f>
        <v>#REF!</v>
      </c>
      <c r="D38" s="99" t="e">
        <f>IF(C38&lt;&gt;"", IF('THE BOARD'!#REF! = "NESTED","",'THE BOARD'!#REF! + IF(C38&lt;&gt;"", 0.72,0)),"")</f>
        <v>#REF!</v>
      </c>
      <c r="E38" s="68" t="e">
        <f>'THE BOARD'!#REF!</f>
        <v>#REF!</v>
      </c>
      <c r="F38" s="68" t="e">
        <f>'THE BOARD'!#REF!</f>
        <v>#REF!</v>
      </c>
      <c r="G38" s="68" t="e">
        <f>'THE BOARD'!#REF!</f>
        <v>#REF!</v>
      </c>
      <c r="H38" s="68" t="e">
        <f>'THE BOARD'!#REF!</f>
        <v>#REF!</v>
      </c>
      <c r="I38" s="68" t="e">
        <f>'THE BOARD'!#REF!</f>
        <v>#REF!</v>
      </c>
      <c r="J38" s="68" t="e">
        <f>'THE BOARD'!#REF!</f>
        <v>#REF!</v>
      </c>
      <c r="K38" s="68" t="e">
        <f>'THE BOARD'!#REF!</f>
        <v>#REF!</v>
      </c>
    </row>
    <row r="39" spans="1:11" ht="12.75" x14ac:dyDescent="0.2">
      <c r="A39" s="68" t="e">
        <f>'THE BOARD'!#REF!</f>
        <v>#REF!</v>
      </c>
      <c r="B39" s="68" t="e">
        <f>'THE BOARD'!#REF!</f>
        <v>#REF!</v>
      </c>
      <c r="C39" s="99" t="e">
        <f>IF('THE BOARD'!#REF! = "NESTED","",IF('THE BOARD'!#REF!&lt;&gt;"",'THE BOARD'!#REF!+0.72,""))</f>
        <v>#REF!</v>
      </c>
      <c r="D39" s="99" t="e">
        <f>IF(C39&lt;&gt;"", IF('THE BOARD'!#REF! = "NESTED","",'THE BOARD'!#REF! + IF(C39&lt;&gt;"", 0.72,0)),"")</f>
        <v>#REF!</v>
      </c>
      <c r="E39" s="68" t="e">
        <f>'THE BOARD'!#REF!</f>
        <v>#REF!</v>
      </c>
      <c r="F39" s="68" t="e">
        <f>'THE BOARD'!#REF!</f>
        <v>#REF!</v>
      </c>
      <c r="G39" s="68" t="e">
        <f>'THE BOARD'!#REF!</f>
        <v>#REF!</v>
      </c>
      <c r="H39" s="68" t="e">
        <f>'THE BOARD'!#REF!</f>
        <v>#REF!</v>
      </c>
      <c r="I39" s="68" t="e">
        <f>'THE BOARD'!#REF!</f>
        <v>#REF!</v>
      </c>
      <c r="J39" s="68" t="e">
        <f>'THE BOARD'!#REF!</f>
        <v>#REF!</v>
      </c>
      <c r="K39" s="68" t="e">
        <f>'THE BOARD'!#REF!</f>
        <v>#REF!</v>
      </c>
    </row>
    <row r="40" spans="1:11" ht="12.75" x14ac:dyDescent="0.2">
      <c r="A40" s="68" t="e">
        <f>'THE BOARD'!#REF!</f>
        <v>#REF!</v>
      </c>
      <c r="B40" s="68" t="e">
        <f>'THE BOARD'!#REF!</f>
        <v>#REF!</v>
      </c>
      <c r="C40" s="99" t="e">
        <f>IF('THE BOARD'!#REF! = "NESTED","",IF('THE BOARD'!#REF!&lt;&gt;"",'THE BOARD'!#REF!+0.72,""))</f>
        <v>#REF!</v>
      </c>
      <c r="D40" s="99" t="e">
        <f>IF(C40&lt;&gt;"", IF('THE BOARD'!#REF! = "NESTED","",'THE BOARD'!#REF! + IF(C40&lt;&gt;"", 0.72,0)),"")</f>
        <v>#REF!</v>
      </c>
      <c r="E40" s="68" t="e">
        <f>'THE BOARD'!#REF!</f>
        <v>#REF!</v>
      </c>
      <c r="F40" s="68" t="e">
        <f>'THE BOARD'!#REF!</f>
        <v>#REF!</v>
      </c>
      <c r="G40" s="68" t="e">
        <f>'THE BOARD'!#REF!</f>
        <v>#REF!</v>
      </c>
      <c r="H40" s="68" t="e">
        <f>'THE BOARD'!#REF!</f>
        <v>#REF!</v>
      </c>
      <c r="I40" s="68" t="e">
        <f>'THE BOARD'!#REF!</f>
        <v>#REF!</v>
      </c>
      <c r="J40" s="68" t="e">
        <f>'THE BOARD'!#REF!</f>
        <v>#REF!</v>
      </c>
      <c r="K40" s="68" t="e">
        <f>'THE BOARD'!#REF!</f>
        <v>#REF!</v>
      </c>
    </row>
    <row r="41" spans="1:11" ht="12.75" x14ac:dyDescent="0.2">
      <c r="A41" s="68" t="e">
        <f>'THE BOARD'!#REF!</f>
        <v>#REF!</v>
      </c>
      <c r="B41" s="68" t="e">
        <f>'THE BOARD'!#REF!</f>
        <v>#REF!</v>
      </c>
      <c r="C41" s="99" t="e">
        <f>IF('THE BOARD'!#REF! = "NESTED","",IF('THE BOARD'!#REF!&lt;&gt;"",'THE BOARD'!#REF!+0.72,""))</f>
        <v>#REF!</v>
      </c>
      <c r="D41" s="99" t="e">
        <f>IF(C41&lt;&gt;"", IF('THE BOARD'!#REF! = "NESTED","",'THE BOARD'!#REF! + IF(C41&lt;&gt;"", 0.72,0)),"")</f>
        <v>#REF!</v>
      </c>
      <c r="E41" s="68" t="e">
        <f>'THE BOARD'!#REF!</f>
        <v>#REF!</v>
      </c>
      <c r="F41" s="68" t="e">
        <f>'THE BOARD'!#REF!</f>
        <v>#REF!</v>
      </c>
      <c r="G41" s="68" t="e">
        <f>'THE BOARD'!#REF!</f>
        <v>#REF!</v>
      </c>
      <c r="H41" s="68" t="e">
        <f>'THE BOARD'!#REF!</f>
        <v>#REF!</v>
      </c>
      <c r="I41" s="68" t="e">
        <f>'THE BOARD'!#REF!</f>
        <v>#REF!</v>
      </c>
      <c r="J41" s="68" t="e">
        <f>'THE BOARD'!#REF!</f>
        <v>#REF!</v>
      </c>
      <c r="K41" s="68" t="e">
        <f>'THE BOARD'!#REF!</f>
        <v>#REF!</v>
      </c>
    </row>
    <row r="42" spans="1:11" ht="12.75" x14ac:dyDescent="0.2">
      <c r="A42" s="68" t="e">
        <f>'THE BOARD'!#REF!</f>
        <v>#REF!</v>
      </c>
      <c r="B42" s="68" t="e">
        <f>'THE BOARD'!#REF!</f>
        <v>#REF!</v>
      </c>
      <c r="C42" s="99" t="e">
        <f>IF('THE BOARD'!#REF! = "NESTED","",IF('THE BOARD'!#REF!&lt;&gt;"",'THE BOARD'!#REF!+0.72,""))</f>
        <v>#REF!</v>
      </c>
      <c r="D42" s="99" t="e">
        <f>IF(C42&lt;&gt;"", IF('THE BOARD'!#REF! = "NESTED","",'THE BOARD'!#REF! + IF(C42&lt;&gt;"", 0.72,0)),"")</f>
        <v>#REF!</v>
      </c>
      <c r="E42" s="68" t="e">
        <f>'THE BOARD'!#REF!</f>
        <v>#REF!</v>
      </c>
      <c r="F42" s="68" t="e">
        <f>'THE BOARD'!#REF!</f>
        <v>#REF!</v>
      </c>
      <c r="G42" s="68" t="e">
        <f>'THE BOARD'!#REF!</f>
        <v>#REF!</v>
      </c>
      <c r="H42" s="68" t="e">
        <f>'THE BOARD'!#REF!</f>
        <v>#REF!</v>
      </c>
      <c r="I42" s="68" t="e">
        <f>'THE BOARD'!#REF!</f>
        <v>#REF!</v>
      </c>
      <c r="J42" s="68" t="e">
        <f>'THE BOARD'!#REF!</f>
        <v>#REF!</v>
      </c>
      <c r="K42" s="68" t="e">
        <f>'THE BOARD'!#REF!</f>
        <v>#REF!</v>
      </c>
    </row>
    <row r="43" spans="1:11" ht="12.75" x14ac:dyDescent="0.2">
      <c r="A43" s="68" t="e">
        <f>'THE BOARD'!#REF!</f>
        <v>#REF!</v>
      </c>
      <c r="B43" s="68" t="e">
        <f>'THE BOARD'!#REF!</f>
        <v>#REF!</v>
      </c>
      <c r="C43" s="99" t="e">
        <f>IF('THE BOARD'!#REF! = "NESTED","",IF('THE BOARD'!#REF!&lt;&gt;"",'THE BOARD'!#REF!+0.72,""))</f>
        <v>#REF!</v>
      </c>
      <c r="D43" s="99" t="e">
        <f>IF(C43&lt;&gt;"", IF('THE BOARD'!#REF! = "NESTED","",'THE BOARD'!#REF! + IF(C43&lt;&gt;"", 0.72,0)),"")</f>
        <v>#REF!</v>
      </c>
      <c r="E43" s="68" t="e">
        <f>'THE BOARD'!#REF!</f>
        <v>#REF!</v>
      </c>
      <c r="F43" s="68" t="e">
        <f>'THE BOARD'!#REF!</f>
        <v>#REF!</v>
      </c>
      <c r="G43" s="68" t="e">
        <f>'THE BOARD'!#REF!</f>
        <v>#REF!</v>
      </c>
      <c r="H43" s="68" t="e">
        <f>'THE BOARD'!#REF!</f>
        <v>#REF!</v>
      </c>
      <c r="I43" s="68" t="e">
        <f>'THE BOARD'!#REF!</f>
        <v>#REF!</v>
      </c>
      <c r="J43" s="68" t="e">
        <f>'THE BOARD'!#REF!</f>
        <v>#REF!</v>
      </c>
      <c r="K43" s="68" t="e">
        <f>'THE BOARD'!#REF!</f>
        <v>#REF!</v>
      </c>
    </row>
    <row r="44" spans="1:11" ht="12.75" x14ac:dyDescent="0.2">
      <c r="A44" s="68" t="e">
        <f>'THE BOARD'!#REF!</f>
        <v>#REF!</v>
      </c>
      <c r="B44" s="68" t="e">
        <f>'THE BOARD'!#REF!</f>
        <v>#REF!</v>
      </c>
      <c r="C44" s="99" t="e">
        <f>IF('THE BOARD'!#REF! = "NESTED","",IF('THE BOARD'!#REF!&lt;&gt;"",'THE BOARD'!#REF!+0.72,""))</f>
        <v>#REF!</v>
      </c>
      <c r="D44" s="99" t="e">
        <f>IF(C44&lt;&gt;"", IF('THE BOARD'!#REF! = "NESTED","",'THE BOARD'!#REF! + IF(C44&lt;&gt;"", 0.72,0)),"")</f>
        <v>#REF!</v>
      </c>
      <c r="E44" s="68" t="e">
        <f>'THE BOARD'!#REF!</f>
        <v>#REF!</v>
      </c>
      <c r="F44" s="68" t="e">
        <f>'THE BOARD'!#REF!</f>
        <v>#REF!</v>
      </c>
      <c r="G44" s="68" t="e">
        <f>'THE BOARD'!#REF!</f>
        <v>#REF!</v>
      </c>
      <c r="H44" s="68" t="e">
        <f>'THE BOARD'!#REF!</f>
        <v>#REF!</v>
      </c>
      <c r="I44" s="68" t="e">
        <f>'THE BOARD'!#REF!</f>
        <v>#REF!</v>
      </c>
      <c r="J44" s="68" t="e">
        <f>'THE BOARD'!#REF!</f>
        <v>#REF!</v>
      </c>
      <c r="K44" s="68" t="e">
        <f>'THE BOARD'!#REF!</f>
        <v>#REF!</v>
      </c>
    </row>
    <row r="45" spans="1:11" ht="12.75" x14ac:dyDescent="0.2">
      <c r="A45" s="68" t="e">
        <f>'THE BOARD'!#REF!</f>
        <v>#REF!</v>
      </c>
      <c r="B45" s="68" t="e">
        <f>'THE BOARD'!#REF!</f>
        <v>#REF!</v>
      </c>
      <c r="C45" s="99" t="e">
        <f>IF('THE BOARD'!#REF! = "NESTED","",IF('THE BOARD'!#REF!&lt;&gt;"",'THE BOARD'!#REF!+0.72,""))</f>
        <v>#REF!</v>
      </c>
      <c r="D45" s="99" t="e">
        <f>IF(C45&lt;&gt;"", IF('THE BOARD'!#REF! = "NESTED","",'THE BOARD'!#REF! + IF(C45&lt;&gt;"", 0.72,0)),"")</f>
        <v>#REF!</v>
      </c>
      <c r="E45" s="68" t="e">
        <f>'THE BOARD'!#REF!</f>
        <v>#REF!</v>
      </c>
      <c r="F45" s="68" t="e">
        <f>'THE BOARD'!#REF!</f>
        <v>#REF!</v>
      </c>
      <c r="G45" s="68" t="e">
        <f>'THE BOARD'!#REF!</f>
        <v>#REF!</v>
      </c>
      <c r="H45" s="68" t="e">
        <f>'THE BOARD'!#REF!</f>
        <v>#REF!</v>
      </c>
      <c r="I45" s="68" t="e">
        <f>'THE BOARD'!#REF!</f>
        <v>#REF!</v>
      </c>
      <c r="J45" s="68" t="e">
        <f>'THE BOARD'!#REF!</f>
        <v>#REF!</v>
      </c>
      <c r="K45" s="68" t="e">
        <f>'THE BOARD'!#REF!</f>
        <v>#REF!</v>
      </c>
    </row>
    <row r="46" spans="1:11" ht="12.75" x14ac:dyDescent="0.2">
      <c r="A46" s="68" t="e">
        <f>'THE BOARD'!#REF!</f>
        <v>#REF!</v>
      </c>
      <c r="B46" s="68" t="e">
        <f>'THE BOARD'!#REF!</f>
        <v>#REF!</v>
      </c>
      <c r="C46" s="99" t="e">
        <f>IF('THE BOARD'!#REF! = "NESTED","",IF('THE BOARD'!#REF!&lt;&gt;"",'THE BOARD'!#REF!+0.72,""))</f>
        <v>#REF!</v>
      </c>
      <c r="D46" s="99" t="e">
        <f>IF(C46&lt;&gt;"", IF('THE BOARD'!#REF! = "NESTED","",'THE BOARD'!#REF! + IF(C46&lt;&gt;"", 0.72,0)),"")</f>
        <v>#REF!</v>
      </c>
      <c r="E46" s="68" t="e">
        <f>'THE BOARD'!#REF!</f>
        <v>#REF!</v>
      </c>
      <c r="F46" s="68" t="e">
        <f>'THE BOARD'!#REF!</f>
        <v>#REF!</v>
      </c>
      <c r="G46" s="68" t="e">
        <f>'THE BOARD'!#REF!</f>
        <v>#REF!</v>
      </c>
      <c r="H46" s="68" t="e">
        <f>'THE BOARD'!#REF!</f>
        <v>#REF!</v>
      </c>
      <c r="I46" s="68" t="e">
        <f>'THE BOARD'!#REF!</f>
        <v>#REF!</v>
      </c>
      <c r="J46" s="68" t="e">
        <f>'THE BOARD'!#REF!</f>
        <v>#REF!</v>
      </c>
      <c r="K46" s="68" t="e">
        <f>'THE BOARD'!#REF!</f>
        <v>#REF!</v>
      </c>
    </row>
    <row r="47" spans="1:11" ht="12.75" x14ac:dyDescent="0.2">
      <c r="A47" s="68" t="e">
        <f>'THE BOARD'!#REF!</f>
        <v>#REF!</v>
      </c>
      <c r="B47" s="68" t="e">
        <f>'THE BOARD'!#REF!</f>
        <v>#REF!</v>
      </c>
      <c r="C47" s="99" t="e">
        <f>IF('THE BOARD'!#REF! = "NESTED","",IF('THE BOARD'!#REF!&lt;&gt;"",'THE BOARD'!#REF!+0.72,""))</f>
        <v>#REF!</v>
      </c>
      <c r="D47" s="99" t="e">
        <f>IF(C47&lt;&gt;"", IF('THE BOARD'!#REF! = "NESTED","",'THE BOARD'!#REF! + IF(C47&lt;&gt;"", 0.72,0)),"")</f>
        <v>#REF!</v>
      </c>
      <c r="E47" s="68" t="e">
        <f>'THE BOARD'!#REF!</f>
        <v>#REF!</v>
      </c>
      <c r="F47" s="68" t="e">
        <f>'THE BOARD'!#REF!</f>
        <v>#REF!</v>
      </c>
      <c r="G47" s="68" t="e">
        <f>'THE BOARD'!#REF!</f>
        <v>#REF!</v>
      </c>
      <c r="H47" s="68" t="e">
        <f>'THE BOARD'!#REF!</f>
        <v>#REF!</v>
      </c>
      <c r="I47" s="68" t="e">
        <f>'THE BOARD'!#REF!</f>
        <v>#REF!</v>
      </c>
      <c r="J47" s="68" t="e">
        <f>'THE BOARD'!#REF!</f>
        <v>#REF!</v>
      </c>
      <c r="K47" s="68" t="e">
        <f>'THE BOARD'!#REF!</f>
        <v>#REF!</v>
      </c>
    </row>
    <row r="48" spans="1:11" ht="12.75" x14ac:dyDescent="0.2">
      <c r="A48" s="68" t="e">
        <f>'THE BOARD'!#REF!</f>
        <v>#REF!</v>
      </c>
      <c r="B48" s="68" t="e">
        <f>'THE BOARD'!#REF!</f>
        <v>#REF!</v>
      </c>
      <c r="C48" s="99" t="e">
        <f>IF('THE BOARD'!#REF! = "NESTED","",IF('THE BOARD'!#REF!&lt;&gt;"",'THE BOARD'!#REF!+0.72,""))</f>
        <v>#REF!</v>
      </c>
      <c r="D48" s="99" t="e">
        <f>IF(C48&lt;&gt;"", IF('THE BOARD'!#REF! = "NESTED","",'THE BOARD'!#REF! + IF(C48&lt;&gt;"", 0.72,0)),"")</f>
        <v>#REF!</v>
      </c>
      <c r="E48" s="68" t="e">
        <f>'THE BOARD'!#REF!</f>
        <v>#REF!</v>
      </c>
      <c r="F48" s="68" t="e">
        <f>'THE BOARD'!#REF!</f>
        <v>#REF!</v>
      </c>
      <c r="G48" s="68" t="e">
        <f>'THE BOARD'!#REF!</f>
        <v>#REF!</v>
      </c>
      <c r="H48" s="68" t="e">
        <f>'THE BOARD'!#REF!</f>
        <v>#REF!</v>
      </c>
      <c r="I48" s="68" t="e">
        <f>'THE BOARD'!#REF!</f>
        <v>#REF!</v>
      </c>
      <c r="J48" s="68" t="e">
        <f>'THE BOARD'!#REF!</f>
        <v>#REF!</v>
      </c>
      <c r="K48" s="68" t="e">
        <f>'THE BOARD'!#REF!</f>
        <v>#REF!</v>
      </c>
    </row>
    <row r="49" spans="1:11" ht="12.75" x14ac:dyDescent="0.2">
      <c r="A49" s="68" t="e">
        <f>'THE BOARD'!#REF!</f>
        <v>#REF!</v>
      </c>
      <c r="B49" s="68" t="e">
        <f>'THE BOARD'!#REF!</f>
        <v>#REF!</v>
      </c>
      <c r="C49" s="99" t="e">
        <f>IF('THE BOARD'!#REF! = "NESTED","",IF('THE BOARD'!#REF!&lt;&gt;"",'THE BOARD'!#REF!+0.72,""))</f>
        <v>#REF!</v>
      </c>
      <c r="D49" s="99" t="e">
        <f>IF(C49&lt;&gt;"", IF('THE BOARD'!#REF! = "NESTED","",'THE BOARD'!#REF! + IF(C49&lt;&gt;"", 0.72,0)),"")</f>
        <v>#REF!</v>
      </c>
      <c r="E49" s="68" t="e">
        <f>'THE BOARD'!#REF!</f>
        <v>#REF!</v>
      </c>
      <c r="F49" s="68" t="e">
        <f>'THE BOARD'!#REF!</f>
        <v>#REF!</v>
      </c>
      <c r="G49" s="68" t="e">
        <f>'THE BOARD'!#REF!</f>
        <v>#REF!</v>
      </c>
      <c r="H49" s="68" t="e">
        <f>'THE BOARD'!#REF!</f>
        <v>#REF!</v>
      </c>
      <c r="I49" s="68" t="e">
        <f>'THE BOARD'!#REF!</f>
        <v>#REF!</v>
      </c>
      <c r="J49" s="68" t="e">
        <f>'THE BOARD'!#REF!</f>
        <v>#REF!</v>
      </c>
      <c r="K49" s="68" t="e">
        <f>'THE BOARD'!#REF!</f>
        <v>#REF!</v>
      </c>
    </row>
    <row r="50" spans="1:11" ht="12.75" x14ac:dyDescent="0.2">
      <c r="A50" s="68" t="e">
        <f>'THE BOARD'!#REF!</f>
        <v>#REF!</v>
      </c>
      <c r="B50" s="68" t="e">
        <f>'THE BOARD'!#REF!</f>
        <v>#REF!</v>
      </c>
      <c r="C50" s="99" t="e">
        <f>IF('THE BOARD'!#REF! = "NESTED","",IF('THE BOARD'!#REF!&lt;&gt;"",'THE BOARD'!#REF!+0.72,""))</f>
        <v>#REF!</v>
      </c>
      <c r="D50" s="99" t="e">
        <f>IF(C50&lt;&gt;"", IF('THE BOARD'!#REF! = "NESTED","",'THE BOARD'!#REF! + IF(C50&lt;&gt;"", 0.72,0)),"")</f>
        <v>#REF!</v>
      </c>
      <c r="E50" s="68" t="e">
        <f>'THE BOARD'!#REF!</f>
        <v>#REF!</v>
      </c>
      <c r="F50" s="68" t="e">
        <f>'THE BOARD'!#REF!</f>
        <v>#REF!</v>
      </c>
      <c r="G50" s="68" t="e">
        <f>'THE BOARD'!#REF!</f>
        <v>#REF!</v>
      </c>
      <c r="H50" s="68" t="e">
        <f>'THE BOARD'!#REF!</f>
        <v>#REF!</v>
      </c>
      <c r="I50" s="68" t="e">
        <f>'THE BOARD'!#REF!</f>
        <v>#REF!</v>
      </c>
      <c r="J50" s="68" t="e">
        <f>'THE BOARD'!#REF!</f>
        <v>#REF!</v>
      </c>
      <c r="K50" s="68" t="e">
        <f>'THE BOARD'!#REF!</f>
        <v>#REF!</v>
      </c>
    </row>
    <row r="51" spans="1:11" ht="12.75" x14ac:dyDescent="0.2">
      <c r="A51" s="68" t="e">
        <f>'THE BOARD'!#REF!</f>
        <v>#REF!</v>
      </c>
      <c r="B51" s="68" t="e">
        <f>'THE BOARD'!#REF!</f>
        <v>#REF!</v>
      </c>
      <c r="C51" s="99" t="e">
        <f>IF('THE BOARD'!#REF! = "NESTED","",IF('THE BOARD'!#REF!&lt;&gt;"",'THE BOARD'!#REF!+0.72,""))</f>
        <v>#REF!</v>
      </c>
      <c r="D51" s="99" t="e">
        <f>IF(C51&lt;&gt;"", IF('THE BOARD'!#REF! = "NESTED","",'THE BOARD'!#REF! + IF(C51&lt;&gt;"", 0.72,0)),"")</f>
        <v>#REF!</v>
      </c>
      <c r="E51" s="68" t="e">
        <f>'THE BOARD'!#REF!</f>
        <v>#REF!</v>
      </c>
      <c r="F51" s="68" t="e">
        <f>'THE BOARD'!#REF!</f>
        <v>#REF!</v>
      </c>
      <c r="G51" s="68" t="e">
        <f>'THE BOARD'!#REF!</f>
        <v>#REF!</v>
      </c>
      <c r="H51" s="68" t="e">
        <f>'THE BOARD'!#REF!</f>
        <v>#REF!</v>
      </c>
      <c r="I51" s="68" t="e">
        <f>'THE BOARD'!#REF!</f>
        <v>#REF!</v>
      </c>
      <c r="J51" s="68" t="e">
        <f>'THE BOARD'!#REF!</f>
        <v>#REF!</v>
      </c>
      <c r="K51" s="68" t="e">
        <f>'THE BOARD'!#REF!</f>
        <v>#REF!</v>
      </c>
    </row>
    <row r="52" spans="1:11" ht="12.75" x14ac:dyDescent="0.2">
      <c r="A52" s="68" t="e">
        <f>'THE BOARD'!#REF!</f>
        <v>#REF!</v>
      </c>
      <c r="B52" s="68" t="e">
        <f>'THE BOARD'!#REF!</f>
        <v>#REF!</v>
      </c>
      <c r="C52" s="99" t="e">
        <f>IF('THE BOARD'!#REF! = "NESTED","",IF('THE BOARD'!#REF!&lt;&gt;"",'THE BOARD'!#REF!+0.72,""))</f>
        <v>#REF!</v>
      </c>
      <c r="D52" s="99" t="e">
        <f>IF(C52&lt;&gt;"", IF('THE BOARD'!#REF! = "NESTED","",'THE BOARD'!#REF! + IF(C52&lt;&gt;"", 0.72,0)),"")</f>
        <v>#REF!</v>
      </c>
      <c r="E52" s="68" t="e">
        <f>'THE BOARD'!#REF!</f>
        <v>#REF!</v>
      </c>
      <c r="F52" s="68" t="e">
        <f>'THE BOARD'!#REF!</f>
        <v>#REF!</v>
      </c>
      <c r="G52" s="68" t="e">
        <f>'THE BOARD'!#REF!</f>
        <v>#REF!</v>
      </c>
      <c r="H52" s="68" t="e">
        <f>'THE BOARD'!#REF!</f>
        <v>#REF!</v>
      </c>
      <c r="I52" s="68" t="e">
        <f>'THE BOARD'!#REF!</f>
        <v>#REF!</v>
      </c>
      <c r="J52" s="68" t="e">
        <f>'THE BOARD'!#REF!</f>
        <v>#REF!</v>
      </c>
      <c r="K52" s="68" t="e">
        <f>'THE BOARD'!#REF!</f>
        <v>#REF!</v>
      </c>
    </row>
    <row r="53" spans="1:11" ht="12.75" x14ac:dyDescent="0.2">
      <c r="A53" s="68" t="e">
        <f>'THE BOARD'!#REF!</f>
        <v>#REF!</v>
      </c>
      <c r="B53" s="68" t="e">
        <f>'THE BOARD'!#REF!</f>
        <v>#REF!</v>
      </c>
      <c r="C53" s="99" t="e">
        <f>IF('THE BOARD'!#REF! = "NESTED","",IF('THE BOARD'!#REF!&lt;&gt;"",'THE BOARD'!#REF!+0.72,""))</f>
        <v>#REF!</v>
      </c>
      <c r="D53" s="99" t="e">
        <f>IF(C53&lt;&gt;"", IF('THE BOARD'!#REF! = "NESTED","",'THE BOARD'!#REF! + IF(C53&lt;&gt;"", 0.72,0)),"")</f>
        <v>#REF!</v>
      </c>
      <c r="E53" s="68" t="e">
        <f>'THE BOARD'!#REF!</f>
        <v>#REF!</v>
      </c>
      <c r="F53" s="68" t="e">
        <f>'THE BOARD'!#REF!</f>
        <v>#REF!</v>
      </c>
      <c r="G53" s="68" t="e">
        <f>'THE BOARD'!#REF!</f>
        <v>#REF!</v>
      </c>
      <c r="H53" s="68" t="e">
        <f>'THE BOARD'!#REF!</f>
        <v>#REF!</v>
      </c>
      <c r="I53" s="68" t="e">
        <f>'THE BOARD'!#REF!</f>
        <v>#REF!</v>
      </c>
      <c r="J53" s="68" t="e">
        <f>'THE BOARD'!#REF!</f>
        <v>#REF!</v>
      </c>
      <c r="K53" s="68" t="e">
        <f>'THE BOARD'!#REF!</f>
        <v>#REF!</v>
      </c>
    </row>
    <row r="54" spans="1:11" ht="12.75" x14ac:dyDescent="0.2">
      <c r="A54" s="68" t="e">
        <f>'THE BOARD'!#REF!</f>
        <v>#REF!</v>
      </c>
      <c r="B54" s="68" t="e">
        <f>'THE BOARD'!#REF!</f>
        <v>#REF!</v>
      </c>
      <c r="C54" s="99" t="e">
        <f>IF('THE BOARD'!#REF! = "NESTED","",IF('THE BOARD'!#REF!&lt;&gt;"",'THE BOARD'!#REF!+0.72,""))</f>
        <v>#REF!</v>
      </c>
      <c r="D54" s="99" t="e">
        <f>IF(C54&lt;&gt;"", IF('THE BOARD'!#REF! = "NESTED","",'THE BOARD'!#REF! + IF(C54&lt;&gt;"", 0.72,0)),"")</f>
        <v>#REF!</v>
      </c>
      <c r="E54" s="68" t="e">
        <f>'THE BOARD'!#REF!</f>
        <v>#REF!</v>
      </c>
      <c r="F54" s="68" t="e">
        <f>'THE BOARD'!#REF!</f>
        <v>#REF!</v>
      </c>
      <c r="G54" s="68" t="e">
        <f>'THE BOARD'!#REF!</f>
        <v>#REF!</v>
      </c>
      <c r="H54" s="68" t="e">
        <f>'THE BOARD'!#REF!</f>
        <v>#REF!</v>
      </c>
      <c r="I54" s="68" t="e">
        <f>'THE BOARD'!#REF!</f>
        <v>#REF!</v>
      </c>
      <c r="J54" s="68" t="e">
        <f>'THE BOARD'!#REF!</f>
        <v>#REF!</v>
      </c>
      <c r="K54" s="68" t="e">
        <f>'THE BOARD'!#REF!</f>
        <v>#REF!</v>
      </c>
    </row>
    <row r="55" spans="1:11" ht="12.75" x14ac:dyDescent="0.2">
      <c r="A55" s="68" t="e">
        <f>'THE BOARD'!#REF!</f>
        <v>#REF!</v>
      </c>
      <c r="B55" s="68" t="e">
        <f>'THE BOARD'!#REF!</f>
        <v>#REF!</v>
      </c>
      <c r="C55" s="99" t="e">
        <f>IF('THE BOARD'!#REF! = "NESTED","",IF('THE BOARD'!#REF!&lt;&gt;"",'THE BOARD'!#REF!+0.72,""))</f>
        <v>#REF!</v>
      </c>
      <c r="D55" s="99" t="e">
        <f>IF(C55&lt;&gt;"", IF('THE BOARD'!#REF! = "NESTED","",'THE BOARD'!#REF! + IF(C55&lt;&gt;"", 0.72,0)),"")</f>
        <v>#REF!</v>
      </c>
      <c r="E55" s="68" t="e">
        <f>'THE BOARD'!#REF!</f>
        <v>#REF!</v>
      </c>
      <c r="F55" s="68" t="e">
        <f>'THE BOARD'!#REF!</f>
        <v>#REF!</v>
      </c>
      <c r="G55" s="68" t="e">
        <f>'THE BOARD'!#REF!</f>
        <v>#REF!</v>
      </c>
      <c r="H55" s="68" t="e">
        <f>'THE BOARD'!#REF!</f>
        <v>#REF!</v>
      </c>
      <c r="I55" s="68" t="e">
        <f>'THE BOARD'!#REF!</f>
        <v>#REF!</v>
      </c>
      <c r="J55" s="68" t="e">
        <f>'THE BOARD'!#REF!</f>
        <v>#REF!</v>
      </c>
      <c r="K55" s="68" t="e">
        <f>'THE BOARD'!#REF!</f>
        <v>#REF!</v>
      </c>
    </row>
    <row r="56" spans="1:11" ht="12.75" x14ac:dyDescent="0.2">
      <c r="A56" s="68" t="e">
        <f>'THE BOARD'!#REF!</f>
        <v>#REF!</v>
      </c>
      <c r="B56" s="68" t="e">
        <f>'THE BOARD'!#REF!</f>
        <v>#REF!</v>
      </c>
      <c r="C56" s="99" t="e">
        <f>IF('THE BOARD'!#REF! = "NESTED","",IF('THE BOARD'!#REF!&lt;&gt;"",'THE BOARD'!#REF!+0.72,""))</f>
        <v>#REF!</v>
      </c>
      <c r="D56" s="99" t="e">
        <f>IF(C56&lt;&gt;"", IF('THE BOARD'!#REF! = "NESTED","",'THE BOARD'!#REF! + IF(C56&lt;&gt;"", 0.72,0)),"")</f>
        <v>#REF!</v>
      </c>
      <c r="E56" s="68" t="e">
        <f>'THE BOARD'!#REF!</f>
        <v>#REF!</v>
      </c>
      <c r="F56" s="68" t="e">
        <f>'THE BOARD'!#REF!</f>
        <v>#REF!</v>
      </c>
      <c r="G56" s="68" t="e">
        <f>'THE BOARD'!#REF!</f>
        <v>#REF!</v>
      </c>
      <c r="H56" s="68" t="e">
        <f>'THE BOARD'!#REF!</f>
        <v>#REF!</v>
      </c>
      <c r="I56" s="68" t="e">
        <f>'THE BOARD'!#REF!</f>
        <v>#REF!</v>
      </c>
      <c r="J56" s="68" t="e">
        <f>'THE BOARD'!#REF!</f>
        <v>#REF!</v>
      </c>
      <c r="K56" s="68" t="e">
        <f>'THE BOARD'!#REF!</f>
        <v>#REF!</v>
      </c>
    </row>
    <row r="57" spans="1:11" ht="12.75" x14ac:dyDescent="0.2">
      <c r="A57" s="68" t="e">
        <f>'THE BOARD'!#REF!</f>
        <v>#REF!</v>
      </c>
      <c r="B57" s="68" t="e">
        <f>'THE BOARD'!#REF!</f>
        <v>#REF!</v>
      </c>
      <c r="C57" s="99" t="e">
        <f>IF('THE BOARD'!#REF! = "NESTED","",IF('THE BOARD'!#REF!&lt;&gt;"",'THE BOARD'!#REF!+0.72,""))</f>
        <v>#REF!</v>
      </c>
      <c r="D57" s="99" t="e">
        <f>IF(C57&lt;&gt;"", IF('THE BOARD'!#REF! = "NESTED","",'THE BOARD'!#REF! + IF(C57&lt;&gt;"", 0.72,0)),"")</f>
        <v>#REF!</v>
      </c>
      <c r="E57" s="68" t="e">
        <f>'THE BOARD'!#REF!</f>
        <v>#REF!</v>
      </c>
      <c r="F57" s="68" t="e">
        <f>'THE BOARD'!#REF!</f>
        <v>#REF!</v>
      </c>
      <c r="G57" s="68" t="e">
        <f>'THE BOARD'!#REF!</f>
        <v>#REF!</v>
      </c>
      <c r="H57" s="68" t="e">
        <f>'THE BOARD'!#REF!</f>
        <v>#REF!</v>
      </c>
      <c r="I57" s="68" t="e">
        <f>'THE BOARD'!#REF!</f>
        <v>#REF!</v>
      </c>
      <c r="J57" s="68" t="e">
        <f>'THE BOARD'!#REF!</f>
        <v>#REF!</v>
      </c>
      <c r="K57" s="68" t="e">
        <f>'THE BOARD'!#REF!</f>
        <v>#REF!</v>
      </c>
    </row>
    <row r="58" spans="1:11" ht="12.75" x14ac:dyDescent="0.2">
      <c r="A58" s="68" t="e">
        <f>'THE BOARD'!#REF!</f>
        <v>#REF!</v>
      </c>
      <c r="B58" s="68" t="e">
        <f>'THE BOARD'!#REF!</f>
        <v>#REF!</v>
      </c>
      <c r="C58" s="99" t="e">
        <f>IF('THE BOARD'!#REF! = "NESTED","",IF('THE BOARD'!#REF!&lt;&gt;"",'THE BOARD'!#REF!+0.72,""))</f>
        <v>#REF!</v>
      </c>
      <c r="D58" s="99" t="e">
        <f>IF(C58&lt;&gt;"", IF('THE BOARD'!#REF! = "NESTED","",'THE BOARD'!#REF! + IF(C58&lt;&gt;"", 0.72,0)),"")</f>
        <v>#REF!</v>
      </c>
      <c r="E58" s="68" t="e">
        <f>'THE BOARD'!#REF!</f>
        <v>#REF!</v>
      </c>
      <c r="F58" s="68" t="e">
        <f>'THE BOARD'!#REF!</f>
        <v>#REF!</v>
      </c>
      <c r="G58" s="68" t="e">
        <f>'THE BOARD'!#REF!</f>
        <v>#REF!</v>
      </c>
      <c r="H58" s="68" t="e">
        <f>'THE BOARD'!#REF!</f>
        <v>#REF!</v>
      </c>
      <c r="I58" s="68" t="e">
        <f>'THE BOARD'!#REF!</f>
        <v>#REF!</v>
      </c>
      <c r="J58" s="68" t="e">
        <f>'THE BOARD'!#REF!</f>
        <v>#REF!</v>
      </c>
      <c r="K58" s="68" t="e">
        <f>'THE BOARD'!#REF!</f>
        <v>#REF!</v>
      </c>
    </row>
    <row r="59" spans="1:11" ht="12.75" x14ac:dyDescent="0.2">
      <c r="A59" s="68" t="e">
        <f>'THE BOARD'!#REF!</f>
        <v>#REF!</v>
      </c>
      <c r="B59" s="68" t="e">
        <f>'THE BOARD'!#REF!</f>
        <v>#REF!</v>
      </c>
      <c r="C59" s="99" t="e">
        <f>IF('THE BOARD'!#REF! = "NESTED","",IF('THE BOARD'!#REF!&lt;&gt;"",'THE BOARD'!#REF!+0.72,""))</f>
        <v>#REF!</v>
      </c>
      <c r="D59" s="99" t="e">
        <f>IF(C59&lt;&gt;"", IF('THE BOARD'!#REF! = "NESTED","",'THE BOARD'!#REF! + IF(C59&lt;&gt;"", 0.72,0)),"")</f>
        <v>#REF!</v>
      </c>
      <c r="E59" s="68" t="e">
        <f>'THE BOARD'!#REF!</f>
        <v>#REF!</v>
      </c>
      <c r="F59" s="68" t="e">
        <f>'THE BOARD'!#REF!</f>
        <v>#REF!</v>
      </c>
      <c r="G59" s="68" t="e">
        <f>'THE BOARD'!#REF!</f>
        <v>#REF!</v>
      </c>
      <c r="H59" s="68" t="e">
        <f>'THE BOARD'!#REF!</f>
        <v>#REF!</v>
      </c>
      <c r="I59" s="68" t="e">
        <f>'THE BOARD'!#REF!</f>
        <v>#REF!</v>
      </c>
      <c r="J59" s="68" t="e">
        <f>'THE BOARD'!#REF!</f>
        <v>#REF!</v>
      </c>
      <c r="K59" s="68" t="e">
        <f>'THE BOARD'!#REF!</f>
        <v>#REF!</v>
      </c>
    </row>
    <row r="60" spans="1:11" ht="12.75" x14ac:dyDescent="0.2">
      <c r="A60" s="68" t="e">
        <f>'THE BOARD'!#REF!</f>
        <v>#REF!</v>
      </c>
      <c r="B60" s="68" t="e">
        <f>'THE BOARD'!#REF!</f>
        <v>#REF!</v>
      </c>
      <c r="C60" s="99" t="e">
        <f>IF('THE BOARD'!#REF! = "NESTED","",IF('THE BOARD'!#REF!&lt;&gt;"",'THE BOARD'!#REF!+0.72,""))</f>
        <v>#REF!</v>
      </c>
      <c r="D60" s="99" t="e">
        <f>IF(C60&lt;&gt;"", IF('THE BOARD'!#REF! = "NESTED","",'THE BOARD'!#REF! + IF(C60&lt;&gt;"", 0.72,0)),"")</f>
        <v>#REF!</v>
      </c>
      <c r="E60" s="68" t="e">
        <f>'THE BOARD'!#REF!</f>
        <v>#REF!</v>
      </c>
      <c r="F60" s="68" t="e">
        <f>'THE BOARD'!#REF!</f>
        <v>#REF!</v>
      </c>
      <c r="G60" s="68" t="e">
        <f>'THE BOARD'!#REF!</f>
        <v>#REF!</v>
      </c>
      <c r="H60" s="68" t="e">
        <f>'THE BOARD'!#REF!</f>
        <v>#REF!</v>
      </c>
      <c r="I60" s="68" t="e">
        <f>'THE BOARD'!#REF!</f>
        <v>#REF!</v>
      </c>
      <c r="J60" s="68" t="e">
        <f>'THE BOARD'!#REF!</f>
        <v>#REF!</v>
      </c>
      <c r="K60" s="68" t="e">
        <f>'THE BOARD'!#REF!</f>
        <v>#REF!</v>
      </c>
    </row>
    <row r="61" spans="1:11" ht="12.75" x14ac:dyDescent="0.2">
      <c r="A61" s="68" t="e">
        <f>'THE BOARD'!#REF!</f>
        <v>#REF!</v>
      </c>
      <c r="B61" s="68" t="e">
        <f>'THE BOARD'!#REF!</f>
        <v>#REF!</v>
      </c>
      <c r="C61" s="99" t="e">
        <f>IF('THE BOARD'!#REF! = "NESTED","",IF('THE BOARD'!#REF!&lt;&gt;"",'THE BOARD'!#REF!+0.72,""))</f>
        <v>#REF!</v>
      </c>
      <c r="D61" s="99" t="e">
        <f>IF(C61&lt;&gt;"", IF('THE BOARD'!#REF! = "NESTED","",'THE BOARD'!#REF! + IF(C61&lt;&gt;"", 0.72,0)),"")</f>
        <v>#REF!</v>
      </c>
      <c r="E61" s="68" t="e">
        <f>'THE BOARD'!#REF!</f>
        <v>#REF!</v>
      </c>
      <c r="F61" s="68" t="e">
        <f>'THE BOARD'!#REF!</f>
        <v>#REF!</v>
      </c>
      <c r="G61" s="68" t="e">
        <f>'THE BOARD'!#REF!</f>
        <v>#REF!</v>
      </c>
      <c r="H61" s="68" t="e">
        <f>'THE BOARD'!#REF!</f>
        <v>#REF!</v>
      </c>
      <c r="I61" s="68" t="e">
        <f>'THE BOARD'!#REF!</f>
        <v>#REF!</v>
      </c>
      <c r="J61" s="68" t="e">
        <f>'THE BOARD'!#REF!</f>
        <v>#REF!</v>
      </c>
      <c r="K61" s="68" t="e">
        <f>'THE BOARD'!#REF!</f>
        <v>#REF!</v>
      </c>
    </row>
    <row r="62" spans="1:11" ht="12.75" x14ac:dyDescent="0.2">
      <c r="A62" s="68" t="e">
        <f>'THE BOARD'!#REF!</f>
        <v>#REF!</v>
      </c>
      <c r="B62" s="68" t="e">
        <f>'THE BOARD'!#REF!</f>
        <v>#REF!</v>
      </c>
      <c r="C62" s="99" t="e">
        <f>IF('THE BOARD'!#REF! = "NESTED","",IF('THE BOARD'!#REF!&lt;&gt;"",'THE BOARD'!#REF!+0.72,""))</f>
        <v>#REF!</v>
      </c>
      <c r="D62" s="99" t="e">
        <f>IF(C62&lt;&gt;"", IF('THE BOARD'!#REF! = "NESTED","",'THE BOARD'!#REF! + IF(C62&lt;&gt;"", 0.72,0)),"")</f>
        <v>#REF!</v>
      </c>
      <c r="E62" s="68" t="e">
        <f>'THE BOARD'!#REF!</f>
        <v>#REF!</v>
      </c>
      <c r="F62" s="68" t="e">
        <f>'THE BOARD'!#REF!</f>
        <v>#REF!</v>
      </c>
      <c r="G62" s="68" t="e">
        <f>'THE BOARD'!#REF!</f>
        <v>#REF!</v>
      </c>
      <c r="H62" s="68" t="e">
        <f>'THE BOARD'!#REF!</f>
        <v>#REF!</v>
      </c>
      <c r="I62" s="68" t="e">
        <f>'THE BOARD'!#REF!</f>
        <v>#REF!</v>
      </c>
      <c r="J62" s="68" t="e">
        <f>'THE BOARD'!#REF!</f>
        <v>#REF!</v>
      </c>
      <c r="K62" s="68" t="e">
        <f>'THE BOARD'!#REF!</f>
        <v>#REF!</v>
      </c>
    </row>
    <row r="63" spans="1:11" ht="12.75" x14ac:dyDescent="0.2">
      <c r="A63" s="68" t="e">
        <f>'THE BOARD'!#REF!</f>
        <v>#REF!</v>
      </c>
      <c r="B63" s="68" t="e">
        <f>'THE BOARD'!#REF!</f>
        <v>#REF!</v>
      </c>
      <c r="C63" s="99" t="e">
        <f>IF('THE BOARD'!#REF! = "NESTED","",IF('THE BOARD'!#REF!&lt;&gt;"",'THE BOARD'!#REF!+0.72,""))</f>
        <v>#REF!</v>
      </c>
      <c r="D63" s="99" t="e">
        <f>IF(C63&lt;&gt;"", IF('THE BOARD'!#REF! = "NESTED","",'THE BOARD'!#REF! + IF(C63&lt;&gt;"", 0.72,0)),"")</f>
        <v>#REF!</v>
      </c>
      <c r="E63" s="68" t="e">
        <f>'THE BOARD'!#REF!</f>
        <v>#REF!</v>
      </c>
      <c r="F63" s="68" t="e">
        <f>'THE BOARD'!#REF!</f>
        <v>#REF!</v>
      </c>
      <c r="G63" s="68" t="e">
        <f>'THE BOARD'!#REF!</f>
        <v>#REF!</v>
      </c>
      <c r="H63" s="68" t="e">
        <f>'THE BOARD'!#REF!</f>
        <v>#REF!</v>
      </c>
      <c r="I63" s="68" t="e">
        <f>'THE BOARD'!#REF!</f>
        <v>#REF!</v>
      </c>
      <c r="J63" s="68" t="e">
        <f>'THE BOARD'!#REF!</f>
        <v>#REF!</v>
      </c>
      <c r="K63" s="68" t="e">
        <f>'THE BOARD'!#REF!</f>
        <v>#REF!</v>
      </c>
    </row>
    <row r="64" spans="1:11" ht="12.75" x14ac:dyDescent="0.2">
      <c r="A64" s="68" t="e">
        <f>'THE BOARD'!#REF!</f>
        <v>#REF!</v>
      </c>
      <c r="B64" s="68" t="e">
        <f>'THE BOARD'!#REF!</f>
        <v>#REF!</v>
      </c>
      <c r="C64" s="99" t="e">
        <f>IF('THE BOARD'!#REF! = "NESTED","",IF('THE BOARD'!#REF!&lt;&gt;"",'THE BOARD'!#REF!+0.72,""))</f>
        <v>#REF!</v>
      </c>
      <c r="D64" s="99" t="e">
        <f>IF(C64&lt;&gt;"", IF('THE BOARD'!#REF! = "NESTED","",'THE BOARD'!#REF! + IF(C64&lt;&gt;"", 0.72,0)),"")</f>
        <v>#REF!</v>
      </c>
      <c r="E64" s="68" t="e">
        <f>'THE BOARD'!#REF!</f>
        <v>#REF!</v>
      </c>
      <c r="F64" s="68" t="e">
        <f>'THE BOARD'!#REF!</f>
        <v>#REF!</v>
      </c>
      <c r="G64" s="68" t="e">
        <f>'THE BOARD'!#REF!</f>
        <v>#REF!</v>
      </c>
      <c r="H64" s="68" t="e">
        <f>'THE BOARD'!#REF!</f>
        <v>#REF!</v>
      </c>
      <c r="I64" s="68" t="e">
        <f>'THE BOARD'!#REF!</f>
        <v>#REF!</v>
      </c>
      <c r="J64" s="68" t="e">
        <f>'THE BOARD'!#REF!</f>
        <v>#REF!</v>
      </c>
      <c r="K64" s="68" t="e">
        <f>'THE BOARD'!#REF!</f>
        <v>#REF!</v>
      </c>
    </row>
    <row r="65" spans="1:11" ht="12.75" x14ac:dyDescent="0.2">
      <c r="A65" s="68" t="e">
        <f>'THE BOARD'!#REF!</f>
        <v>#REF!</v>
      </c>
      <c r="B65" s="68" t="e">
        <f>'THE BOARD'!#REF!</f>
        <v>#REF!</v>
      </c>
      <c r="C65" s="99" t="e">
        <f>IF('THE BOARD'!#REF! = "NESTED","",IF('THE BOARD'!#REF!&lt;&gt;"",'THE BOARD'!#REF!+0.72,""))</f>
        <v>#REF!</v>
      </c>
      <c r="D65" s="99" t="e">
        <f>IF(C65&lt;&gt;"", IF('THE BOARD'!#REF! = "NESTED","",'THE BOARD'!#REF! + IF(C65&lt;&gt;"", 0.72,0)),"")</f>
        <v>#REF!</v>
      </c>
      <c r="E65" s="68" t="e">
        <f>'THE BOARD'!#REF!</f>
        <v>#REF!</v>
      </c>
      <c r="F65" s="68" t="e">
        <f>'THE BOARD'!#REF!</f>
        <v>#REF!</v>
      </c>
      <c r="G65" s="68" t="e">
        <f>'THE BOARD'!#REF!</f>
        <v>#REF!</v>
      </c>
      <c r="H65" s="68" t="e">
        <f>'THE BOARD'!#REF!</f>
        <v>#REF!</v>
      </c>
      <c r="I65" s="68" t="e">
        <f>'THE BOARD'!#REF!</f>
        <v>#REF!</v>
      </c>
      <c r="J65" s="68" t="e">
        <f>'THE BOARD'!#REF!</f>
        <v>#REF!</v>
      </c>
      <c r="K65" s="68" t="e">
        <f>'THE BOARD'!#REF!</f>
        <v>#REF!</v>
      </c>
    </row>
    <row r="66" spans="1:11" ht="12.75" x14ac:dyDescent="0.2">
      <c r="A66" s="68" t="e">
        <f>'THE BOARD'!#REF!</f>
        <v>#REF!</v>
      </c>
      <c r="B66" s="68" t="e">
        <f>'THE BOARD'!#REF!</f>
        <v>#REF!</v>
      </c>
      <c r="C66" s="99" t="e">
        <f>IF('THE BOARD'!#REF! = "NESTED","",IF('THE BOARD'!#REF!&lt;&gt;"",'THE BOARD'!#REF!+0.72,""))</f>
        <v>#REF!</v>
      </c>
      <c r="D66" s="99" t="e">
        <f>IF(C66&lt;&gt;"", IF('THE BOARD'!#REF! = "NESTED","",'THE BOARD'!#REF! + IF(C66&lt;&gt;"", 0.72,0)),"")</f>
        <v>#REF!</v>
      </c>
      <c r="E66" s="68" t="e">
        <f>'THE BOARD'!#REF!</f>
        <v>#REF!</v>
      </c>
      <c r="F66" s="68" t="e">
        <f>'THE BOARD'!#REF!</f>
        <v>#REF!</v>
      </c>
      <c r="G66" s="68" t="e">
        <f>'THE BOARD'!#REF!</f>
        <v>#REF!</v>
      </c>
      <c r="H66" s="68" t="e">
        <f>'THE BOARD'!#REF!</f>
        <v>#REF!</v>
      </c>
      <c r="I66" s="68" t="e">
        <f>'THE BOARD'!#REF!</f>
        <v>#REF!</v>
      </c>
      <c r="J66" s="68" t="e">
        <f>'THE BOARD'!#REF!</f>
        <v>#REF!</v>
      </c>
      <c r="K66" s="68" t="e">
        <f>'THE BOARD'!#REF!</f>
        <v>#REF!</v>
      </c>
    </row>
    <row r="67" spans="1:11" ht="12.75" x14ac:dyDescent="0.2">
      <c r="A67" s="68" t="e">
        <f>'THE BOARD'!#REF!</f>
        <v>#REF!</v>
      </c>
      <c r="B67" s="68" t="e">
        <f>'THE BOARD'!#REF!</f>
        <v>#REF!</v>
      </c>
      <c r="C67" s="99" t="e">
        <f>IF('THE BOARD'!#REF! = "NESTED","",IF('THE BOARD'!#REF!&lt;&gt;"",'THE BOARD'!#REF!+0.72,""))</f>
        <v>#REF!</v>
      </c>
      <c r="D67" s="99" t="e">
        <f>IF(C67&lt;&gt;"", IF('THE BOARD'!#REF! = "NESTED","",'THE BOARD'!#REF! + IF(C67&lt;&gt;"", 0.72,0)),"")</f>
        <v>#REF!</v>
      </c>
      <c r="E67" s="68" t="e">
        <f>'THE BOARD'!#REF!</f>
        <v>#REF!</v>
      </c>
      <c r="F67" s="68" t="e">
        <f>'THE BOARD'!#REF!</f>
        <v>#REF!</v>
      </c>
      <c r="G67" s="68" t="e">
        <f>'THE BOARD'!#REF!</f>
        <v>#REF!</v>
      </c>
      <c r="H67" s="68" t="e">
        <f>'THE BOARD'!#REF!</f>
        <v>#REF!</v>
      </c>
      <c r="I67" s="68" t="e">
        <f>'THE BOARD'!#REF!</f>
        <v>#REF!</v>
      </c>
      <c r="J67" s="68" t="e">
        <f>'THE BOARD'!#REF!</f>
        <v>#REF!</v>
      </c>
      <c r="K67" s="68" t="e">
        <f>'THE BOARD'!#REF!</f>
        <v>#REF!</v>
      </c>
    </row>
    <row r="68" spans="1:11" ht="12.75" x14ac:dyDescent="0.2">
      <c r="A68" s="68" t="e">
        <f>'THE BOARD'!#REF!</f>
        <v>#REF!</v>
      </c>
      <c r="B68" s="68" t="e">
        <f>'THE BOARD'!#REF!</f>
        <v>#REF!</v>
      </c>
      <c r="C68" s="99" t="e">
        <f>IF('THE BOARD'!#REF! = "NESTED","",IF('THE BOARD'!#REF!&lt;&gt;"",'THE BOARD'!#REF!+0.72,""))</f>
        <v>#REF!</v>
      </c>
      <c r="D68" s="99" t="e">
        <f>IF(C68&lt;&gt;"", IF('THE BOARD'!#REF! = "NESTED","",'THE BOARD'!#REF! + IF(C68&lt;&gt;"", 0.72,0)),"")</f>
        <v>#REF!</v>
      </c>
      <c r="E68" s="68" t="e">
        <f>'THE BOARD'!#REF!</f>
        <v>#REF!</v>
      </c>
      <c r="F68" s="68" t="e">
        <f>'THE BOARD'!#REF!</f>
        <v>#REF!</v>
      </c>
      <c r="G68" s="68" t="e">
        <f>'THE BOARD'!#REF!</f>
        <v>#REF!</v>
      </c>
      <c r="H68" s="68" t="e">
        <f>'THE BOARD'!#REF!</f>
        <v>#REF!</v>
      </c>
      <c r="I68" s="68" t="e">
        <f>'THE BOARD'!#REF!</f>
        <v>#REF!</v>
      </c>
      <c r="J68" s="68" t="e">
        <f>'THE BOARD'!#REF!</f>
        <v>#REF!</v>
      </c>
      <c r="K68" s="68" t="e">
        <f>'THE BOARD'!#REF!</f>
        <v>#REF!</v>
      </c>
    </row>
    <row r="69" spans="1:11" ht="12.75" x14ac:dyDescent="0.2">
      <c r="A69" s="68" t="e">
        <f>'THE BOARD'!#REF!</f>
        <v>#REF!</v>
      </c>
      <c r="B69" s="68" t="e">
        <f>'THE BOARD'!#REF!</f>
        <v>#REF!</v>
      </c>
      <c r="C69" s="99" t="e">
        <f>IF('THE BOARD'!#REF! = "NESTED","",IF('THE BOARD'!#REF!&lt;&gt;"",'THE BOARD'!#REF!+0.72,""))</f>
        <v>#REF!</v>
      </c>
      <c r="D69" s="99" t="e">
        <f>IF(C69&lt;&gt;"", IF('THE BOARD'!#REF! = "NESTED","",'THE BOARD'!#REF! + IF(C69&lt;&gt;"", 0.72,0)),"")</f>
        <v>#REF!</v>
      </c>
      <c r="E69" s="68" t="e">
        <f>'THE BOARD'!#REF!</f>
        <v>#REF!</v>
      </c>
      <c r="F69" s="68" t="e">
        <f>'THE BOARD'!#REF!</f>
        <v>#REF!</v>
      </c>
      <c r="G69" s="68" t="e">
        <f>'THE BOARD'!#REF!</f>
        <v>#REF!</v>
      </c>
      <c r="H69" s="68" t="e">
        <f>'THE BOARD'!#REF!</f>
        <v>#REF!</v>
      </c>
      <c r="I69" s="68" t="e">
        <f>'THE BOARD'!#REF!</f>
        <v>#REF!</v>
      </c>
      <c r="J69" s="68" t="e">
        <f>'THE BOARD'!#REF!</f>
        <v>#REF!</v>
      </c>
      <c r="K69" s="68" t="e">
        <f>'THE BOARD'!#REF!</f>
        <v>#REF!</v>
      </c>
    </row>
    <row r="70" spans="1:11" ht="12.75" x14ac:dyDescent="0.2">
      <c r="A70" s="68" t="e">
        <f>'THE BOARD'!#REF!</f>
        <v>#REF!</v>
      </c>
      <c r="B70" s="68" t="e">
        <f>'THE BOARD'!#REF!</f>
        <v>#REF!</v>
      </c>
      <c r="C70" s="99" t="e">
        <f>IF('THE BOARD'!#REF! = "NESTED","",IF('THE BOARD'!#REF!&lt;&gt;"",'THE BOARD'!#REF!+0.72,""))</f>
        <v>#REF!</v>
      </c>
      <c r="D70" s="99" t="e">
        <f>IF(C70&lt;&gt;"", IF('THE BOARD'!#REF! = "NESTED","",'THE BOARD'!#REF! + IF(C70&lt;&gt;"", 0.72,0)),"")</f>
        <v>#REF!</v>
      </c>
      <c r="E70" s="68" t="e">
        <f>'THE BOARD'!#REF!</f>
        <v>#REF!</v>
      </c>
      <c r="F70" s="68" t="e">
        <f>'THE BOARD'!#REF!</f>
        <v>#REF!</v>
      </c>
      <c r="G70" s="68" t="e">
        <f>'THE BOARD'!#REF!</f>
        <v>#REF!</v>
      </c>
      <c r="H70" s="68" t="e">
        <f>'THE BOARD'!#REF!</f>
        <v>#REF!</v>
      </c>
      <c r="I70" s="68" t="e">
        <f>'THE BOARD'!#REF!</f>
        <v>#REF!</v>
      </c>
      <c r="J70" s="68" t="e">
        <f>'THE BOARD'!#REF!</f>
        <v>#REF!</v>
      </c>
      <c r="K70" s="68" t="e">
        <f>'THE BOARD'!#REF!</f>
        <v>#REF!</v>
      </c>
    </row>
    <row r="71" spans="1:11" ht="12.75" x14ac:dyDescent="0.2">
      <c r="A71" s="68" t="e">
        <f>'THE BOARD'!#REF!</f>
        <v>#REF!</v>
      </c>
      <c r="B71" s="68" t="e">
        <f>'THE BOARD'!#REF!</f>
        <v>#REF!</v>
      </c>
      <c r="C71" s="99" t="e">
        <f>IF('THE BOARD'!#REF! = "NESTED","",IF('THE BOARD'!#REF!&lt;&gt;"",'THE BOARD'!#REF!+0.72,""))</f>
        <v>#REF!</v>
      </c>
      <c r="D71" s="99" t="e">
        <f>IF(C71&lt;&gt;"", IF('THE BOARD'!#REF! = "NESTED","",'THE BOARD'!#REF! + IF(C71&lt;&gt;"", 0.72,0)),"")</f>
        <v>#REF!</v>
      </c>
      <c r="E71" s="68" t="e">
        <f>'THE BOARD'!#REF!</f>
        <v>#REF!</v>
      </c>
      <c r="F71" s="68" t="e">
        <f>'THE BOARD'!#REF!</f>
        <v>#REF!</v>
      </c>
      <c r="G71" s="68" t="e">
        <f>'THE BOARD'!#REF!</f>
        <v>#REF!</v>
      </c>
      <c r="H71" s="68" t="e">
        <f>'THE BOARD'!#REF!</f>
        <v>#REF!</v>
      </c>
      <c r="I71" s="68" t="e">
        <f>'THE BOARD'!#REF!</f>
        <v>#REF!</v>
      </c>
      <c r="J71" s="68" t="e">
        <f>'THE BOARD'!#REF!</f>
        <v>#REF!</v>
      </c>
      <c r="K71" s="68" t="e">
        <f>'THE BOARD'!#REF!</f>
        <v>#REF!</v>
      </c>
    </row>
    <row r="72" spans="1:11" ht="12.75" x14ac:dyDescent="0.2">
      <c r="A72" s="68" t="e">
        <f>'THE BOARD'!#REF!</f>
        <v>#REF!</v>
      </c>
      <c r="B72" s="68" t="e">
        <f>'THE BOARD'!#REF!</f>
        <v>#REF!</v>
      </c>
      <c r="C72" s="99" t="e">
        <f>IF('THE BOARD'!#REF! = "NESTED","",IF('THE BOARD'!#REF!&lt;&gt;"",'THE BOARD'!#REF!+0.72,""))</f>
        <v>#REF!</v>
      </c>
      <c r="D72" s="99" t="e">
        <f>IF(C72&lt;&gt;"", IF('THE BOARD'!#REF! = "NESTED","",'THE BOARD'!#REF! + IF(C72&lt;&gt;"", 0.72,0)),"")</f>
        <v>#REF!</v>
      </c>
      <c r="E72" s="68" t="e">
        <f>'THE BOARD'!#REF!</f>
        <v>#REF!</v>
      </c>
      <c r="F72" s="68" t="e">
        <f>'THE BOARD'!#REF!</f>
        <v>#REF!</v>
      </c>
      <c r="G72" s="68" t="e">
        <f>'THE BOARD'!#REF!</f>
        <v>#REF!</v>
      </c>
      <c r="H72" s="68" t="e">
        <f>'THE BOARD'!#REF!</f>
        <v>#REF!</v>
      </c>
      <c r="I72" s="68" t="e">
        <f>'THE BOARD'!#REF!</f>
        <v>#REF!</v>
      </c>
      <c r="J72" s="68" t="e">
        <f>'THE BOARD'!#REF!</f>
        <v>#REF!</v>
      </c>
      <c r="K72" s="68" t="e">
        <f>'THE BOARD'!#REF!</f>
        <v>#REF!</v>
      </c>
    </row>
    <row r="73" spans="1:11" ht="12.75" x14ac:dyDescent="0.2">
      <c r="A73" s="68" t="e">
        <f>'THE BOARD'!#REF!</f>
        <v>#REF!</v>
      </c>
      <c r="B73" s="68" t="e">
        <f>'THE BOARD'!#REF!</f>
        <v>#REF!</v>
      </c>
      <c r="C73" s="99" t="e">
        <f>IF('THE BOARD'!#REF! = "NESTED","",IF('THE BOARD'!#REF!&lt;&gt;"",'THE BOARD'!#REF!+0.72,""))</f>
        <v>#REF!</v>
      </c>
      <c r="D73" s="99" t="e">
        <f>IF(C73&lt;&gt;"", IF('THE BOARD'!#REF! = "NESTED","",'THE BOARD'!#REF! + IF(C73&lt;&gt;"", 0.72,0)),"")</f>
        <v>#REF!</v>
      </c>
      <c r="E73" s="68" t="e">
        <f>'THE BOARD'!#REF!</f>
        <v>#REF!</v>
      </c>
      <c r="F73" s="68" t="e">
        <f>'THE BOARD'!#REF!</f>
        <v>#REF!</v>
      </c>
      <c r="G73" s="68" t="e">
        <f>'THE BOARD'!#REF!</f>
        <v>#REF!</v>
      </c>
      <c r="H73" s="68" t="e">
        <f>'THE BOARD'!#REF!</f>
        <v>#REF!</v>
      </c>
      <c r="I73" s="68" t="e">
        <f>'THE BOARD'!#REF!</f>
        <v>#REF!</v>
      </c>
      <c r="J73" s="68" t="e">
        <f>'THE BOARD'!#REF!</f>
        <v>#REF!</v>
      </c>
      <c r="K73" s="68" t="e">
        <f>'THE BOARD'!#REF!</f>
        <v>#REF!</v>
      </c>
    </row>
    <row r="74" spans="1:11" ht="12.75" x14ac:dyDescent="0.2">
      <c r="A74" s="68" t="e">
        <f>'THE BOARD'!#REF!</f>
        <v>#REF!</v>
      </c>
      <c r="B74" s="68" t="e">
        <f>'THE BOARD'!#REF!</f>
        <v>#REF!</v>
      </c>
      <c r="C74" s="99" t="e">
        <f>IF('THE BOARD'!#REF! = "NESTED","",IF('THE BOARD'!#REF!&lt;&gt;"",'THE BOARD'!#REF!+0.72,""))</f>
        <v>#REF!</v>
      </c>
      <c r="D74" s="99" t="e">
        <f>IF(C74&lt;&gt;"", IF('THE BOARD'!#REF! = "NESTED","",'THE BOARD'!#REF! + IF(C74&lt;&gt;"", 0.72,0)),"")</f>
        <v>#REF!</v>
      </c>
      <c r="E74" s="68" t="e">
        <f>'THE BOARD'!#REF!</f>
        <v>#REF!</v>
      </c>
      <c r="F74" s="68" t="e">
        <f>'THE BOARD'!#REF!</f>
        <v>#REF!</v>
      </c>
      <c r="G74" s="68" t="e">
        <f>'THE BOARD'!#REF!</f>
        <v>#REF!</v>
      </c>
      <c r="H74" s="68" t="e">
        <f>'THE BOARD'!#REF!</f>
        <v>#REF!</v>
      </c>
      <c r="I74" s="68" t="e">
        <f>'THE BOARD'!#REF!</f>
        <v>#REF!</v>
      </c>
      <c r="J74" s="68" t="e">
        <f>'THE BOARD'!#REF!</f>
        <v>#REF!</v>
      </c>
      <c r="K74" s="68" t="e">
        <f>'THE BOARD'!#REF!</f>
        <v>#REF!</v>
      </c>
    </row>
    <row r="75" spans="1:11" ht="12.75" x14ac:dyDescent="0.2">
      <c r="A75" s="68" t="e">
        <f>'THE BOARD'!#REF!</f>
        <v>#REF!</v>
      </c>
      <c r="B75" s="68" t="e">
        <f>'THE BOARD'!#REF!</f>
        <v>#REF!</v>
      </c>
      <c r="C75" s="99" t="e">
        <f>IF('THE BOARD'!#REF! = "NESTED","",IF('THE BOARD'!#REF!&lt;&gt;"",'THE BOARD'!#REF!+0.72,""))</f>
        <v>#REF!</v>
      </c>
      <c r="D75" s="99" t="e">
        <f>IF(C75&lt;&gt;"", IF('THE BOARD'!#REF! = "NESTED","",'THE BOARD'!#REF! + IF(C75&lt;&gt;"", 0.72,0)),"")</f>
        <v>#REF!</v>
      </c>
      <c r="E75" s="68" t="e">
        <f>'THE BOARD'!#REF!</f>
        <v>#REF!</v>
      </c>
      <c r="F75" s="68" t="e">
        <f>'THE BOARD'!#REF!</f>
        <v>#REF!</v>
      </c>
      <c r="G75" s="68" t="e">
        <f>'THE BOARD'!#REF!</f>
        <v>#REF!</v>
      </c>
      <c r="H75" s="68" t="e">
        <f>'THE BOARD'!#REF!</f>
        <v>#REF!</v>
      </c>
      <c r="I75" s="68" t="e">
        <f>'THE BOARD'!#REF!</f>
        <v>#REF!</v>
      </c>
      <c r="J75" s="68" t="e">
        <f>'THE BOARD'!#REF!</f>
        <v>#REF!</v>
      </c>
      <c r="K75" s="68" t="e">
        <f>'THE BOARD'!#REF!</f>
        <v>#REF!</v>
      </c>
    </row>
    <row r="76" spans="1:11" ht="12.75" x14ac:dyDescent="0.2">
      <c r="A76" s="68" t="e">
        <f>'THE BOARD'!#REF!</f>
        <v>#REF!</v>
      </c>
      <c r="B76" s="68" t="e">
        <f>'THE BOARD'!#REF!</f>
        <v>#REF!</v>
      </c>
      <c r="C76" s="99" t="e">
        <f>IF('THE BOARD'!#REF! = "NESTED","",IF('THE BOARD'!#REF!&lt;&gt;"",'THE BOARD'!#REF!+0.72,""))</f>
        <v>#REF!</v>
      </c>
      <c r="D76" s="99" t="e">
        <f>IF(C76&lt;&gt;"", IF('THE BOARD'!#REF! = "NESTED","",'THE BOARD'!#REF! + IF(C76&lt;&gt;"", 0.72,0)),"")</f>
        <v>#REF!</v>
      </c>
      <c r="E76" s="68" t="e">
        <f>'THE BOARD'!#REF!</f>
        <v>#REF!</v>
      </c>
      <c r="F76" s="68" t="e">
        <f>'THE BOARD'!#REF!</f>
        <v>#REF!</v>
      </c>
      <c r="G76" s="68" t="e">
        <f>'THE BOARD'!#REF!</f>
        <v>#REF!</v>
      </c>
      <c r="H76" s="68" t="e">
        <f>'THE BOARD'!#REF!</f>
        <v>#REF!</v>
      </c>
      <c r="I76" s="68" t="e">
        <f>'THE BOARD'!#REF!</f>
        <v>#REF!</v>
      </c>
      <c r="J76" s="68" t="e">
        <f>'THE BOARD'!#REF!</f>
        <v>#REF!</v>
      </c>
      <c r="K76" s="68" t="e">
        <f>'THE BOARD'!#REF!</f>
        <v>#REF!</v>
      </c>
    </row>
    <row r="77" spans="1:11" ht="12.75" x14ac:dyDescent="0.2">
      <c r="A77" s="68" t="e">
        <f>'THE BOARD'!#REF!</f>
        <v>#REF!</v>
      </c>
      <c r="B77" s="68" t="e">
        <f>'THE BOARD'!#REF!</f>
        <v>#REF!</v>
      </c>
      <c r="C77" s="99" t="e">
        <f>IF('THE BOARD'!#REF! = "NESTED","",IF('THE BOARD'!#REF!&lt;&gt;"",'THE BOARD'!#REF!+0.72,""))</f>
        <v>#REF!</v>
      </c>
      <c r="D77" s="99" t="e">
        <f>IF(C77&lt;&gt;"", IF('THE BOARD'!#REF! = "NESTED","",'THE BOARD'!#REF! + IF(C77&lt;&gt;"", 0.72,0)),"")</f>
        <v>#REF!</v>
      </c>
      <c r="E77" s="68" t="e">
        <f>'THE BOARD'!#REF!</f>
        <v>#REF!</v>
      </c>
      <c r="F77" s="68" t="e">
        <f>'THE BOARD'!#REF!</f>
        <v>#REF!</v>
      </c>
      <c r="G77" s="68" t="e">
        <f>'THE BOARD'!#REF!</f>
        <v>#REF!</v>
      </c>
      <c r="H77" s="68" t="e">
        <f>'THE BOARD'!#REF!</f>
        <v>#REF!</v>
      </c>
      <c r="I77" s="68" t="e">
        <f>'THE BOARD'!#REF!</f>
        <v>#REF!</v>
      </c>
      <c r="J77" s="68" t="e">
        <f>'THE BOARD'!#REF!</f>
        <v>#REF!</v>
      </c>
      <c r="K77" s="68" t="e">
        <f>'THE BOARD'!#REF!</f>
        <v>#REF!</v>
      </c>
    </row>
    <row r="78" spans="1:11" ht="12.75" x14ac:dyDescent="0.2">
      <c r="A78" s="68" t="e">
        <f>'THE BOARD'!#REF!</f>
        <v>#REF!</v>
      </c>
      <c r="B78" s="68" t="e">
        <f>'THE BOARD'!#REF!</f>
        <v>#REF!</v>
      </c>
      <c r="C78" s="99" t="e">
        <f>IF('THE BOARD'!#REF! = "NESTED","",IF('THE BOARD'!#REF!&lt;&gt;"",'THE BOARD'!#REF!+0.72,""))</f>
        <v>#REF!</v>
      </c>
      <c r="D78" s="99" t="e">
        <f>IF(C78&lt;&gt;"", IF('THE BOARD'!#REF! = "NESTED","",'THE BOARD'!#REF! + IF(C78&lt;&gt;"", 0.72,0)),"")</f>
        <v>#REF!</v>
      </c>
      <c r="E78" s="68" t="e">
        <f>'THE BOARD'!#REF!</f>
        <v>#REF!</v>
      </c>
      <c r="F78" s="68" t="e">
        <f>'THE BOARD'!#REF!</f>
        <v>#REF!</v>
      </c>
      <c r="G78" s="68" t="e">
        <f>'THE BOARD'!#REF!</f>
        <v>#REF!</v>
      </c>
      <c r="H78" s="68" t="e">
        <f>'THE BOARD'!#REF!</f>
        <v>#REF!</v>
      </c>
      <c r="I78" s="68" t="e">
        <f>'THE BOARD'!#REF!</f>
        <v>#REF!</v>
      </c>
      <c r="J78" s="68" t="e">
        <f>'THE BOARD'!#REF!</f>
        <v>#REF!</v>
      </c>
      <c r="K78" s="68" t="e">
        <f>'THE BOARD'!#REF!</f>
        <v>#REF!</v>
      </c>
    </row>
    <row r="79" spans="1:11" ht="12.75" x14ac:dyDescent="0.2">
      <c r="A79" s="68" t="e">
        <f>'THE BOARD'!#REF!</f>
        <v>#REF!</v>
      </c>
      <c r="B79" s="68" t="e">
        <f>'THE BOARD'!#REF!</f>
        <v>#REF!</v>
      </c>
      <c r="C79" s="99" t="e">
        <f>IF('THE BOARD'!#REF! = "NESTED","",IF('THE BOARD'!#REF!&lt;&gt;"",'THE BOARD'!#REF!+0.72,""))</f>
        <v>#REF!</v>
      </c>
      <c r="D79" s="99" t="e">
        <f>IF(C79&lt;&gt;"", IF('THE BOARD'!#REF! = "NESTED","",'THE BOARD'!#REF! + IF(C79&lt;&gt;"", 0.72,0)),"")</f>
        <v>#REF!</v>
      </c>
      <c r="E79" s="68" t="e">
        <f>'THE BOARD'!#REF!</f>
        <v>#REF!</v>
      </c>
      <c r="F79" s="68" t="e">
        <f>'THE BOARD'!#REF!</f>
        <v>#REF!</v>
      </c>
      <c r="G79" s="68" t="e">
        <f>'THE BOARD'!#REF!</f>
        <v>#REF!</v>
      </c>
      <c r="H79" s="68" t="e">
        <f>'THE BOARD'!#REF!</f>
        <v>#REF!</v>
      </c>
      <c r="I79" s="68" t="e">
        <f>'THE BOARD'!#REF!</f>
        <v>#REF!</v>
      </c>
      <c r="J79" s="68" t="e">
        <f>'THE BOARD'!#REF!</f>
        <v>#REF!</v>
      </c>
      <c r="K79" s="68" t="e">
        <f>'THE BOARD'!#REF!</f>
        <v>#REF!</v>
      </c>
    </row>
    <row r="80" spans="1:11" ht="12.75" x14ac:dyDescent="0.2">
      <c r="A80" s="68" t="e">
        <f>'THE BOARD'!#REF!</f>
        <v>#REF!</v>
      </c>
      <c r="B80" s="68" t="e">
        <f>'THE BOARD'!#REF!</f>
        <v>#REF!</v>
      </c>
      <c r="C80" s="99" t="e">
        <f>IF('THE BOARD'!#REF! = "NESTED","",IF('THE BOARD'!#REF!&lt;&gt;"",'THE BOARD'!#REF!+0.72,""))</f>
        <v>#REF!</v>
      </c>
      <c r="D80" s="99" t="e">
        <f>IF(C80&lt;&gt;"", IF('THE BOARD'!#REF! = "NESTED","",'THE BOARD'!#REF! + IF(C80&lt;&gt;"", 0.72,0)),"")</f>
        <v>#REF!</v>
      </c>
      <c r="E80" s="68" t="e">
        <f>'THE BOARD'!#REF!</f>
        <v>#REF!</v>
      </c>
      <c r="F80" s="68" t="e">
        <f>'THE BOARD'!#REF!</f>
        <v>#REF!</v>
      </c>
      <c r="G80" s="68" t="e">
        <f>'THE BOARD'!#REF!</f>
        <v>#REF!</v>
      </c>
      <c r="H80" s="68" t="e">
        <f>'THE BOARD'!#REF!</f>
        <v>#REF!</v>
      </c>
      <c r="I80" s="68" t="e">
        <f>'THE BOARD'!#REF!</f>
        <v>#REF!</v>
      </c>
      <c r="J80" s="68" t="e">
        <f>'THE BOARD'!#REF!</f>
        <v>#REF!</v>
      </c>
      <c r="K80" s="68" t="e">
        <f>'THE BOARD'!#REF!</f>
        <v>#REF!</v>
      </c>
    </row>
    <row r="81" spans="1:11" ht="12.75" x14ac:dyDescent="0.2">
      <c r="A81" s="68" t="e">
        <f>'THE BOARD'!#REF!</f>
        <v>#REF!</v>
      </c>
      <c r="B81" s="68" t="e">
        <f>'THE BOARD'!#REF!</f>
        <v>#REF!</v>
      </c>
      <c r="C81" s="99" t="e">
        <f>IF('THE BOARD'!#REF! = "NESTED","",IF('THE BOARD'!#REF!&lt;&gt;"",'THE BOARD'!#REF!+0.72,""))</f>
        <v>#REF!</v>
      </c>
      <c r="D81" s="99" t="e">
        <f>IF(C81&lt;&gt;"", IF('THE BOARD'!#REF! = "NESTED","",'THE BOARD'!#REF! + IF(C81&lt;&gt;"", 0.72,0)),"")</f>
        <v>#REF!</v>
      </c>
      <c r="E81" s="68" t="e">
        <f>'THE BOARD'!#REF!</f>
        <v>#REF!</v>
      </c>
      <c r="F81" s="68" t="e">
        <f>'THE BOARD'!#REF!</f>
        <v>#REF!</v>
      </c>
      <c r="G81" s="68" t="e">
        <f>'THE BOARD'!#REF!</f>
        <v>#REF!</v>
      </c>
      <c r="H81" s="68" t="e">
        <f>'THE BOARD'!#REF!</f>
        <v>#REF!</v>
      </c>
      <c r="I81" s="68" t="e">
        <f>'THE BOARD'!#REF!</f>
        <v>#REF!</v>
      </c>
      <c r="J81" s="68" t="e">
        <f>'THE BOARD'!#REF!</f>
        <v>#REF!</v>
      </c>
      <c r="K81" s="68" t="e">
        <f>'THE BOARD'!#REF!</f>
        <v>#REF!</v>
      </c>
    </row>
    <row r="82" spans="1:11" ht="12.75" x14ac:dyDescent="0.2">
      <c r="A82" s="68" t="e">
        <f>'THE BOARD'!#REF!</f>
        <v>#REF!</v>
      </c>
      <c r="B82" s="68" t="e">
        <f>'THE BOARD'!#REF!</f>
        <v>#REF!</v>
      </c>
      <c r="C82" s="99" t="e">
        <f>IF('THE BOARD'!#REF! = "NESTED","",IF('THE BOARD'!#REF!&lt;&gt;"",'THE BOARD'!#REF!+0.72,""))</f>
        <v>#REF!</v>
      </c>
      <c r="D82" s="99" t="e">
        <f>IF(C82&lt;&gt;"", IF('THE BOARD'!#REF! = "NESTED","",'THE BOARD'!#REF! + IF(C82&lt;&gt;"", 0.72,0)),"")</f>
        <v>#REF!</v>
      </c>
      <c r="E82" s="68" t="e">
        <f>'THE BOARD'!#REF!</f>
        <v>#REF!</v>
      </c>
      <c r="F82" s="68" t="e">
        <f>'THE BOARD'!#REF!</f>
        <v>#REF!</v>
      </c>
      <c r="G82" s="68" t="e">
        <f>'THE BOARD'!#REF!</f>
        <v>#REF!</v>
      </c>
      <c r="H82" s="68" t="e">
        <f>'THE BOARD'!#REF!</f>
        <v>#REF!</v>
      </c>
      <c r="I82" s="68" t="e">
        <f>'THE BOARD'!#REF!</f>
        <v>#REF!</v>
      </c>
      <c r="J82" s="68" t="e">
        <f>'THE BOARD'!#REF!</f>
        <v>#REF!</v>
      </c>
      <c r="K82" s="68" t="e">
        <f>'THE BOARD'!#REF!</f>
        <v>#REF!</v>
      </c>
    </row>
    <row r="83" spans="1:11" ht="12.75" x14ac:dyDescent="0.2">
      <c r="A83" s="68" t="e">
        <f>'THE BOARD'!#REF!</f>
        <v>#REF!</v>
      </c>
      <c r="B83" s="68" t="e">
        <f>'THE BOARD'!#REF!</f>
        <v>#REF!</v>
      </c>
      <c r="C83" s="99" t="e">
        <f>IF('THE BOARD'!#REF! = "NESTED","",IF('THE BOARD'!#REF!&lt;&gt;"",'THE BOARD'!#REF!+0.72,""))</f>
        <v>#REF!</v>
      </c>
      <c r="D83" s="99" t="e">
        <f>IF(C83&lt;&gt;"", IF('THE BOARD'!#REF! = "NESTED","",'THE BOARD'!#REF! + IF(C83&lt;&gt;"", 0.72,0)),"")</f>
        <v>#REF!</v>
      </c>
      <c r="E83" s="68" t="e">
        <f>'THE BOARD'!#REF!</f>
        <v>#REF!</v>
      </c>
      <c r="F83" s="68" t="e">
        <f>'THE BOARD'!#REF!</f>
        <v>#REF!</v>
      </c>
      <c r="G83" s="68" t="e">
        <f>'THE BOARD'!#REF!</f>
        <v>#REF!</v>
      </c>
      <c r="H83" s="68" t="e">
        <f>'THE BOARD'!#REF!</f>
        <v>#REF!</v>
      </c>
      <c r="I83" s="68" t="e">
        <f>'THE BOARD'!#REF!</f>
        <v>#REF!</v>
      </c>
      <c r="J83" s="68" t="e">
        <f>'THE BOARD'!#REF!</f>
        <v>#REF!</v>
      </c>
      <c r="K83" s="68" t="e">
        <f>'THE BOARD'!#REF!</f>
        <v>#REF!</v>
      </c>
    </row>
    <row r="84" spans="1:11" ht="12.75" x14ac:dyDescent="0.2">
      <c r="A84" s="68" t="e">
        <f>'THE BOARD'!#REF!</f>
        <v>#REF!</v>
      </c>
      <c r="B84" s="68" t="e">
        <f>'THE BOARD'!#REF!</f>
        <v>#REF!</v>
      </c>
      <c r="C84" s="99" t="e">
        <f>IF('THE BOARD'!#REF! = "NESTED","",IF('THE BOARD'!#REF!&lt;&gt;"",'THE BOARD'!#REF!+0.72,""))</f>
        <v>#REF!</v>
      </c>
      <c r="D84" s="99" t="e">
        <f>IF(C84&lt;&gt;"", IF('THE BOARD'!#REF! = "NESTED","",'THE BOARD'!#REF! + IF(C84&lt;&gt;"", 0.72,0)),"")</f>
        <v>#REF!</v>
      </c>
      <c r="E84" s="68" t="e">
        <f>'THE BOARD'!#REF!</f>
        <v>#REF!</v>
      </c>
      <c r="F84" s="68" t="e">
        <f>'THE BOARD'!#REF!</f>
        <v>#REF!</v>
      </c>
      <c r="G84" s="68" t="e">
        <f>'THE BOARD'!#REF!</f>
        <v>#REF!</v>
      </c>
      <c r="H84" s="68" t="e">
        <f>'THE BOARD'!#REF!</f>
        <v>#REF!</v>
      </c>
      <c r="I84" s="68" t="e">
        <f>'THE BOARD'!#REF!</f>
        <v>#REF!</v>
      </c>
      <c r="J84" s="68" t="e">
        <f>'THE BOARD'!#REF!</f>
        <v>#REF!</v>
      </c>
      <c r="K84" s="68" t="e">
        <f>'THE BOARD'!#REF!</f>
        <v>#REF!</v>
      </c>
    </row>
    <row r="85" spans="1:11" ht="12.75" x14ac:dyDescent="0.2">
      <c r="A85" s="68" t="e">
        <f>'THE BOARD'!#REF!</f>
        <v>#REF!</v>
      </c>
      <c r="B85" s="68" t="e">
        <f>'THE BOARD'!#REF!</f>
        <v>#REF!</v>
      </c>
      <c r="C85" s="99" t="e">
        <f>IF('THE BOARD'!#REF! = "NESTED","",IF('THE BOARD'!#REF!&lt;&gt;"",'THE BOARD'!#REF!+0.72,""))</f>
        <v>#REF!</v>
      </c>
      <c r="D85" s="99" t="e">
        <f>IF(C85&lt;&gt;"", IF('THE BOARD'!#REF! = "NESTED","",'THE BOARD'!#REF! + IF(C85&lt;&gt;"", 0.72,0)),"")</f>
        <v>#REF!</v>
      </c>
      <c r="E85" s="68" t="e">
        <f>'THE BOARD'!#REF!</f>
        <v>#REF!</v>
      </c>
      <c r="F85" s="68" t="e">
        <f>'THE BOARD'!#REF!</f>
        <v>#REF!</v>
      </c>
      <c r="G85" s="68" t="e">
        <f>'THE BOARD'!#REF!</f>
        <v>#REF!</v>
      </c>
      <c r="H85" s="68" t="e">
        <f>'THE BOARD'!#REF!</f>
        <v>#REF!</v>
      </c>
      <c r="I85" s="68" t="e">
        <f>'THE BOARD'!#REF!</f>
        <v>#REF!</v>
      </c>
      <c r="J85" s="68" t="e">
        <f>'THE BOARD'!#REF!</f>
        <v>#REF!</v>
      </c>
      <c r="K85" s="68" t="e">
        <f>'THE BOARD'!#REF!</f>
        <v>#REF!</v>
      </c>
    </row>
    <row r="86" spans="1:11" ht="12.75" x14ac:dyDescent="0.2">
      <c r="A86" s="68" t="e">
        <f>'THE BOARD'!#REF!</f>
        <v>#REF!</v>
      </c>
      <c r="B86" s="68" t="e">
        <f>'THE BOARD'!#REF!</f>
        <v>#REF!</v>
      </c>
      <c r="C86" s="99" t="e">
        <f>IF('THE BOARD'!#REF! = "NESTED","",IF('THE BOARD'!#REF!&lt;&gt;"",'THE BOARD'!#REF!+0.72,""))</f>
        <v>#REF!</v>
      </c>
      <c r="D86" s="99" t="e">
        <f>IF(C86&lt;&gt;"", IF('THE BOARD'!#REF! = "NESTED","",'THE BOARD'!#REF! + IF(C86&lt;&gt;"", 0.72,0)),"")</f>
        <v>#REF!</v>
      </c>
      <c r="E86" s="68" t="e">
        <f>'THE BOARD'!#REF!</f>
        <v>#REF!</v>
      </c>
      <c r="F86" s="68" t="e">
        <f>'THE BOARD'!#REF!</f>
        <v>#REF!</v>
      </c>
      <c r="G86" s="68" t="e">
        <f>'THE BOARD'!#REF!</f>
        <v>#REF!</v>
      </c>
      <c r="H86" s="68" t="e">
        <f>'THE BOARD'!#REF!</f>
        <v>#REF!</v>
      </c>
      <c r="I86" s="68" t="e">
        <f>'THE BOARD'!#REF!</f>
        <v>#REF!</v>
      </c>
      <c r="J86" s="68" t="e">
        <f>'THE BOARD'!#REF!</f>
        <v>#REF!</v>
      </c>
      <c r="K86" s="68" t="e">
        <f>'THE BOARD'!#REF!</f>
        <v>#REF!</v>
      </c>
    </row>
    <row r="87" spans="1:11" ht="12.75" x14ac:dyDescent="0.2">
      <c r="A87" s="68" t="e">
        <f>'THE BOARD'!#REF!</f>
        <v>#REF!</v>
      </c>
      <c r="B87" s="68" t="e">
        <f>'THE BOARD'!#REF!</f>
        <v>#REF!</v>
      </c>
      <c r="C87" s="99" t="e">
        <f>IF('THE BOARD'!#REF! = "NESTED","",IF('THE BOARD'!#REF!&lt;&gt;"",'THE BOARD'!#REF!+0.72,""))</f>
        <v>#REF!</v>
      </c>
      <c r="D87" s="99" t="e">
        <f>IF(C87&lt;&gt;"", IF('THE BOARD'!#REF! = "NESTED","",'THE BOARD'!#REF! + IF(C87&lt;&gt;"", 0.72,0)),"")</f>
        <v>#REF!</v>
      </c>
      <c r="E87" s="68" t="e">
        <f>'THE BOARD'!#REF!</f>
        <v>#REF!</v>
      </c>
      <c r="F87" s="68" t="e">
        <f>'THE BOARD'!#REF!</f>
        <v>#REF!</v>
      </c>
      <c r="G87" s="68" t="e">
        <f>'THE BOARD'!#REF!</f>
        <v>#REF!</v>
      </c>
      <c r="H87" s="68" t="e">
        <f>'THE BOARD'!#REF!</f>
        <v>#REF!</v>
      </c>
      <c r="I87" s="68" t="e">
        <f>'THE BOARD'!#REF!</f>
        <v>#REF!</v>
      </c>
      <c r="J87" s="68" t="e">
        <f>'THE BOARD'!#REF!</f>
        <v>#REF!</v>
      </c>
      <c r="K87" s="68" t="e">
        <f>'THE BOARD'!#REF!</f>
        <v>#REF!</v>
      </c>
    </row>
    <row r="88" spans="1:11" ht="12.75" x14ac:dyDescent="0.2">
      <c r="A88" s="68" t="e">
        <f>'THE BOARD'!#REF!</f>
        <v>#REF!</v>
      </c>
      <c r="B88" s="68" t="e">
        <f>'THE BOARD'!#REF!</f>
        <v>#REF!</v>
      </c>
      <c r="C88" s="99" t="e">
        <f>IF('THE BOARD'!#REF! = "NESTED","",IF('THE BOARD'!#REF!&lt;&gt;"",'THE BOARD'!#REF!+0.72,""))</f>
        <v>#REF!</v>
      </c>
      <c r="D88" s="99" t="e">
        <f>IF(C88&lt;&gt;"", IF('THE BOARD'!#REF! = "NESTED","",'THE BOARD'!#REF! + IF(C88&lt;&gt;"", 0.72,0)),"")</f>
        <v>#REF!</v>
      </c>
      <c r="E88" s="68" t="e">
        <f>'THE BOARD'!#REF!</f>
        <v>#REF!</v>
      </c>
      <c r="F88" s="68" t="e">
        <f>'THE BOARD'!#REF!</f>
        <v>#REF!</v>
      </c>
      <c r="G88" s="68" t="e">
        <f>'THE BOARD'!#REF!</f>
        <v>#REF!</v>
      </c>
      <c r="H88" s="68" t="e">
        <f>'THE BOARD'!#REF!</f>
        <v>#REF!</v>
      </c>
      <c r="I88" s="68" t="e">
        <f>'THE BOARD'!#REF!</f>
        <v>#REF!</v>
      </c>
      <c r="J88" s="68" t="e">
        <f>'THE BOARD'!#REF!</f>
        <v>#REF!</v>
      </c>
      <c r="K88" s="68" t="e">
        <f>'THE BOARD'!#REF!</f>
        <v>#REF!</v>
      </c>
    </row>
    <row r="89" spans="1:11" ht="12.75" x14ac:dyDescent="0.2">
      <c r="A89" s="68" t="e">
        <f>'THE BOARD'!#REF!</f>
        <v>#REF!</v>
      </c>
      <c r="B89" s="68" t="e">
        <f>'THE BOARD'!#REF!</f>
        <v>#REF!</v>
      </c>
      <c r="C89" s="99" t="e">
        <f>IF('THE BOARD'!#REF! = "NESTED","",IF('THE BOARD'!#REF!&lt;&gt;"",'THE BOARD'!#REF!+0.72,""))</f>
        <v>#REF!</v>
      </c>
      <c r="D89" s="99" t="e">
        <f>IF(C89&lt;&gt;"", IF('THE BOARD'!#REF! = "NESTED","",'THE BOARD'!#REF! + IF(C89&lt;&gt;"", 0.72,0)),"")</f>
        <v>#REF!</v>
      </c>
      <c r="E89" s="68" t="e">
        <f>'THE BOARD'!#REF!</f>
        <v>#REF!</v>
      </c>
      <c r="F89" s="68" t="e">
        <f>'THE BOARD'!#REF!</f>
        <v>#REF!</v>
      </c>
      <c r="G89" s="68" t="e">
        <f>'THE BOARD'!#REF!</f>
        <v>#REF!</v>
      </c>
      <c r="H89" s="68" t="e">
        <f>'THE BOARD'!#REF!</f>
        <v>#REF!</v>
      </c>
      <c r="I89" s="68" t="e">
        <f>'THE BOARD'!#REF!</f>
        <v>#REF!</v>
      </c>
      <c r="J89" s="68" t="e">
        <f>'THE BOARD'!#REF!</f>
        <v>#REF!</v>
      </c>
      <c r="K89" s="68" t="e">
        <f>'THE BOARD'!#REF!</f>
        <v>#REF!</v>
      </c>
    </row>
    <row r="90" spans="1:11" ht="12.75" x14ac:dyDescent="0.2">
      <c r="A90" s="68" t="e">
        <f>'THE BOARD'!#REF!</f>
        <v>#REF!</v>
      </c>
      <c r="B90" s="68" t="e">
        <f>'THE BOARD'!#REF!</f>
        <v>#REF!</v>
      </c>
      <c r="C90" s="99" t="e">
        <f>IF('THE BOARD'!#REF! = "NESTED","",IF('THE BOARD'!#REF!&lt;&gt;"",'THE BOARD'!#REF!+0.72,""))</f>
        <v>#REF!</v>
      </c>
      <c r="D90" s="99" t="e">
        <f>IF(C90&lt;&gt;"", IF('THE BOARD'!#REF! = "NESTED","",'THE BOARD'!#REF! + IF(C90&lt;&gt;"", 0.72,0)),"")</f>
        <v>#REF!</v>
      </c>
      <c r="E90" s="68" t="e">
        <f>'THE BOARD'!#REF!</f>
        <v>#REF!</v>
      </c>
      <c r="F90" s="68" t="e">
        <f>'THE BOARD'!#REF!</f>
        <v>#REF!</v>
      </c>
      <c r="G90" s="68" t="e">
        <f>'THE BOARD'!#REF!</f>
        <v>#REF!</v>
      </c>
      <c r="H90" s="68" t="e">
        <f>'THE BOARD'!#REF!</f>
        <v>#REF!</v>
      </c>
      <c r="I90" s="68" t="e">
        <f>'THE BOARD'!#REF!</f>
        <v>#REF!</v>
      </c>
      <c r="J90" s="68" t="e">
        <f>'THE BOARD'!#REF!</f>
        <v>#REF!</v>
      </c>
      <c r="K90" s="68" t="e">
        <f>'THE BOARD'!#REF!</f>
        <v>#REF!</v>
      </c>
    </row>
    <row r="91" spans="1:11" ht="12.75" x14ac:dyDescent="0.2">
      <c r="A91" s="68" t="e">
        <f>'THE BOARD'!#REF!</f>
        <v>#REF!</v>
      </c>
      <c r="B91" s="68" t="e">
        <f>'THE BOARD'!#REF!</f>
        <v>#REF!</v>
      </c>
      <c r="C91" s="99" t="e">
        <f>IF('THE BOARD'!#REF! = "NESTED","",IF('THE BOARD'!#REF!&lt;&gt;"",'THE BOARD'!#REF!+0.72,""))</f>
        <v>#REF!</v>
      </c>
      <c r="D91" s="99" t="e">
        <f>IF(C91&lt;&gt;"", IF('THE BOARD'!#REF! = "NESTED","",'THE BOARD'!#REF! + IF(C91&lt;&gt;"", 0.72,0)),"")</f>
        <v>#REF!</v>
      </c>
      <c r="E91" s="68" t="e">
        <f>'THE BOARD'!#REF!</f>
        <v>#REF!</v>
      </c>
      <c r="F91" s="68" t="e">
        <f>'THE BOARD'!#REF!</f>
        <v>#REF!</v>
      </c>
      <c r="G91" s="68" t="e">
        <f>'THE BOARD'!#REF!</f>
        <v>#REF!</v>
      </c>
      <c r="H91" s="68" t="e">
        <f>'THE BOARD'!#REF!</f>
        <v>#REF!</v>
      </c>
      <c r="I91" s="68" t="e">
        <f>'THE BOARD'!#REF!</f>
        <v>#REF!</v>
      </c>
      <c r="J91" s="68" t="e">
        <f>'THE BOARD'!#REF!</f>
        <v>#REF!</v>
      </c>
      <c r="K91" s="68" t="e">
        <f>'THE BOARD'!#REF!</f>
        <v>#REF!</v>
      </c>
    </row>
    <row r="92" spans="1:11" ht="12.75" x14ac:dyDescent="0.2">
      <c r="A92" s="68" t="e">
        <f>'THE BOARD'!#REF!</f>
        <v>#REF!</v>
      </c>
      <c r="B92" s="68" t="e">
        <f>'THE BOARD'!#REF!</f>
        <v>#REF!</v>
      </c>
      <c r="C92" s="99" t="e">
        <f>IF('THE BOARD'!#REF! = "NESTED","",IF('THE BOARD'!#REF!&lt;&gt;"",'THE BOARD'!#REF!+0.72,""))</f>
        <v>#REF!</v>
      </c>
      <c r="D92" s="99" t="e">
        <f>IF(C92&lt;&gt;"", IF('THE BOARD'!#REF! = "NESTED","",'THE BOARD'!#REF! + IF(C92&lt;&gt;"", 0.72,0)),"")</f>
        <v>#REF!</v>
      </c>
      <c r="E92" s="68" t="e">
        <f>'THE BOARD'!#REF!</f>
        <v>#REF!</v>
      </c>
      <c r="F92" s="68" t="e">
        <f>'THE BOARD'!#REF!</f>
        <v>#REF!</v>
      </c>
      <c r="G92" s="68" t="e">
        <f>'THE BOARD'!#REF!</f>
        <v>#REF!</v>
      </c>
      <c r="H92" s="68" t="e">
        <f>'THE BOARD'!#REF!</f>
        <v>#REF!</v>
      </c>
      <c r="I92" s="68" t="e">
        <f>'THE BOARD'!#REF!</f>
        <v>#REF!</v>
      </c>
      <c r="J92" s="68" t="e">
        <f>'THE BOARD'!#REF!</f>
        <v>#REF!</v>
      </c>
      <c r="K92" s="68" t="e">
        <f>'THE BOARD'!#REF!</f>
        <v>#REF!</v>
      </c>
    </row>
    <row r="93" spans="1:11" ht="12.75" x14ac:dyDescent="0.2">
      <c r="A93" s="68" t="e">
        <f>'THE BOARD'!#REF!</f>
        <v>#REF!</v>
      </c>
      <c r="B93" s="68" t="e">
        <f>'THE BOARD'!#REF!</f>
        <v>#REF!</v>
      </c>
      <c r="C93" s="99" t="e">
        <f>IF('THE BOARD'!#REF! = "NESTED","",IF('THE BOARD'!#REF!&lt;&gt;"",'THE BOARD'!#REF!+0.72,""))</f>
        <v>#REF!</v>
      </c>
      <c r="D93" s="99" t="e">
        <f>IF(C93&lt;&gt;"", IF('THE BOARD'!#REF! = "NESTED","",'THE BOARD'!#REF! + IF(C93&lt;&gt;"", 0.72,0)),"")</f>
        <v>#REF!</v>
      </c>
      <c r="E93" s="68" t="e">
        <f>'THE BOARD'!#REF!</f>
        <v>#REF!</v>
      </c>
      <c r="F93" s="68" t="e">
        <f>'THE BOARD'!#REF!</f>
        <v>#REF!</v>
      </c>
      <c r="G93" s="68" t="e">
        <f>'THE BOARD'!#REF!</f>
        <v>#REF!</v>
      </c>
      <c r="H93" s="68" t="e">
        <f>'THE BOARD'!#REF!</f>
        <v>#REF!</v>
      </c>
      <c r="I93" s="68" t="e">
        <f>'THE BOARD'!#REF!</f>
        <v>#REF!</v>
      </c>
      <c r="J93" s="68" t="e">
        <f>'THE BOARD'!#REF!</f>
        <v>#REF!</v>
      </c>
      <c r="K93" s="68" t="e">
        <f>'THE BOARD'!#REF!</f>
        <v>#REF!</v>
      </c>
    </row>
    <row r="94" spans="1:11" ht="12.75" x14ac:dyDescent="0.2">
      <c r="A94" s="68" t="e">
        <f>'THE BOARD'!#REF!</f>
        <v>#REF!</v>
      </c>
      <c r="B94" s="68" t="e">
        <f>'THE BOARD'!#REF!</f>
        <v>#REF!</v>
      </c>
      <c r="C94" s="99" t="e">
        <f>IF('THE BOARD'!#REF! = "NESTED","",IF('THE BOARD'!#REF!&lt;&gt;"",'THE BOARD'!#REF!+0.72,""))</f>
        <v>#REF!</v>
      </c>
      <c r="D94" s="99" t="e">
        <f>IF(C94&lt;&gt;"", IF('THE BOARD'!#REF! = "NESTED","",'THE BOARD'!#REF! + IF(C94&lt;&gt;"", 0.72,0)),"")</f>
        <v>#REF!</v>
      </c>
      <c r="E94" s="68" t="e">
        <f>'THE BOARD'!#REF!</f>
        <v>#REF!</v>
      </c>
      <c r="F94" s="68" t="e">
        <f>'THE BOARD'!#REF!</f>
        <v>#REF!</v>
      </c>
      <c r="G94" s="68" t="e">
        <f>'THE BOARD'!#REF!</f>
        <v>#REF!</v>
      </c>
      <c r="H94" s="68" t="e">
        <f>'THE BOARD'!#REF!</f>
        <v>#REF!</v>
      </c>
      <c r="I94" s="68" t="e">
        <f>'THE BOARD'!#REF!</f>
        <v>#REF!</v>
      </c>
      <c r="J94" s="68" t="e">
        <f>'THE BOARD'!#REF!</f>
        <v>#REF!</v>
      </c>
      <c r="K94" s="68" t="e">
        <f>'THE BOARD'!#REF!</f>
        <v>#REF!</v>
      </c>
    </row>
    <row r="95" spans="1:11" ht="12.75" x14ac:dyDescent="0.2">
      <c r="A95" s="68" t="e">
        <f>'THE BOARD'!#REF!</f>
        <v>#REF!</v>
      </c>
      <c r="B95" s="68" t="e">
        <f>'THE BOARD'!#REF!</f>
        <v>#REF!</v>
      </c>
      <c r="C95" s="99" t="e">
        <f>IF('THE BOARD'!#REF! = "NESTED","",IF('THE BOARD'!#REF!&lt;&gt;"",'THE BOARD'!#REF!+0.72,""))</f>
        <v>#REF!</v>
      </c>
      <c r="D95" s="99" t="e">
        <f>IF(C95&lt;&gt;"", IF('THE BOARD'!#REF! = "NESTED","",'THE BOARD'!#REF! + IF(C95&lt;&gt;"", 0.72,0)),"")</f>
        <v>#REF!</v>
      </c>
      <c r="E95" s="68" t="e">
        <f>'THE BOARD'!#REF!</f>
        <v>#REF!</v>
      </c>
      <c r="F95" s="68" t="e">
        <f>'THE BOARD'!#REF!</f>
        <v>#REF!</v>
      </c>
      <c r="G95" s="68" t="e">
        <f>'THE BOARD'!#REF!</f>
        <v>#REF!</v>
      </c>
      <c r="H95" s="68" t="e">
        <f>'THE BOARD'!#REF!</f>
        <v>#REF!</v>
      </c>
      <c r="I95" s="68" t="e">
        <f>'THE BOARD'!#REF!</f>
        <v>#REF!</v>
      </c>
      <c r="J95" s="68" t="e">
        <f>'THE BOARD'!#REF!</f>
        <v>#REF!</v>
      </c>
      <c r="K95" s="68" t="e">
        <f>'THE BOARD'!#REF!</f>
        <v>#REF!</v>
      </c>
    </row>
    <row r="96" spans="1:11" ht="12.75" x14ac:dyDescent="0.2">
      <c r="A96" s="68" t="e">
        <f>'THE BOARD'!#REF!</f>
        <v>#REF!</v>
      </c>
      <c r="B96" s="68" t="e">
        <f>'THE BOARD'!#REF!</f>
        <v>#REF!</v>
      </c>
      <c r="C96" s="99" t="e">
        <f>IF('THE BOARD'!#REF! = "NESTED","",IF('THE BOARD'!#REF!&lt;&gt;"",'THE BOARD'!#REF!+0.72,""))</f>
        <v>#REF!</v>
      </c>
      <c r="D96" s="99" t="e">
        <f>IF(C96&lt;&gt;"", IF('THE BOARD'!#REF! = "NESTED","",'THE BOARD'!#REF! + IF(C96&lt;&gt;"", 0.72,0)),"")</f>
        <v>#REF!</v>
      </c>
      <c r="E96" s="68" t="e">
        <f>'THE BOARD'!#REF!</f>
        <v>#REF!</v>
      </c>
      <c r="F96" s="68" t="e">
        <f>'THE BOARD'!#REF!</f>
        <v>#REF!</v>
      </c>
      <c r="G96" s="68" t="e">
        <f>'THE BOARD'!#REF!</f>
        <v>#REF!</v>
      </c>
      <c r="H96" s="68" t="e">
        <f>'THE BOARD'!#REF!</f>
        <v>#REF!</v>
      </c>
      <c r="I96" s="68" t="e">
        <f>'THE BOARD'!#REF!</f>
        <v>#REF!</v>
      </c>
      <c r="J96" s="68" t="e">
        <f>'THE BOARD'!#REF!</f>
        <v>#REF!</v>
      </c>
      <c r="K96" s="68" t="e">
        <f>'THE BOARD'!#REF!</f>
        <v>#REF!</v>
      </c>
    </row>
    <row r="97" spans="1:11" ht="12.75" x14ac:dyDescent="0.2">
      <c r="A97" s="68" t="e">
        <f>'THE BOARD'!#REF!</f>
        <v>#REF!</v>
      </c>
      <c r="B97" s="68" t="e">
        <f>'THE BOARD'!#REF!</f>
        <v>#REF!</v>
      </c>
      <c r="C97" s="99" t="e">
        <f>IF('THE BOARD'!#REF! = "NESTED","",IF('THE BOARD'!#REF!&lt;&gt;"",'THE BOARD'!#REF!+0.72,""))</f>
        <v>#REF!</v>
      </c>
      <c r="D97" s="99" t="e">
        <f>IF(C97&lt;&gt;"", IF('THE BOARD'!#REF! = "NESTED","",'THE BOARD'!#REF! + IF(C97&lt;&gt;"", 0.72,0)),"")</f>
        <v>#REF!</v>
      </c>
      <c r="E97" s="68" t="e">
        <f>'THE BOARD'!#REF!</f>
        <v>#REF!</v>
      </c>
      <c r="F97" s="68" t="e">
        <f>'THE BOARD'!#REF!</f>
        <v>#REF!</v>
      </c>
      <c r="G97" s="68" t="e">
        <f>'THE BOARD'!#REF!</f>
        <v>#REF!</v>
      </c>
      <c r="H97" s="68" t="e">
        <f>'THE BOARD'!#REF!</f>
        <v>#REF!</v>
      </c>
      <c r="I97" s="68" t="e">
        <f>'THE BOARD'!#REF!</f>
        <v>#REF!</v>
      </c>
      <c r="J97" s="68" t="e">
        <f>'THE BOARD'!#REF!</f>
        <v>#REF!</v>
      </c>
      <c r="K97" s="68" t="e">
        <f>'THE BOARD'!#REF!</f>
        <v>#REF!</v>
      </c>
    </row>
    <row r="98" spans="1:11" ht="12.75" x14ac:dyDescent="0.2">
      <c r="A98" s="68" t="e">
        <f>'THE BOARD'!#REF!</f>
        <v>#REF!</v>
      </c>
      <c r="B98" s="68" t="e">
        <f>'THE BOARD'!#REF!</f>
        <v>#REF!</v>
      </c>
      <c r="C98" s="99" t="e">
        <f>IF('THE BOARD'!#REF! = "NESTED","",IF('THE BOARD'!#REF!&lt;&gt;"",'THE BOARD'!#REF!+0.72,""))</f>
        <v>#REF!</v>
      </c>
      <c r="D98" s="99" t="e">
        <f>IF(C98&lt;&gt;"", IF('THE BOARD'!#REF! = "NESTED","",'THE BOARD'!#REF! + IF(C98&lt;&gt;"", 0.72,0)),"")</f>
        <v>#REF!</v>
      </c>
      <c r="E98" s="68" t="e">
        <f>'THE BOARD'!#REF!</f>
        <v>#REF!</v>
      </c>
      <c r="F98" s="68" t="e">
        <f>'THE BOARD'!#REF!</f>
        <v>#REF!</v>
      </c>
      <c r="G98" s="68" t="e">
        <f>'THE BOARD'!#REF!</f>
        <v>#REF!</v>
      </c>
      <c r="H98" s="68" t="e">
        <f>'THE BOARD'!#REF!</f>
        <v>#REF!</v>
      </c>
      <c r="I98" s="68" t="e">
        <f>'THE BOARD'!#REF!</f>
        <v>#REF!</v>
      </c>
      <c r="J98" s="68" t="e">
        <f>'THE BOARD'!#REF!</f>
        <v>#REF!</v>
      </c>
      <c r="K98" s="68" t="e">
        <f>'THE BOARD'!#REF!</f>
        <v>#REF!</v>
      </c>
    </row>
    <row r="99" spans="1:11" ht="12.75" x14ac:dyDescent="0.2">
      <c r="A99" s="68" t="e">
        <f>'THE BOARD'!#REF!</f>
        <v>#REF!</v>
      </c>
      <c r="B99" s="68" t="e">
        <f>'THE BOARD'!#REF!</f>
        <v>#REF!</v>
      </c>
      <c r="C99" s="99" t="e">
        <f>IF('THE BOARD'!#REF! = "NESTED","",IF('THE BOARD'!#REF!&lt;&gt;"",'THE BOARD'!#REF!+0.72,""))</f>
        <v>#REF!</v>
      </c>
      <c r="D99" s="99" t="e">
        <f>IF(C99&lt;&gt;"", IF('THE BOARD'!#REF! = "NESTED","",'THE BOARD'!#REF! + IF(C99&lt;&gt;"", 0.72,0)),"")</f>
        <v>#REF!</v>
      </c>
      <c r="E99" s="68" t="e">
        <f>'THE BOARD'!#REF!</f>
        <v>#REF!</v>
      </c>
      <c r="F99" s="68" t="e">
        <f>'THE BOARD'!#REF!</f>
        <v>#REF!</v>
      </c>
      <c r="G99" s="68" t="e">
        <f>'THE BOARD'!#REF!</f>
        <v>#REF!</v>
      </c>
      <c r="H99" s="68" t="e">
        <f>'THE BOARD'!#REF!</f>
        <v>#REF!</v>
      </c>
      <c r="I99" s="68" t="e">
        <f>'THE BOARD'!#REF!</f>
        <v>#REF!</v>
      </c>
      <c r="J99" s="68" t="e">
        <f>'THE BOARD'!#REF!</f>
        <v>#REF!</v>
      </c>
      <c r="K99" s="68" t="e">
        <f>'THE BOARD'!#REF!</f>
        <v>#REF!</v>
      </c>
    </row>
    <row r="100" spans="1:11" ht="12.75" x14ac:dyDescent="0.2">
      <c r="A100" s="68" t="e">
        <f>'THE BOARD'!#REF!</f>
        <v>#REF!</v>
      </c>
      <c r="B100" s="68" t="e">
        <f>'THE BOARD'!#REF!</f>
        <v>#REF!</v>
      </c>
      <c r="C100" s="99" t="e">
        <f>IF('THE BOARD'!#REF! = "NESTED","",IF('THE BOARD'!#REF!&lt;&gt;"",'THE BOARD'!#REF!+0.72,""))</f>
        <v>#REF!</v>
      </c>
      <c r="D100" s="99" t="e">
        <f>IF(C100&lt;&gt;"", IF('THE BOARD'!#REF! = "NESTED","",'THE BOARD'!#REF! + IF(C100&lt;&gt;"", 0.72,0)),"")</f>
        <v>#REF!</v>
      </c>
      <c r="E100" s="68" t="e">
        <f>'THE BOARD'!#REF!</f>
        <v>#REF!</v>
      </c>
      <c r="F100" s="68" t="e">
        <f>'THE BOARD'!#REF!</f>
        <v>#REF!</v>
      </c>
      <c r="G100" s="68" t="e">
        <f>'THE BOARD'!#REF!</f>
        <v>#REF!</v>
      </c>
      <c r="H100" s="68" t="e">
        <f>'THE BOARD'!#REF!</f>
        <v>#REF!</v>
      </c>
      <c r="I100" s="68" t="e">
        <f>'THE BOARD'!#REF!</f>
        <v>#REF!</v>
      </c>
      <c r="J100" s="68" t="e">
        <f>'THE BOARD'!#REF!</f>
        <v>#REF!</v>
      </c>
      <c r="K100" s="68" t="e">
        <f>'THE BOARD'!#REF!</f>
        <v>#REF!</v>
      </c>
    </row>
    <row r="101" spans="1:11" ht="12.75" x14ac:dyDescent="0.2">
      <c r="A101" s="68" t="e">
        <f>'THE BOARD'!#REF!</f>
        <v>#REF!</v>
      </c>
      <c r="B101" s="68" t="e">
        <f>'THE BOARD'!#REF!</f>
        <v>#REF!</v>
      </c>
      <c r="C101" s="99" t="e">
        <f>IF('THE BOARD'!#REF! = "NESTED","",IF('THE BOARD'!#REF!&lt;&gt;"",'THE BOARD'!#REF!+0.72,""))</f>
        <v>#REF!</v>
      </c>
      <c r="D101" s="99" t="e">
        <f>IF(C101&lt;&gt;"", IF('THE BOARD'!#REF! = "NESTED","",'THE BOARD'!#REF! + IF(C101&lt;&gt;"", 0.72,0)),"")</f>
        <v>#REF!</v>
      </c>
      <c r="E101" s="68" t="e">
        <f>'THE BOARD'!#REF!</f>
        <v>#REF!</v>
      </c>
      <c r="F101" s="68" t="e">
        <f>'THE BOARD'!#REF!</f>
        <v>#REF!</v>
      </c>
      <c r="G101" s="68" t="e">
        <f>'THE BOARD'!#REF!</f>
        <v>#REF!</v>
      </c>
      <c r="H101" s="68" t="e">
        <f>'THE BOARD'!#REF!</f>
        <v>#REF!</v>
      </c>
      <c r="I101" s="68" t="e">
        <f>'THE BOARD'!#REF!</f>
        <v>#REF!</v>
      </c>
      <c r="J101" s="68" t="e">
        <f>'THE BOARD'!#REF!</f>
        <v>#REF!</v>
      </c>
      <c r="K101" s="68" t="e">
        <f>'THE BOARD'!#REF!</f>
        <v>#REF!</v>
      </c>
    </row>
    <row r="102" spans="1:11" ht="12.75" x14ac:dyDescent="0.2">
      <c r="A102" s="68" t="e">
        <f>'THE BOARD'!#REF!</f>
        <v>#REF!</v>
      </c>
      <c r="B102" s="68" t="e">
        <f>'THE BOARD'!#REF!</f>
        <v>#REF!</v>
      </c>
      <c r="C102" s="99" t="e">
        <f>IF('THE BOARD'!#REF! = "NESTED","",IF('THE BOARD'!#REF!&lt;&gt;"",'THE BOARD'!#REF!+0.72,""))</f>
        <v>#REF!</v>
      </c>
      <c r="D102" s="99" t="e">
        <f>IF(C102&lt;&gt;"", IF('THE BOARD'!#REF! = "NESTED","",'THE BOARD'!#REF! + IF(C102&lt;&gt;"", 0.72,0)),"")</f>
        <v>#REF!</v>
      </c>
      <c r="E102" s="68" t="e">
        <f>'THE BOARD'!#REF!</f>
        <v>#REF!</v>
      </c>
      <c r="F102" s="68" t="e">
        <f>'THE BOARD'!#REF!</f>
        <v>#REF!</v>
      </c>
      <c r="G102" s="68" t="e">
        <f>'THE BOARD'!#REF!</f>
        <v>#REF!</v>
      </c>
      <c r="H102" s="68" t="e">
        <f>'THE BOARD'!#REF!</f>
        <v>#REF!</v>
      </c>
      <c r="I102" s="68" t="e">
        <f>'THE BOARD'!#REF!</f>
        <v>#REF!</v>
      </c>
      <c r="J102" s="68" t="e">
        <f>'THE BOARD'!#REF!</f>
        <v>#REF!</v>
      </c>
      <c r="K102" s="68" t="e">
        <f>'THE BOARD'!#REF!</f>
        <v>#REF!</v>
      </c>
    </row>
    <row r="103" spans="1:11" ht="12.75" x14ac:dyDescent="0.2">
      <c r="A103" s="68" t="e">
        <f>'THE BOARD'!#REF!</f>
        <v>#REF!</v>
      </c>
      <c r="B103" s="68" t="e">
        <f>'THE BOARD'!#REF!</f>
        <v>#REF!</v>
      </c>
      <c r="C103" s="99" t="e">
        <f>IF('THE BOARD'!#REF! = "NESTED","",IF('THE BOARD'!#REF!&lt;&gt;"",'THE BOARD'!#REF!+0.72,""))</f>
        <v>#REF!</v>
      </c>
      <c r="D103" s="99" t="e">
        <f>IF(C103&lt;&gt;"", IF('THE BOARD'!#REF! = "NESTED","",'THE BOARD'!#REF! + IF(C103&lt;&gt;"", 0.72,0)),"")</f>
        <v>#REF!</v>
      </c>
      <c r="E103" s="68" t="e">
        <f>'THE BOARD'!#REF!</f>
        <v>#REF!</v>
      </c>
      <c r="F103" s="68" t="e">
        <f>'THE BOARD'!#REF!</f>
        <v>#REF!</v>
      </c>
      <c r="G103" s="68" t="e">
        <f>'THE BOARD'!#REF!</f>
        <v>#REF!</v>
      </c>
      <c r="H103" s="68" t="e">
        <f>'THE BOARD'!#REF!</f>
        <v>#REF!</v>
      </c>
      <c r="I103" s="68" t="e">
        <f>'THE BOARD'!#REF!</f>
        <v>#REF!</v>
      </c>
      <c r="J103" s="68" t="e">
        <f>'THE BOARD'!#REF!</f>
        <v>#REF!</v>
      </c>
      <c r="K103" s="68" t="e">
        <f>'THE BOARD'!#REF!</f>
        <v>#REF!</v>
      </c>
    </row>
    <row r="104" spans="1:11" ht="12.75" x14ac:dyDescent="0.2">
      <c r="A104" s="68" t="e">
        <f>'THE BOARD'!#REF!</f>
        <v>#REF!</v>
      </c>
      <c r="B104" s="68" t="e">
        <f>'THE BOARD'!#REF!</f>
        <v>#REF!</v>
      </c>
      <c r="C104" s="99" t="e">
        <f>IF('THE BOARD'!#REF! = "NESTED","",IF('THE BOARD'!#REF!&lt;&gt;"",'THE BOARD'!#REF!+0.72,""))</f>
        <v>#REF!</v>
      </c>
      <c r="D104" s="99" t="e">
        <f>IF(C104&lt;&gt;"", IF('THE BOARD'!#REF! = "NESTED","",'THE BOARD'!#REF! + IF(C104&lt;&gt;"", 0.72,0)),"")</f>
        <v>#REF!</v>
      </c>
      <c r="E104" s="68" t="e">
        <f>'THE BOARD'!#REF!</f>
        <v>#REF!</v>
      </c>
      <c r="F104" s="68" t="e">
        <f>'THE BOARD'!#REF!</f>
        <v>#REF!</v>
      </c>
      <c r="G104" s="68" t="e">
        <f>'THE BOARD'!#REF!</f>
        <v>#REF!</v>
      </c>
      <c r="H104" s="68" t="e">
        <f>'THE BOARD'!#REF!</f>
        <v>#REF!</v>
      </c>
      <c r="I104" s="68" t="e">
        <f>'THE BOARD'!#REF!</f>
        <v>#REF!</v>
      </c>
      <c r="J104" s="68" t="e">
        <f>'THE BOARD'!#REF!</f>
        <v>#REF!</v>
      </c>
      <c r="K104" s="68" t="e">
        <f>'THE BOARD'!#REF!</f>
        <v>#REF!</v>
      </c>
    </row>
    <row r="105" spans="1:11" ht="12.75" x14ac:dyDescent="0.2">
      <c r="A105" s="68" t="e">
        <f>'THE BOARD'!#REF!</f>
        <v>#REF!</v>
      </c>
      <c r="B105" s="68" t="e">
        <f>'THE BOARD'!#REF!</f>
        <v>#REF!</v>
      </c>
      <c r="C105" s="99" t="e">
        <f>IF('THE BOARD'!#REF! = "NESTED","",IF('THE BOARD'!#REF!&lt;&gt;"",'THE BOARD'!#REF!+0.72,""))</f>
        <v>#REF!</v>
      </c>
      <c r="D105" s="99" t="e">
        <f>IF(C105&lt;&gt;"", IF('THE BOARD'!#REF! = "NESTED","",'THE BOARD'!#REF! + IF(C105&lt;&gt;"", 0.72,0)),"")</f>
        <v>#REF!</v>
      </c>
      <c r="E105" s="68" t="e">
        <f>'THE BOARD'!#REF!</f>
        <v>#REF!</v>
      </c>
      <c r="F105" s="68" t="e">
        <f>'THE BOARD'!#REF!</f>
        <v>#REF!</v>
      </c>
      <c r="G105" s="68" t="e">
        <f>'THE BOARD'!#REF!</f>
        <v>#REF!</v>
      </c>
      <c r="H105" s="68" t="e">
        <f>'THE BOARD'!#REF!</f>
        <v>#REF!</v>
      </c>
      <c r="I105" s="68" t="e">
        <f>'THE BOARD'!#REF!</f>
        <v>#REF!</v>
      </c>
      <c r="J105" s="68" t="e">
        <f>'THE BOARD'!#REF!</f>
        <v>#REF!</v>
      </c>
      <c r="K105" s="68" t="e">
        <f>'THE BOARD'!#REF!</f>
        <v>#REF!</v>
      </c>
    </row>
    <row r="106" spans="1:11" ht="12.75" x14ac:dyDescent="0.2">
      <c r="A106" s="68" t="e">
        <f>'THE BOARD'!#REF!</f>
        <v>#REF!</v>
      </c>
      <c r="B106" s="68" t="e">
        <f>'THE BOARD'!#REF!</f>
        <v>#REF!</v>
      </c>
      <c r="C106" s="99" t="e">
        <f>IF('THE BOARD'!#REF! = "NESTED","",IF('THE BOARD'!#REF!&lt;&gt;"",'THE BOARD'!#REF!+0.72,""))</f>
        <v>#REF!</v>
      </c>
      <c r="D106" s="99" t="e">
        <f>IF(C106&lt;&gt;"", IF('THE BOARD'!#REF! = "NESTED","",'THE BOARD'!#REF! + IF(C106&lt;&gt;"", 0.72,0)),"")</f>
        <v>#REF!</v>
      </c>
      <c r="E106" s="68" t="e">
        <f>'THE BOARD'!#REF!</f>
        <v>#REF!</v>
      </c>
      <c r="F106" s="68" t="e">
        <f>'THE BOARD'!#REF!</f>
        <v>#REF!</v>
      </c>
      <c r="G106" s="68" t="e">
        <f>'THE BOARD'!#REF!</f>
        <v>#REF!</v>
      </c>
      <c r="H106" s="68" t="e">
        <f>'THE BOARD'!#REF!</f>
        <v>#REF!</v>
      </c>
      <c r="I106" s="68" t="e">
        <f>'THE BOARD'!#REF!</f>
        <v>#REF!</v>
      </c>
      <c r="J106" s="68" t="e">
        <f>'THE BOARD'!#REF!</f>
        <v>#REF!</v>
      </c>
      <c r="K106" s="68" t="e">
        <f>'THE BOARD'!#REF!</f>
        <v>#REF!</v>
      </c>
    </row>
    <row r="107" spans="1:11" ht="12.75" x14ac:dyDescent="0.2">
      <c r="A107" s="68" t="e">
        <f>'THE BOARD'!#REF!</f>
        <v>#REF!</v>
      </c>
      <c r="B107" s="68" t="e">
        <f>'THE BOARD'!#REF!</f>
        <v>#REF!</v>
      </c>
      <c r="C107" s="99" t="e">
        <f>IF('THE BOARD'!#REF! = "NESTED","",IF('THE BOARD'!#REF!&lt;&gt;"",'THE BOARD'!#REF!+0.72,""))</f>
        <v>#REF!</v>
      </c>
      <c r="D107" s="99" t="e">
        <f>IF(C107&lt;&gt;"", IF('THE BOARD'!#REF! = "NESTED","",'THE BOARD'!#REF! + IF(C107&lt;&gt;"", 0.72,0)),"")</f>
        <v>#REF!</v>
      </c>
      <c r="E107" s="68" t="e">
        <f>'THE BOARD'!#REF!</f>
        <v>#REF!</v>
      </c>
      <c r="F107" s="68" t="e">
        <f>'THE BOARD'!#REF!</f>
        <v>#REF!</v>
      </c>
      <c r="G107" s="68" t="e">
        <f>'THE BOARD'!#REF!</f>
        <v>#REF!</v>
      </c>
      <c r="H107" s="68" t="e">
        <f>'THE BOARD'!#REF!</f>
        <v>#REF!</v>
      </c>
      <c r="I107" s="68" t="e">
        <f>'THE BOARD'!#REF!</f>
        <v>#REF!</v>
      </c>
      <c r="J107" s="68" t="e">
        <f>'THE BOARD'!#REF!</f>
        <v>#REF!</v>
      </c>
      <c r="K107" s="68" t="e">
        <f>'THE BOARD'!#REF!</f>
        <v>#REF!</v>
      </c>
    </row>
    <row r="108" spans="1:11" ht="12.75" x14ac:dyDescent="0.2">
      <c r="A108" s="68" t="e">
        <f>'THE BOARD'!#REF!</f>
        <v>#REF!</v>
      </c>
      <c r="B108" s="68" t="e">
        <f>'THE BOARD'!#REF!</f>
        <v>#REF!</v>
      </c>
      <c r="C108" s="99" t="e">
        <f>IF('THE BOARD'!#REF! = "NESTED","",IF('THE BOARD'!#REF!&lt;&gt;"",'THE BOARD'!#REF!+0.72,""))</f>
        <v>#REF!</v>
      </c>
      <c r="D108" s="99" t="e">
        <f>IF(C108&lt;&gt;"", IF('THE BOARD'!#REF! = "NESTED","",'THE BOARD'!#REF! + IF(C108&lt;&gt;"", 0.72,0)),"")</f>
        <v>#REF!</v>
      </c>
      <c r="E108" s="68" t="e">
        <f>'THE BOARD'!#REF!</f>
        <v>#REF!</v>
      </c>
      <c r="F108" s="68" t="e">
        <f>'THE BOARD'!#REF!</f>
        <v>#REF!</v>
      </c>
      <c r="G108" s="68" t="e">
        <f>'THE BOARD'!#REF!</f>
        <v>#REF!</v>
      </c>
      <c r="H108" s="68" t="e">
        <f>'THE BOARD'!#REF!</f>
        <v>#REF!</v>
      </c>
      <c r="I108" s="68" t="e">
        <f>'THE BOARD'!#REF!</f>
        <v>#REF!</v>
      </c>
      <c r="J108" s="68" t="e">
        <f>'THE BOARD'!#REF!</f>
        <v>#REF!</v>
      </c>
      <c r="K108" s="68" t="e">
        <f>'THE BOARD'!#REF!</f>
        <v>#REF!</v>
      </c>
    </row>
    <row r="109" spans="1:11" ht="12.75" x14ac:dyDescent="0.2">
      <c r="A109" s="68" t="e">
        <f>'THE BOARD'!#REF!</f>
        <v>#REF!</v>
      </c>
      <c r="B109" s="68" t="e">
        <f>'THE BOARD'!#REF!</f>
        <v>#REF!</v>
      </c>
      <c r="C109" s="99" t="e">
        <f>IF('THE BOARD'!#REF! = "NESTED","",IF('THE BOARD'!#REF!&lt;&gt;"",'THE BOARD'!#REF!+0.72,""))</f>
        <v>#REF!</v>
      </c>
      <c r="D109" s="99" t="e">
        <f>IF(C109&lt;&gt;"", IF('THE BOARD'!#REF! = "NESTED","",'THE BOARD'!#REF! + IF(C109&lt;&gt;"", 0.72,0)),"")</f>
        <v>#REF!</v>
      </c>
      <c r="E109" s="68" t="e">
        <f>'THE BOARD'!#REF!</f>
        <v>#REF!</v>
      </c>
      <c r="F109" s="68" t="e">
        <f>'THE BOARD'!#REF!</f>
        <v>#REF!</v>
      </c>
      <c r="G109" s="68" t="e">
        <f>'THE BOARD'!#REF!</f>
        <v>#REF!</v>
      </c>
      <c r="H109" s="68" t="e">
        <f>'THE BOARD'!#REF!</f>
        <v>#REF!</v>
      </c>
      <c r="I109" s="68" t="e">
        <f>'THE BOARD'!#REF!</f>
        <v>#REF!</v>
      </c>
      <c r="J109" s="68" t="e">
        <f>'THE BOARD'!#REF!</f>
        <v>#REF!</v>
      </c>
      <c r="K109" s="68" t="e">
        <f>'THE BOARD'!#REF!</f>
        <v>#REF!</v>
      </c>
    </row>
    <row r="110" spans="1:11" ht="12.75" x14ac:dyDescent="0.2">
      <c r="A110" s="68" t="e">
        <f>'THE BOARD'!#REF!</f>
        <v>#REF!</v>
      </c>
      <c r="B110" s="68" t="e">
        <f>'THE BOARD'!#REF!</f>
        <v>#REF!</v>
      </c>
      <c r="C110" s="99" t="e">
        <f>IF('THE BOARD'!#REF! = "NESTED","",IF('THE BOARD'!#REF!&lt;&gt;"",'THE BOARD'!#REF!+0.72,""))</f>
        <v>#REF!</v>
      </c>
      <c r="D110" s="99" t="e">
        <f>IF(C110&lt;&gt;"", IF('THE BOARD'!#REF! = "NESTED","",'THE BOARD'!#REF! + IF(C110&lt;&gt;"", 0.72,0)),"")</f>
        <v>#REF!</v>
      </c>
      <c r="E110" s="68" t="e">
        <f>'THE BOARD'!#REF!</f>
        <v>#REF!</v>
      </c>
      <c r="F110" s="68" t="e">
        <f>'THE BOARD'!#REF!</f>
        <v>#REF!</v>
      </c>
      <c r="G110" s="68" t="e">
        <f>'THE BOARD'!#REF!</f>
        <v>#REF!</v>
      </c>
      <c r="H110" s="68" t="e">
        <f>'THE BOARD'!#REF!</f>
        <v>#REF!</v>
      </c>
      <c r="I110" s="68" t="e">
        <f>'THE BOARD'!#REF!</f>
        <v>#REF!</v>
      </c>
      <c r="J110" s="68" t="e">
        <f>'THE BOARD'!#REF!</f>
        <v>#REF!</v>
      </c>
      <c r="K110" s="68" t="e">
        <f>'THE BOARD'!#REF!</f>
        <v>#REF!</v>
      </c>
    </row>
    <row r="111" spans="1:11" ht="12.75" x14ac:dyDescent="0.2">
      <c r="A111" s="68" t="e">
        <f>'THE BOARD'!#REF!</f>
        <v>#REF!</v>
      </c>
      <c r="B111" s="68" t="e">
        <f>'THE BOARD'!#REF!</f>
        <v>#REF!</v>
      </c>
      <c r="C111" s="99" t="e">
        <f>IF('THE BOARD'!#REF! = "NESTED","",IF('THE BOARD'!#REF!&lt;&gt;"",'THE BOARD'!#REF!+0.72,""))</f>
        <v>#REF!</v>
      </c>
      <c r="D111" s="99" t="e">
        <f>IF(C111&lt;&gt;"", IF('THE BOARD'!#REF! = "NESTED","",'THE BOARD'!#REF! + IF(C111&lt;&gt;"", 0.72,0)),"")</f>
        <v>#REF!</v>
      </c>
      <c r="E111" s="68" t="e">
        <f>'THE BOARD'!#REF!</f>
        <v>#REF!</v>
      </c>
      <c r="F111" s="68" t="e">
        <f>'THE BOARD'!#REF!</f>
        <v>#REF!</v>
      </c>
      <c r="G111" s="68" t="e">
        <f>'THE BOARD'!#REF!</f>
        <v>#REF!</v>
      </c>
      <c r="H111" s="68" t="e">
        <f>'THE BOARD'!#REF!</f>
        <v>#REF!</v>
      </c>
      <c r="I111" s="68" t="e">
        <f>'THE BOARD'!#REF!</f>
        <v>#REF!</v>
      </c>
      <c r="J111" s="68" t="e">
        <f>'THE BOARD'!#REF!</f>
        <v>#REF!</v>
      </c>
      <c r="K111" s="68" t="e">
        <f>'THE BOARD'!#REF!</f>
        <v>#REF!</v>
      </c>
    </row>
    <row r="112" spans="1:11" ht="12.75" x14ac:dyDescent="0.2">
      <c r="A112" s="68" t="e">
        <f>'THE BOARD'!#REF!</f>
        <v>#REF!</v>
      </c>
      <c r="B112" s="68" t="e">
        <f>'THE BOARD'!#REF!</f>
        <v>#REF!</v>
      </c>
      <c r="C112" s="99" t="e">
        <f>IF('THE BOARD'!#REF! = "NESTED","",IF('THE BOARD'!#REF!&lt;&gt;"",'THE BOARD'!#REF!+0.72,""))</f>
        <v>#REF!</v>
      </c>
      <c r="D112" s="99" t="e">
        <f>IF(C112&lt;&gt;"", IF('THE BOARD'!#REF! = "NESTED","",'THE BOARD'!#REF! + IF(C112&lt;&gt;"", 0.72,0)),"")</f>
        <v>#REF!</v>
      </c>
      <c r="E112" s="68" t="e">
        <f>'THE BOARD'!#REF!</f>
        <v>#REF!</v>
      </c>
      <c r="F112" s="68" t="e">
        <f>'THE BOARD'!#REF!</f>
        <v>#REF!</v>
      </c>
      <c r="G112" s="68" t="e">
        <f>'THE BOARD'!#REF!</f>
        <v>#REF!</v>
      </c>
      <c r="H112" s="68" t="e">
        <f>'THE BOARD'!#REF!</f>
        <v>#REF!</v>
      </c>
      <c r="I112" s="68" t="e">
        <f>'THE BOARD'!#REF!</f>
        <v>#REF!</v>
      </c>
      <c r="J112" s="68" t="e">
        <f>'THE BOARD'!#REF!</f>
        <v>#REF!</v>
      </c>
      <c r="K112" s="68" t="e">
        <f>'THE BOARD'!#REF!</f>
        <v>#REF!</v>
      </c>
    </row>
    <row r="113" spans="1:11" ht="12.75" x14ac:dyDescent="0.2">
      <c r="A113" s="68" t="e">
        <f>'THE BOARD'!#REF!</f>
        <v>#REF!</v>
      </c>
      <c r="B113" s="68" t="e">
        <f>'THE BOARD'!#REF!</f>
        <v>#REF!</v>
      </c>
      <c r="C113" s="99" t="e">
        <f>IF('THE BOARD'!#REF! = "NESTED","",IF('THE BOARD'!#REF!&lt;&gt;"",'THE BOARD'!#REF!+0.72,""))</f>
        <v>#REF!</v>
      </c>
      <c r="D113" s="99" t="e">
        <f>IF(C113&lt;&gt;"", IF('THE BOARD'!#REF! = "NESTED","",'THE BOARD'!#REF! + IF(C113&lt;&gt;"", 0.72,0)),"")</f>
        <v>#REF!</v>
      </c>
      <c r="E113" s="68" t="e">
        <f>'THE BOARD'!#REF!</f>
        <v>#REF!</v>
      </c>
      <c r="F113" s="68" t="e">
        <f>'THE BOARD'!#REF!</f>
        <v>#REF!</v>
      </c>
      <c r="G113" s="68" t="e">
        <f>'THE BOARD'!#REF!</f>
        <v>#REF!</v>
      </c>
      <c r="H113" s="68" t="e">
        <f>'THE BOARD'!#REF!</f>
        <v>#REF!</v>
      </c>
      <c r="I113" s="68" t="e">
        <f>'THE BOARD'!#REF!</f>
        <v>#REF!</v>
      </c>
      <c r="J113" s="68" t="e">
        <f>'THE BOARD'!#REF!</f>
        <v>#REF!</v>
      </c>
      <c r="K113" s="68" t="e">
        <f>'THE BOARD'!#REF!</f>
        <v>#REF!</v>
      </c>
    </row>
    <row r="114" spans="1:11" ht="12.75" x14ac:dyDescent="0.2">
      <c r="A114" s="68" t="e">
        <f>'THE BOARD'!#REF!</f>
        <v>#REF!</v>
      </c>
      <c r="B114" s="68" t="e">
        <f>'THE BOARD'!#REF!</f>
        <v>#REF!</v>
      </c>
      <c r="C114" s="99" t="e">
        <f>IF('THE BOARD'!#REF! = "NESTED","",IF('THE BOARD'!#REF!&lt;&gt;"",'THE BOARD'!#REF!+0.72,""))</f>
        <v>#REF!</v>
      </c>
      <c r="D114" s="99" t="e">
        <f>IF(C114&lt;&gt;"", IF('THE BOARD'!#REF! = "NESTED","",'THE BOARD'!#REF! + IF(C114&lt;&gt;"", 0.72,0)),"")</f>
        <v>#REF!</v>
      </c>
      <c r="E114" s="68" t="e">
        <f>'THE BOARD'!#REF!</f>
        <v>#REF!</v>
      </c>
      <c r="F114" s="68" t="e">
        <f>'THE BOARD'!#REF!</f>
        <v>#REF!</v>
      </c>
      <c r="G114" s="68" t="e">
        <f>'THE BOARD'!#REF!</f>
        <v>#REF!</v>
      </c>
      <c r="H114" s="68" t="e">
        <f>'THE BOARD'!#REF!</f>
        <v>#REF!</v>
      </c>
      <c r="I114" s="68" t="e">
        <f>'THE BOARD'!#REF!</f>
        <v>#REF!</v>
      </c>
      <c r="J114" s="68" t="e">
        <f>'THE BOARD'!#REF!</f>
        <v>#REF!</v>
      </c>
      <c r="K114" s="68" t="e">
        <f>'THE BOARD'!#REF!</f>
        <v>#REF!</v>
      </c>
    </row>
    <row r="115" spans="1:11" ht="12.75" x14ac:dyDescent="0.2">
      <c r="A115" s="68" t="e">
        <f>'THE BOARD'!#REF!</f>
        <v>#REF!</v>
      </c>
      <c r="B115" s="68" t="e">
        <f>'THE BOARD'!#REF!</f>
        <v>#REF!</v>
      </c>
      <c r="C115" s="99" t="e">
        <f>IF('THE BOARD'!#REF! = "NESTED","",IF('THE BOARD'!#REF!&lt;&gt;"",'THE BOARD'!#REF!+0.72,""))</f>
        <v>#REF!</v>
      </c>
      <c r="D115" s="99" t="e">
        <f>IF(C115&lt;&gt;"", IF('THE BOARD'!#REF! = "NESTED","",'THE BOARD'!#REF! + IF(C115&lt;&gt;"", 0.72,0)),"")</f>
        <v>#REF!</v>
      </c>
      <c r="E115" s="68" t="e">
        <f>'THE BOARD'!#REF!</f>
        <v>#REF!</v>
      </c>
      <c r="F115" s="68" t="e">
        <f>'THE BOARD'!#REF!</f>
        <v>#REF!</v>
      </c>
      <c r="G115" s="68" t="e">
        <f>'THE BOARD'!#REF!</f>
        <v>#REF!</v>
      </c>
      <c r="H115" s="68" t="e">
        <f>'THE BOARD'!#REF!</f>
        <v>#REF!</v>
      </c>
      <c r="I115" s="68" t="e">
        <f>'THE BOARD'!#REF!</f>
        <v>#REF!</v>
      </c>
      <c r="J115" s="68" t="e">
        <f>'THE BOARD'!#REF!</f>
        <v>#REF!</v>
      </c>
      <c r="K115" s="68" t="e">
        <f>'THE BOARD'!#REF!</f>
        <v>#REF!</v>
      </c>
    </row>
    <row r="116" spans="1:11" ht="12.75" x14ac:dyDescent="0.2">
      <c r="A116" s="68" t="e">
        <f>'THE BOARD'!#REF!</f>
        <v>#REF!</v>
      </c>
      <c r="B116" s="68" t="e">
        <f>'THE BOARD'!#REF!</f>
        <v>#REF!</v>
      </c>
      <c r="C116" s="99" t="e">
        <f>IF('THE BOARD'!#REF! = "NESTED","",IF('THE BOARD'!#REF!&lt;&gt;"",'THE BOARD'!#REF!+0.72,""))</f>
        <v>#REF!</v>
      </c>
      <c r="D116" s="99" t="e">
        <f>IF(C116&lt;&gt;"", IF('THE BOARD'!#REF! = "NESTED","",'THE BOARD'!#REF! + IF(C116&lt;&gt;"", 0.72,0)),"")</f>
        <v>#REF!</v>
      </c>
      <c r="E116" s="68" t="e">
        <f>'THE BOARD'!#REF!</f>
        <v>#REF!</v>
      </c>
      <c r="F116" s="68" t="e">
        <f>'THE BOARD'!#REF!</f>
        <v>#REF!</v>
      </c>
      <c r="G116" s="68" t="e">
        <f>'THE BOARD'!#REF!</f>
        <v>#REF!</v>
      </c>
      <c r="H116" s="68" t="e">
        <f>'THE BOARD'!#REF!</f>
        <v>#REF!</v>
      </c>
      <c r="I116" s="68" t="e">
        <f>'THE BOARD'!#REF!</f>
        <v>#REF!</v>
      </c>
      <c r="J116" s="68" t="e">
        <f>'THE BOARD'!#REF!</f>
        <v>#REF!</v>
      </c>
      <c r="K116" s="68" t="e">
        <f>'THE BOARD'!#REF!</f>
        <v>#REF!</v>
      </c>
    </row>
    <row r="117" spans="1:11" ht="12.75" x14ac:dyDescent="0.2">
      <c r="A117" s="68" t="e">
        <f>'THE BOARD'!#REF!</f>
        <v>#REF!</v>
      </c>
      <c r="B117" s="68" t="e">
        <f>'THE BOARD'!#REF!</f>
        <v>#REF!</v>
      </c>
      <c r="C117" s="99" t="e">
        <f>IF('THE BOARD'!#REF! = "NESTED","",IF('THE BOARD'!#REF!&lt;&gt;"",'THE BOARD'!#REF!+0.72,""))</f>
        <v>#REF!</v>
      </c>
      <c r="D117" s="99" t="e">
        <f>IF(C117&lt;&gt;"", IF('THE BOARD'!#REF! = "NESTED","",'THE BOARD'!#REF! + IF(C117&lt;&gt;"", 0.72,0)),"")</f>
        <v>#REF!</v>
      </c>
      <c r="E117" s="68" t="e">
        <f>'THE BOARD'!#REF!</f>
        <v>#REF!</v>
      </c>
      <c r="F117" s="68" t="e">
        <f>'THE BOARD'!#REF!</f>
        <v>#REF!</v>
      </c>
      <c r="G117" s="68" t="e">
        <f>'THE BOARD'!#REF!</f>
        <v>#REF!</v>
      </c>
      <c r="H117" s="68" t="e">
        <f>'THE BOARD'!#REF!</f>
        <v>#REF!</v>
      </c>
      <c r="I117" s="68" t="e">
        <f>'THE BOARD'!#REF!</f>
        <v>#REF!</v>
      </c>
      <c r="J117" s="68" t="e">
        <f>'THE BOARD'!#REF!</f>
        <v>#REF!</v>
      </c>
      <c r="K117" s="68" t="e">
        <f>'THE BOARD'!#REF!</f>
        <v>#REF!</v>
      </c>
    </row>
    <row r="118" spans="1:11" ht="12.75" x14ac:dyDescent="0.2">
      <c r="A118" s="68" t="e">
        <f>'THE BOARD'!#REF!</f>
        <v>#REF!</v>
      </c>
      <c r="B118" s="68" t="e">
        <f>'THE BOARD'!#REF!</f>
        <v>#REF!</v>
      </c>
      <c r="C118" s="99" t="e">
        <f>IF('THE BOARD'!#REF! = "NESTED","",IF('THE BOARD'!#REF!&lt;&gt;"",'THE BOARD'!#REF!+0.72,""))</f>
        <v>#REF!</v>
      </c>
      <c r="D118" s="99" t="e">
        <f>IF(C118&lt;&gt;"", IF('THE BOARD'!#REF! = "NESTED","",'THE BOARD'!#REF! + IF(C118&lt;&gt;"", 0.72,0)),"")</f>
        <v>#REF!</v>
      </c>
      <c r="E118" s="68" t="e">
        <f>'THE BOARD'!#REF!</f>
        <v>#REF!</v>
      </c>
      <c r="F118" s="68" t="e">
        <f>'THE BOARD'!#REF!</f>
        <v>#REF!</v>
      </c>
      <c r="G118" s="68" t="e">
        <f>'THE BOARD'!#REF!</f>
        <v>#REF!</v>
      </c>
      <c r="H118" s="68" t="e">
        <f>'THE BOARD'!#REF!</f>
        <v>#REF!</v>
      </c>
      <c r="I118" s="68" t="e">
        <f>'THE BOARD'!#REF!</f>
        <v>#REF!</v>
      </c>
      <c r="J118" s="68" t="e">
        <f>'THE BOARD'!#REF!</f>
        <v>#REF!</v>
      </c>
      <c r="K118" s="68" t="e">
        <f>'THE BOARD'!#REF!</f>
        <v>#REF!</v>
      </c>
    </row>
    <row r="119" spans="1:11" ht="12.75" x14ac:dyDescent="0.2">
      <c r="A119" s="68" t="e">
        <f>'THE BOARD'!#REF!</f>
        <v>#REF!</v>
      </c>
      <c r="B119" s="68" t="e">
        <f>'THE BOARD'!#REF!</f>
        <v>#REF!</v>
      </c>
      <c r="C119" s="99" t="e">
        <f>IF('THE BOARD'!#REF! = "NESTED","",IF('THE BOARD'!#REF!&lt;&gt;"",'THE BOARD'!#REF!+0.72,""))</f>
        <v>#REF!</v>
      </c>
      <c r="D119" s="99" t="e">
        <f>IF(C119&lt;&gt;"", IF('THE BOARD'!#REF! = "NESTED","",'THE BOARD'!#REF! + IF(C119&lt;&gt;"", 0.72,0)),"")</f>
        <v>#REF!</v>
      </c>
      <c r="E119" s="68" t="e">
        <f>'THE BOARD'!#REF!</f>
        <v>#REF!</v>
      </c>
      <c r="F119" s="68" t="e">
        <f>'THE BOARD'!#REF!</f>
        <v>#REF!</v>
      </c>
      <c r="G119" s="68" t="e">
        <f>'THE BOARD'!#REF!</f>
        <v>#REF!</v>
      </c>
      <c r="H119" s="68" t="e">
        <f>'THE BOARD'!#REF!</f>
        <v>#REF!</v>
      </c>
      <c r="I119" s="68" t="e">
        <f>'THE BOARD'!#REF!</f>
        <v>#REF!</v>
      </c>
      <c r="J119" s="68" t="e">
        <f>'THE BOARD'!#REF!</f>
        <v>#REF!</v>
      </c>
      <c r="K119" s="68" t="e">
        <f>'THE BOARD'!#REF!</f>
        <v>#REF!</v>
      </c>
    </row>
    <row r="120" spans="1:11" ht="12.75" x14ac:dyDescent="0.2">
      <c r="A120" s="68" t="e">
        <f>'THE BOARD'!#REF!</f>
        <v>#REF!</v>
      </c>
      <c r="B120" s="68" t="e">
        <f>'THE BOARD'!#REF!</f>
        <v>#REF!</v>
      </c>
      <c r="C120" s="99" t="e">
        <f>IF('THE BOARD'!#REF! = "NESTED","",IF('THE BOARD'!#REF!&lt;&gt;"",'THE BOARD'!#REF!+0.72,""))</f>
        <v>#REF!</v>
      </c>
      <c r="D120" s="99" t="e">
        <f>IF(C120&lt;&gt;"", IF('THE BOARD'!#REF! = "NESTED","",'THE BOARD'!#REF! + IF(C120&lt;&gt;"", 0.72,0)),"")</f>
        <v>#REF!</v>
      </c>
      <c r="E120" s="68" t="e">
        <f>'THE BOARD'!#REF!</f>
        <v>#REF!</v>
      </c>
      <c r="F120" s="68" t="e">
        <f>'THE BOARD'!#REF!</f>
        <v>#REF!</v>
      </c>
      <c r="G120" s="68" t="e">
        <f>'THE BOARD'!#REF!</f>
        <v>#REF!</v>
      </c>
      <c r="H120" s="68" t="e">
        <f>'THE BOARD'!#REF!</f>
        <v>#REF!</v>
      </c>
      <c r="I120" s="68" t="e">
        <f>'THE BOARD'!#REF!</f>
        <v>#REF!</v>
      </c>
      <c r="J120" s="68" t="e">
        <f>'THE BOARD'!#REF!</f>
        <v>#REF!</v>
      </c>
      <c r="K120" s="68" t="e">
        <f>'THE BOARD'!#REF!</f>
        <v>#REF!</v>
      </c>
    </row>
    <row r="121" spans="1:11" ht="12.75" x14ac:dyDescent="0.2">
      <c r="A121" s="68" t="e">
        <f>'THE BOARD'!#REF!</f>
        <v>#REF!</v>
      </c>
      <c r="B121" s="68" t="e">
        <f>'THE BOARD'!#REF!</f>
        <v>#REF!</v>
      </c>
      <c r="C121" s="99" t="e">
        <f>IF('THE BOARD'!#REF! = "NESTED","",IF('THE BOARD'!#REF!&lt;&gt;"",'THE BOARD'!#REF!+0.72,""))</f>
        <v>#REF!</v>
      </c>
      <c r="D121" s="99" t="e">
        <f>IF(C121&lt;&gt;"", IF('THE BOARD'!#REF! = "NESTED","",'THE BOARD'!#REF! + IF(C121&lt;&gt;"", 0.72,0)),"")</f>
        <v>#REF!</v>
      </c>
      <c r="E121" s="68" t="e">
        <f>'THE BOARD'!#REF!</f>
        <v>#REF!</v>
      </c>
      <c r="F121" s="68" t="e">
        <f>'THE BOARD'!#REF!</f>
        <v>#REF!</v>
      </c>
      <c r="G121" s="68" t="e">
        <f>'THE BOARD'!#REF!</f>
        <v>#REF!</v>
      </c>
      <c r="H121" s="68" t="e">
        <f>'THE BOARD'!#REF!</f>
        <v>#REF!</v>
      </c>
      <c r="I121" s="68" t="e">
        <f>'THE BOARD'!#REF!</f>
        <v>#REF!</v>
      </c>
      <c r="J121" s="68" t="e">
        <f>'THE BOARD'!#REF!</f>
        <v>#REF!</v>
      </c>
      <c r="K121" s="68" t="e">
        <f>'THE BOARD'!#REF!</f>
        <v>#REF!</v>
      </c>
    </row>
    <row r="122" spans="1:11" ht="12.75" x14ac:dyDescent="0.2">
      <c r="A122" s="68" t="e">
        <f>'THE BOARD'!#REF!</f>
        <v>#REF!</v>
      </c>
      <c r="B122" s="68" t="e">
        <f>'THE BOARD'!#REF!</f>
        <v>#REF!</v>
      </c>
      <c r="C122" s="99" t="e">
        <f>IF('THE BOARD'!#REF! = "NESTED","",IF('THE BOARD'!#REF!&lt;&gt;"",'THE BOARD'!#REF!+0.72,""))</f>
        <v>#REF!</v>
      </c>
      <c r="D122" s="99" t="e">
        <f>IF(C122&lt;&gt;"", IF('THE BOARD'!#REF! = "NESTED","",'THE BOARD'!#REF! + IF(C122&lt;&gt;"", 0.72,0)),"")</f>
        <v>#REF!</v>
      </c>
      <c r="E122" s="68" t="e">
        <f>'THE BOARD'!#REF!</f>
        <v>#REF!</v>
      </c>
      <c r="F122" s="68" t="e">
        <f>'THE BOARD'!#REF!</f>
        <v>#REF!</v>
      </c>
      <c r="G122" s="68" t="e">
        <f>'THE BOARD'!#REF!</f>
        <v>#REF!</v>
      </c>
      <c r="H122" s="68" t="e">
        <f>'THE BOARD'!#REF!</f>
        <v>#REF!</v>
      </c>
      <c r="I122" s="68" t="e">
        <f>'THE BOARD'!#REF!</f>
        <v>#REF!</v>
      </c>
      <c r="J122" s="68" t="e">
        <f>'THE BOARD'!#REF!</f>
        <v>#REF!</v>
      </c>
      <c r="K122" s="68" t="e">
        <f>'THE BOARD'!#REF!</f>
        <v>#REF!</v>
      </c>
    </row>
    <row r="123" spans="1:11" ht="12.75" x14ac:dyDescent="0.2">
      <c r="A123" s="68" t="e">
        <f>'THE BOARD'!#REF!</f>
        <v>#REF!</v>
      </c>
      <c r="B123" s="68" t="e">
        <f>'THE BOARD'!#REF!</f>
        <v>#REF!</v>
      </c>
      <c r="C123" s="99" t="e">
        <f>IF('THE BOARD'!#REF! = "NESTED","",IF('THE BOARD'!#REF!&lt;&gt;"",'THE BOARD'!#REF!+0.72,""))</f>
        <v>#REF!</v>
      </c>
      <c r="D123" s="99" t="e">
        <f>IF(C123&lt;&gt;"", IF('THE BOARD'!#REF! = "NESTED","",'THE BOARD'!#REF! + IF(C123&lt;&gt;"", 0.72,0)),"")</f>
        <v>#REF!</v>
      </c>
      <c r="E123" s="68" t="e">
        <f>'THE BOARD'!#REF!</f>
        <v>#REF!</v>
      </c>
      <c r="F123" s="68" t="e">
        <f>'THE BOARD'!#REF!</f>
        <v>#REF!</v>
      </c>
      <c r="G123" s="68" t="e">
        <f>'THE BOARD'!#REF!</f>
        <v>#REF!</v>
      </c>
      <c r="H123" s="68" t="e">
        <f>'THE BOARD'!#REF!</f>
        <v>#REF!</v>
      </c>
      <c r="I123" s="68" t="e">
        <f>'THE BOARD'!#REF!</f>
        <v>#REF!</v>
      </c>
      <c r="J123" s="68" t="e">
        <f>'THE BOARD'!#REF!</f>
        <v>#REF!</v>
      </c>
      <c r="K123" s="68" t="e">
        <f>'THE BOARD'!#REF!</f>
        <v>#REF!</v>
      </c>
    </row>
    <row r="124" spans="1:11" ht="12.75" x14ac:dyDescent="0.2">
      <c r="A124" s="68" t="e">
        <f>'THE BOARD'!#REF!</f>
        <v>#REF!</v>
      </c>
      <c r="B124" s="68" t="e">
        <f>'THE BOARD'!#REF!</f>
        <v>#REF!</v>
      </c>
      <c r="C124" s="99" t="e">
        <f>IF('THE BOARD'!#REF! = "NESTED","",IF('THE BOARD'!#REF!&lt;&gt;"",'THE BOARD'!#REF!+0.72,""))</f>
        <v>#REF!</v>
      </c>
      <c r="D124" s="99" t="e">
        <f>IF(C124&lt;&gt;"", IF('THE BOARD'!#REF! = "NESTED","",'THE BOARD'!#REF! + IF(C124&lt;&gt;"", 0.72,0)),"")</f>
        <v>#REF!</v>
      </c>
      <c r="E124" s="68" t="e">
        <f>'THE BOARD'!#REF!</f>
        <v>#REF!</v>
      </c>
      <c r="F124" s="68" t="e">
        <f>'THE BOARD'!#REF!</f>
        <v>#REF!</v>
      </c>
      <c r="G124" s="68" t="e">
        <f>'THE BOARD'!#REF!</f>
        <v>#REF!</v>
      </c>
      <c r="H124" s="68" t="e">
        <f>'THE BOARD'!#REF!</f>
        <v>#REF!</v>
      </c>
      <c r="I124" s="68" t="e">
        <f>'THE BOARD'!#REF!</f>
        <v>#REF!</v>
      </c>
      <c r="J124" s="68" t="e">
        <f>'THE BOARD'!#REF!</f>
        <v>#REF!</v>
      </c>
      <c r="K124" s="68" t="e">
        <f>'THE BOARD'!#REF!</f>
        <v>#REF!</v>
      </c>
    </row>
    <row r="125" spans="1:11" ht="12.75" x14ac:dyDescent="0.2">
      <c r="A125" s="68" t="e">
        <f>'THE BOARD'!#REF!</f>
        <v>#REF!</v>
      </c>
      <c r="B125" s="68" t="e">
        <f>'THE BOARD'!#REF!</f>
        <v>#REF!</v>
      </c>
      <c r="C125" s="99" t="e">
        <f>IF('THE BOARD'!#REF! = "NESTED","",IF('THE BOARD'!#REF!&lt;&gt;"",'THE BOARD'!#REF!+0.72,""))</f>
        <v>#REF!</v>
      </c>
      <c r="D125" s="99" t="e">
        <f>IF(C125&lt;&gt;"", IF('THE BOARD'!#REF! = "NESTED","",'THE BOARD'!#REF! + IF(C125&lt;&gt;"", 0.72,0)),"")</f>
        <v>#REF!</v>
      </c>
      <c r="E125" s="68" t="e">
        <f>'THE BOARD'!#REF!</f>
        <v>#REF!</v>
      </c>
      <c r="F125" s="68" t="e">
        <f>'THE BOARD'!#REF!</f>
        <v>#REF!</v>
      </c>
      <c r="G125" s="68" t="e">
        <f>'THE BOARD'!#REF!</f>
        <v>#REF!</v>
      </c>
      <c r="H125" s="68" t="e">
        <f>'THE BOARD'!#REF!</f>
        <v>#REF!</v>
      </c>
      <c r="I125" s="68" t="e">
        <f>'THE BOARD'!#REF!</f>
        <v>#REF!</v>
      </c>
      <c r="J125" s="68" t="e">
        <f>'THE BOARD'!#REF!</f>
        <v>#REF!</v>
      </c>
      <c r="K125" s="68" t="e">
        <f>'THE BOARD'!#REF!</f>
        <v>#REF!</v>
      </c>
    </row>
    <row r="126" spans="1:11" ht="12.75" x14ac:dyDescent="0.2">
      <c r="A126" s="68" t="e">
        <f>'THE BOARD'!#REF!</f>
        <v>#REF!</v>
      </c>
      <c r="B126" s="68" t="e">
        <f>'THE BOARD'!#REF!</f>
        <v>#REF!</v>
      </c>
      <c r="C126" s="99" t="e">
        <f>IF('THE BOARD'!#REF! = "NESTED","",IF('THE BOARD'!#REF!&lt;&gt;"",'THE BOARD'!#REF!+0.72,""))</f>
        <v>#REF!</v>
      </c>
      <c r="D126" s="99" t="e">
        <f>IF(C126&lt;&gt;"", IF('THE BOARD'!#REF! = "NESTED","",'THE BOARD'!#REF! + IF(C126&lt;&gt;"", 0.72,0)),"")</f>
        <v>#REF!</v>
      </c>
      <c r="E126" s="68" t="e">
        <f>'THE BOARD'!#REF!</f>
        <v>#REF!</v>
      </c>
      <c r="F126" s="68" t="e">
        <f>'THE BOARD'!#REF!</f>
        <v>#REF!</v>
      </c>
      <c r="G126" s="68" t="e">
        <f>'THE BOARD'!#REF!</f>
        <v>#REF!</v>
      </c>
      <c r="H126" s="68" t="e">
        <f>'THE BOARD'!#REF!</f>
        <v>#REF!</v>
      </c>
      <c r="I126" s="68" t="e">
        <f>'THE BOARD'!#REF!</f>
        <v>#REF!</v>
      </c>
      <c r="J126" s="68" t="e">
        <f>'THE BOARD'!#REF!</f>
        <v>#REF!</v>
      </c>
      <c r="K126" s="68" t="e">
        <f>'THE BOARD'!#REF!</f>
        <v>#REF!</v>
      </c>
    </row>
    <row r="127" spans="1:11" ht="12.75" x14ac:dyDescent="0.2">
      <c r="A127" s="68" t="e">
        <f>'THE BOARD'!#REF!</f>
        <v>#REF!</v>
      </c>
      <c r="B127" s="68" t="e">
        <f>'THE BOARD'!#REF!</f>
        <v>#REF!</v>
      </c>
      <c r="C127" s="99" t="e">
        <f>IF('THE BOARD'!#REF! = "NESTED","",IF('THE BOARD'!#REF!&lt;&gt;"",'THE BOARD'!#REF!+0.72,""))</f>
        <v>#REF!</v>
      </c>
      <c r="D127" s="99" t="e">
        <f>IF(C127&lt;&gt;"", IF('THE BOARD'!#REF! = "NESTED","",'THE BOARD'!#REF! + IF(C127&lt;&gt;"", 0.72,0)),"")</f>
        <v>#REF!</v>
      </c>
      <c r="E127" s="68" t="e">
        <f>'THE BOARD'!#REF!</f>
        <v>#REF!</v>
      </c>
      <c r="F127" s="68" t="e">
        <f>'THE BOARD'!#REF!</f>
        <v>#REF!</v>
      </c>
      <c r="G127" s="68" t="e">
        <f>'THE BOARD'!#REF!</f>
        <v>#REF!</v>
      </c>
      <c r="H127" s="68" t="e">
        <f>'THE BOARD'!#REF!</f>
        <v>#REF!</v>
      </c>
      <c r="I127" s="68" t="e">
        <f>'THE BOARD'!#REF!</f>
        <v>#REF!</v>
      </c>
      <c r="J127" s="68" t="e">
        <f>'THE BOARD'!#REF!</f>
        <v>#REF!</v>
      </c>
      <c r="K127" s="68" t="e">
        <f>'THE BOARD'!#REF!</f>
        <v>#REF!</v>
      </c>
    </row>
    <row r="128" spans="1:11" ht="12.75" x14ac:dyDescent="0.2">
      <c r="A128" s="68" t="e">
        <f t="shared" ref="A128:B128" si="0">#REF!</f>
        <v>#REF!</v>
      </c>
      <c r="B128" s="68" t="e">
        <f t="shared" si="0"/>
        <v>#REF!</v>
      </c>
      <c r="C128" s="99" t="e">
        <f>IF(#REF! = "NESTED","",IF(#REF!&lt;&gt;"",#REF!+0.72,""))</f>
        <v>#REF!</v>
      </c>
      <c r="D128" s="99" t="e">
        <f>IF(C128&lt;&gt;"", IF(#REF! = "NESTED","",#REF! + IF(C128&lt;&gt;"", 0.72,0)),"")</f>
        <v>#REF!</v>
      </c>
      <c r="E128" s="68" t="e">
        <f t="shared" ref="E128:K128" si="1">#REF!</f>
        <v>#REF!</v>
      </c>
      <c r="F128" s="68" t="e">
        <f t="shared" si="1"/>
        <v>#REF!</v>
      </c>
      <c r="G128" s="68" t="e">
        <f t="shared" si="1"/>
        <v>#REF!</v>
      </c>
      <c r="H128" s="68" t="e">
        <f t="shared" si="1"/>
        <v>#REF!</v>
      </c>
      <c r="I128" s="68" t="e">
        <f t="shared" si="1"/>
        <v>#REF!</v>
      </c>
      <c r="J128" s="68" t="e">
        <f t="shared" si="1"/>
        <v>#REF!</v>
      </c>
      <c r="K128" s="68" t="e">
        <f t="shared" si="1"/>
        <v>#REF!</v>
      </c>
    </row>
    <row r="129" spans="1:11" ht="12.75" x14ac:dyDescent="0.2">
      <c r="A129" s="68" t="e">
        <f>'THE BOARD'!#REF!</f>
        <v>#REF!</v>
      </c>
      <c r="B129" s="68" t="e">
        <f>'THE BOARD'!#REF!</f>
        <v>#REF!</v>
      </c>
      <c r="C129" s="99" t="e">
        <f>IF('THE BOARD'!#REF! = "NESTED","",IF('THE BOARD'!#REF!&lt;&gt;"",'THE BOARD'!#REF!+0.72,""))</f>
        <v>#REF!</v>
      </c>
      <c r="D129" s="99" t="e">
        <f>IF(C129&lt;&gt;"", IF('THE BOARD'!#REF! = "NESTED","",'THE BOARD'!#REF! + IF(C129&lt;&gt;"", 0.72,0)),"")</f>
        <v>#REF!</v>
      </c>
      <c r="E129" s="68" t="e">
        <f>'THE BOARD'!#REF!</f>
        <v>#REF!</v>
      </c>
      <c r="F129" s="68" t="e">
        <f>'THE BOARD'!#REF!</f>
        <v>#REF!</v>
      </c>
      <c r="G129" s="68" t="e">
        <f>'THE BOARD'!#REF!</f>
        <v>#REF!</v>
      </c>
      <c r="H129" s="68" t="e">
        <f>'THE BOARD'!#REF!</f>
        <v>#REF!</v>
      </c>
      <c r="I129" s="68" t="e">
        <f>'THE BOARD'!#REF!</f>
        <v>#REF!</v>
      </c>
      <c r="J129" s="68" t="e">
        <f>'THE BOARD'!#REF!</f>
        <v>#REF!</v>
      </c>
      <c r="K129" s="68" t="e">
        <f>'THE BOARD'!#REF!</f>
        <v>#REF!</v>
      </c>
    </row>
    <row r="130" spans="1:11" ht="12.75" x14ac:dyDescent="0.2">
      <c r="A130" s="68" t="e">
        <f>'THE BOARD'!#REF!</f>
        <v>#REF!</v>
      </c>
      <c r="B130" s="68" t="e">
        <f>'THE BOARD'!#REF!</f>
        <v>#REF!</v>
      </c>
      <c r="C130" s="99" t="e">
        <f>IF('THE BOARD'!#REF! = "NESTED","",IF('THE BOARD'!#REF!&lt;&gt;"",'THE BOARD'!#REF!+0.72,""))</f>
        <v>#REF!</v>
      </c>
      <c r="D130" s="99" t="e">
        <f>IF(C130&lt;&gt;"", IF('THE BOARD'!#REF! = "NESTED","",'THE BOARD'!#REF! + IF(C130&lt;&gt;"", 0.72,0)),"")</f>
        <v>#REF!</v>
      </c>
      <c r="E130" s="68" t="e">
        <f>'THE BOARD'!#REF!</f>
        <v>#REF!</v>
      </c>
      <c r="F130" s="68" t="e">
        <f>'THE BOARD'!#REF!</f>
        <v>#REF!</v>
      </c>
      <c r="G130" s="68" t="e">
        <f>'THE BOARD'!#REF!</f>
        <v>#REF!</v>
      </c>
      <c r="H130" s="68" t="e">
        <f>'THE BOARD'!#REF!</f>
        <v>#REF!</v>
      </c>
      <c r="I130" s="68" t="e">
        <f>'THE BOARD'!#REF!</f>
        <v>#REF!</v>
      </c>
      <c r="J130" s="68" t="e">
        <f>'THE BOARD'!#REF!</f>
        <v>#REF!</v>
      </c>
      <c r="K130" s="68" t="e">
        <f>'THE BOARD'!#REF!</f>
        <v>#REF!</v>
      </c>
    </row>
    <row r="131" spans="1:11" ht="12.75" x14ac:dyDescent="0.2">
      <c r="A131" s="68" t="e">
        <f>'THE BOARD'!#REF!</f>
        <v>#REF!</v>
      </c>
      <c r="B131" s="68" t="e">
        <f>'THE BOARD'!#REF!</f>
        <v>#REF!</v>
      </c>
      <c r="C131" s="99" t="e">
        <f>IF('THE BOARD'!#REF! = "NESTED","",IF('THE BOARD'!#REF!&lt;&gt;"",'THE BOARD'!#REF!+0.72,""))</f>
        <v>#REF!</v>
      </c>
      <c r="D131" s="99" t="e">
        <f>IF(C131&lt;&gt;"", IF('THE BOARD'!#REF! = "NESTED","",'THE BOARD'!#REF! + IF(C131&lt;&gt;"", 0.72,0)),"")</f>
        <v>#REF!</v>
      </c>
      <c r="E131" s="68" t="e">
        <f>'THE BOARD'!#REF!</f>
        <v>#REF!</v>
      </c>
      <c r="F131" s="68" t="e">
        <f>'THE BOARD'!#REF!</f>
        <v>#REF!</v>
      </c>
      <c r="G131" s="68" t="e">
        <f>'THE BOARD'!#REF!</f>
        <v>#REF!</v>
      </c>
      <c r="H131" s="68" t="e">
        <f>'THE BOARD'!#REF!</f>
        <v>#REF!</v>
      </c>
      <c r="I131" s="68" t="e">
        <f>'THE BOARD'!#REF!</f>
        <v>#REF!</v>
      </c>
      <c r="J131" s="68" t="e">
        <f>'THE BOARD'!#REF!</f>
        <v>#REF!</v>
      </c>
      <c r="K131" s="68" t="e">
        <f>'THE BOARD'!#REF!</f>
        <v>#REF!</v>
      </c>
    </row>
    <row r="132" spans="1:11" ht="12.75" x14ac:dyDescent="0.2">
      <c r="A132" s="68" t="e">
        <f>'THE BOARD'!#REF!</f>
        <v>#REF!</v>
      </c>
      <c r="B132" s="68" t="e">
        <f>'THE BOARD'!#REF!</f>
        <v>#REF!</v>
      </c>
      <c r="C132" s="99" t="e">
        <f>IF('THE BOARD'!#REF! = "NESTED","",IF('THE BOARD'!#REF!&lt;&gt;"",'THE BOARD'!#REF!+0.72,""))</f>
        <v>#REF!</v>
      </c>
      <c r="D132" s="99" t="e">
        <f>IF(C132&lt;&gt;"", IF('THE BOARD'!#REF! = "NESTED","",'THE BOARD'!#REF! + IF(C132&lt;&gt;"", 0.72,0)),"")</f>
        <v>#REF!</v>
      </c>
      <c r="E132" s="68" t="e">
        <f>'THE BOARD'!#REF!</f>
        <v>#REF!</v>
      </c>
      <c r="F132" s="68" t="e">
        <f>'THE BOARD'!#REF!</f>
        <v>#REF!</v>
      </c>
      <c r="G132" s="68" t="e">
        <f>'THE BOARD'!#REF!</f>
        <v>#REF!</v>
      </c>
      <c r="H132" s="68" t="e">
        <f>'THE BOARD'!#REF!</f>
        <v>#REF!</v>
      </c>
      <c r="I132" s="68" t="e">
        <f>'THE BOARD'!#REF!</f>
        <v>#REF!</v>
      </c>
      <c r="J132" s="68" t="e">
        <f>'THE BOARD'!#REF!</f>
        <v>#REF!</v>
      </c>
      <c r="K132" s="68" t="e">
        <f>'THE BOARD'!#REF!</f>
        <v>#REF!</v>
      </c>
    </row>
    <row r="133" spans="1:11" ht="12.75" x14ac:dyDescent="0.2">
      <c r="A133" s="68" t="e">
        <f>'THE BOARD'!#REF!</f>
        <v>#REF!</v>
      </c>
      <c r="B133" s="68" t="e">
        <f>'THE BOARD'!#REF!</f>
        <v>#REF!</v>
      </c>
      <c r="C133" s="99" t="e">
        <f>IF('THE BOARD'!#REF! = "NESTED","",IF('THE BOARD'!#REF!&lt;&gt;"",'THE BOARD'!#REF!+0.72,""))</f>
        <v>#REF!</v>
      </c>
      <c r="D133" s="99" t="e">
        <f>IF(C133&lt;&gt;"", IF('THE BOARD'!#REF! = "NESTED","",'THE BOARD'!#REF! + IF(C133&lt;&gt;"", 0.72,0)),"")</f>
        <v>#REF!</v>
      </c>
      <c r="E133" s="68" t="e">
        <f>'THE BOARD'!#REF!</f>
        <v>#REF!</v>
      </c>
      <c r="F133" s="68" t="e">
        <f>'THE BOARD'!#REF!</f>
        <v>#REF!</v>
      </c>
      <c r="G133" s="68" t="e">
        <f>'THE BOARD'!#REF!</f>
        <v>#REF!</v>
      </c>
      <c r="H133" s="68" t="e">
        <f>'THE BOARD'!#REF!</f>
        <v>#REF!</v>
      </c>
      <c r="I133" s="68" t="e">
        <f>'THE BOARD'!#REF!</f>
        <v>#REF!</v>
      </c>
      <c r="J133" s="68" t="e">
        <f>'THE BOARD'!#REF!</f>
        <v>#REF!</v>
      </c>
      <c r="K133" s="68" t="e">
        <f>'THE BOARD'!#REF!</f>
        <v>#REF!</v>
      </c>
    </row>
    <row r="134" spans="1:11" ht="12.75" x14ac:dyDescent="0.2">
      <c r="A134" s="68" t="e">
        <f>'THE BOARD'!#REF!</f>
        <v>#REF!</v>
      </c>
      <c r="B134" s="68" t="e">
        <f>'THE BOARD'!#REF!</f>
        <v>#REF!</v>
      </c>
      <c r="C134" s="99" t="e">
        <f>IF('THE BOARD'!#REF! = "NESTED","",IF('THE BOARD'!#REF!&lt;&gt;"",'THE BOARD'!#REF!+0.72,""))</f>
        <v>#REF!</v>
      </c>
      <c r="D134" s="99" t="e">
        <f>IF(C134&lt;&gt;"", IF('THE BOARD'!#REF! = "NESTED","",'THE BOARD'!#REF! + IF(C134&lt;&gt;"", 0.72,0)),"")</f>
        <v>#REF!</v>
      </c>
      <c r="E134" s="68" t="e">
        <f>'THE BOARD'!#REF!</f>
        <v>#REF!</v>
      </c>
      <c r="F134" s="68" t="e">
        <f>'THE BOARD'!#REF!</f>
        <v>#REF!</v>
      </c>
      <c r="G134" s="68" t="e">
        <f>'THE BOARD'!#REF!</f>
        <v>#REF!</v>
      </c>
      <c r="H134" s="68" t="e">
        <f>'THE BOARD'!#REF!</f>
        <v>#REF!</v>
      </c>
      <c r="I134" s="68" t="e">
        <f>'THE BOARD'!#REF!</f>
        <v>#REF!</v>
      </c>
      <c r="J134" s="68" t="e">
        <f>'THE BOARD'!#REF!</f>
        <v>#REF!</v>
      </c>
      <c r="K134" s="68" t="e">
        <f>'THE BOARD'!#REF!</f>
        <v>#REF!</v>
      </c>
    </row>
    <row r="135" spans="1:11" ht="12.75" x14ac:dyDescent="0.2">
      <c r="A135" s="68" t="e">
        <f>'THE BOARD'!#REF!</f>
        <v>#REF!</v>
      </c>
      <c r="B135" s="68" t="e">
        <f>'THE BOARD'!#REF!</f>
        <v>#REF!</v>
      </c>
      <c r="C135" s="99" t="e">
        <f>IF('THE BOARD'!#REF! = "NESTED","",IF('THE BOARD'!#REF!&lt;&gt;"",'THE BOARD'!#REF!+0.72,""))</f>
        <v>#REF!</v>
      </c>
      <c r="D135" s="99" t="e">
        <f>IF(C135&lt;&gt;"", IF('THE BOARD'!#REF! = "NESTED","",'THE BOARD'!#REF! + IF(C135&lt;&gt;"", 0.72,0)),"")</f>
        <v>#REF!</v>
      </c>
      <c r="E135" s="68" t="e">
        <f>'THE BOARD'!#REF!</f>
        <v>#REF!</v>
      </c>
      <c r="F135" s="68" t="e">
        <f>'THE BOARD'!#REF!</f>
        <v>#REF!</v>
      </c>
      <c r="G135" s="68" t="e">
        <f>'THE BOARD'!#REF!</f>
        <v>#REF!</v>
      </c>
      <c r="H135" s="68" t="e">
        <f>'THE BOARD'!#REF!</f>
        <v>#REF!</v>
      </c>
      <c r="I135" s="68" t="e">
        <f>'THE BOARD'!#REF!</f>
        <v>#REF!</v>
      </c>
      <c r="J135" s="68" t="e">
        <f>'THE BOARD'!#REF!</f>
        <v>#REF!</v>
      </c>
      <c r="K135" s="68" t="e">
        <f>'THE BOARD'!#REF!</f>
        <v>#REF!</v>
      </c>
    </row>
    <row r="136" spans="1:11" ht="12.75" x14ac:dyDescent="0.2">
      <c r="A136" s="68" t="e">
        <f>'THE BOARD'!#REF!</f>
        <v>#REF!</v>
      </c>
      <c r="B136" s="68" t="e">
        <f>'THE BOARD'!#REF!</f>
        <v>#REF!</v>
      </c>
      <c r="C136" s="99" t="e">
        <f>IF('THE BOARD'!#REF! = "NESTED","",IF('THE BOARD'!#REF!&lt;&gt;"",'THE BOARD'!#REF!+0.72,""))</f>
        <v>#REF!</v>
      </c>
      <c r="D136" s="99" t="e">
        <f>IF(C136&lt;&gt;"", IF('THE BOARD'!#REF! = "NESTED","",'THE BOARD'!#REF! + IF(C136&lt;&gt;"", 0.72,0)),"")</f>
        <v>#REF!</v>
      </c>
      <c r="E136" s="68" t="e">
        <f>'THE BOARD'!#REF!</f>
        <v>#REF!</v>
      </c>
      <c r="F136" s="68" t="e">
        <f>'THE BOARD'!#REF!</f>
        <v>#REF!</v>
      </c>
      <c r="G136" s="68" t="e">
        <f>'THE BOARD'!#REF!</f>
        <v>#REF!</v>
      </c>
      <c r="H136" s="68" t="e">
        <f>'THE BOARD'!#REF!</f>
        <v>#REF!</v>
      </c>
      <c r="I136" s="68" t="e">
        <f>'THE BOARD'!#REF!</f>
        <v>#REF!</v>
      </c>
      <c r="J136" s="68" t="e">
        <f>'THE BOARD'!#REF!</f>
        <v>#REF!</v>
      </c>
      <c r="K136" s="68" t="e">
        <f>'THE BOARD'!#REF!</f>
        <v>#REF!</v>
      </c>
    </row>
    <row r="137" spans="1:11" ht="12.75" x14ac:dyDescent="0.2">
      <c r="A137" s="68" t="e">
        <f>'THE BOARD'!#REF!</f>
        <v>#REF!</v>
      </c>
      <c r="B137" s="68" t="e">
        <f>'THE BOARD'!#REF!</f>
        <v>#REF!</v>
      </c>
      <c r="C137" s="99" t="e">
        <f>IF('THE BOARD'!#REF! = "NESTED","",IF('THE BOARD'!#REF!&lt;&gt;"",'THE BOARD'!#REF!+0.72,""))</f>
        <v>#REF!</v>
      </c>
      <c r="D137" s="99" t="e">
        <f>IF(C137&lt;&gt;"", IF('THE BOARD'!#REF! = "NESTED","",'THE BOARD'!#REF! + IF(C137&lt;&gt;"", 0.72,0)),"")</f>
        <v>#REF!</v>
      </c>
      <c r="E137" s="68" t="e">
        <f>'THE BOARD'!#REF!</f>
        <v>#REF!</v>
      </c>
      <c r="F137" s="68" t="e">
        <f>'THE BOARD'!#REF!</f>
        <v>#REF!</v>
      </c>
      <c r="G137" s="68" t="e">
        <f>'THE BOARD'!#REF!</f>
        <v>#REF!</v>
      </c>
      <c r="H137" s="68" t="e">
        <f>'THE BOARD'!#REF!</f>
        <v>#REF!</v>
      </c>
      <c r="I137" s="68" t="e">
        <f>'THE BOARD'!#REF!</f>
        <v>#REF!</v>
      </c>
      <c r="J137" s="68" t="e">
        <f>'THE BOARD'!#REF!</f>
        <v>#REF!</v>
      </c>
      <c r="K137" s="68" t="e">
        <f>'THE BOARD'!#REF!</f>
        <v>#REF!</v>
      </c>
    </row>
    <row r="138" spans="1:11" ht="12.75" x14ac:dyDescent="0.2">
      <c r="A138" s="68" t="e">
        <f>'THE BOARD'!#REF!</f>
        <v>#REF!</v>
      </c>
      <c r="B138" s="68" t="e">
        <f>'THE BOARD'!#REF!</f>
        <v>#REF!</v>
      </c>
      <c r="C138" s="99" t="e">
        <f>IF('THE BOARD'!#REF! = "NESTED","",IF('THE BOARD'!#REF!&lt;&gt;"",'THE BOARD'!#REF!+0.72,""))</f>
        <v>#REF!</v>
      </c>
      <c r="D138" s="99" t="e">
        <f>IF(C138&lt;&gt;"", IF('THE BOARD'!#REF! = "NESTED","",'THE BOARD'!#REF! + IF(C138&lt;&gt;"", 0.72,0)),"")</f>
        <v>#REF!</v>
      </c>
      <c r="E138" s="68" t="e">
        <f>'THE BOARD'!#REF!</f>
        <v>#REF!</v>
      </c>
      <c r="F138" s="68" t="e">
        <f>'THE BOARD'!#REF!</f>
        <v>#REF!</v>
      </c>
      <c r="G138" s="68" t="e">
        <f>'THE BOARD'!#REF!</f>
        <v>#REF!</v>
      </c>
      <c r="H138" s="68" t="e">
        <f>'THE BOARD'!#REF!</f>
        <v>#REF!</v>
      </c>
      <c r="I138" s="68" t="e">
        <f>'THE BOARD'!#REF!</f>
        <v>#REF!</v>
      </c>
      <c r="J138" s="68" t="e">
        <f>'THE BOARD'!#REF!</f>
        <v>#REF!</v>
      </c>
      <c r="K138" s="68" t="e">
        <f>'THE BOARD'!#REF!</f>
        <v>#REF!</v>
      </c>
    </row>
    <row r="139" spans="1:11" ht="12.75" x14ac:dyDescent="0.2">
      <c r="A139" s="68" t="e">
        <f>'THE BOARD'!#REF!</f>
        <v>#REF!</v>
      </c>
      <c r="B139" s="68" t="e">
        <f>'THE BOARD'!#REF!</f>
        <v>#REF!</v>
      </c>
      <c r="C139" s="99" t="e">
        <f>IF('THE BOARD'!#REF! = "NESTED","",IF('THE BOARD'!#REF!&lt;&gt;"",'THE BOARD'!#REF!+0.72,""))</f>
        <v>#REF!</v>
      </c>
      <c r="D139" s="99" t="e">
        <f>IF(C139&lt;&gt;"", IF('THE BOARD'!#REF! = "NESTED","",'THE BOARD'!#REF! + IF(C139&lt;&gt;"", 0.72,0)),"")</f>
        <v>#REF!</v>
      </c>
      <c r="E139" s="68" t="e">
        <f>'THE BOARD'!#REF!</f>
        <v>#REF!</v>
      </c>
      <c r="F139" s="68" t="e">
        <f>'THE BOARD'!#REF!</f>
        <v>#REF!</v>
      </c>
      <c r="G139" s="68" t="e">
        <f>'THE BOARD'!#REF!</f>
        <v>#REF!</v>
      </c>
      <c r="H139" s="68" t="e">
        <f>'THE BOARD'!#REF!</f>
        <v>#REF!</v>
      </c>
      <c r="I139" s="68" t="e">
        <f>'THE BOARD'!#REF!</f>
        <v>#REF!</v>
      </c>
      <c r="J139" s="68" t="e">
        <f>'THE BOARD'!#REF!</f>
        <v>#REF!</v>
      </c>
      <c r="K139" s="68" t="e">
        <f>'THE BOARD'!#REF!</f>
        <v>#REF!</v>
      </c>
    </row>
    <row r="140" spans="1:11" ht="12.75" x14ac:dyDescent="0.2">
      <c r="A140" s="68" t="e">
        <f>'THE BOARD'!#REF!</f>
        <v>#REF!</v>
      </c>
      <c r="B140" s="68" t="e">
        <f>'THE BOARD'!#REF!</f>
        <v>#REF!</v>
      </c>
      <c r="C140" s="99" t="e">
        <f>IF('THE BOARD'!#REF! = "NESTED","",IF('THE BOARD'!#REF!&lt;&gt;"",'THE BOARD'!#REF!+0.72,""))</f>
        <v>#REF!</v>
      </c>
      <c r="D140" s="99" t="e">
        <f>IF(C140&lt;&gt;"", IF('THE BOARD'!#REF! = "NESTED","",'THE BOARD'!#REF! + IF(C140&lt;&gt;"", 0.72,0)),"")</f>
        <v>#REF!</v>
      </c>
      <c r="E140" s="68" t="e">
        <f>'THE BOARD'!#REF!</f>
        <v>#REF!</v>
      </c>
      <c r="F140" s="68" t="e">
        <f>'THE BOARD'!#REF!</f>
        <v>#REF!</v>
      </c>
      <c r="G140" s="68" t="e">
        <f>'THE BOARD'!#REF!</f>
        <v>#REF!</v>
      </c>
      <c r="H140" s="68" t="e">
        <f>'THE BOARD'!#REF!</f>
        <v>#REF!</v>
      </c>
      <c r="I140" s="68" t="e">
        <f>'THE BOARD'!#REF!</f>
        <v>#REF!</v>
      </c>
      <c r="J140" s="68" t="e">
        <f>'THE BOARD'!#REF!</f>
        <v>#REF!</v>
      </c>
      <c r="K140" s="68" t="e">
        <f>'THE BOARD'!#REF!</f>
        <v>#REF!</v>
      </c>
    </row>
    <row r="141" spans="1:11" ht="12.75" x14ac:dyDescent="0.2">
      <c r="A141" s="68" t="e">
        <f>'THE BOARD'!#REF!</f>
        <v>#REF!</v>
      </c>
      <c r="B141" s="68" t="e">
        <f>'THE BOARD'!#REF!</f>
        <v>#REF!</v>
      </c>
      <c r="C141" s="99" t="e">
        <f>IF('THE BOARD'!#REF! = "NESTED","",IF('THE BOARD'!#REF!&lt;&gt;"",'THE BOARD'!#REF!+0.72,""))</f>
        <v>#REF!</v>
      </c>
      <c r="D141" s="99" t="e">
        <f>IF(C141&lt;&gt;"", IF('THE BOARD'!#REF! = "NESTED","",'THE BOARD'!#REF! + IF(C141&lt;&gt;"", 0.72,0)),"")</f>
        <v>#REF!</v>
      </c>
      <c r="E141" s="68" t="e">
        <f>'THE BOARD'!#REF!</f>
        <v>#REF!</v>
      </c>
      <c r="F141" s="68" t="e">
        <f>'THE BOARD'!#REF!</f>
        <v>#REF!</v>
      </c>
      <c r="G141" s="68" t="e">
        <f>'THE BOARD'!#REF!</f>
        <v>#REF!</v>
      </c>
      <c r="H141" s="68" t="e">
        <f>'THE BOARD'!#REF!</f>
        <v>#REF!</v>
      </c>
      <c r="I141" s="68" t="e">
        <f>'THE BOARD'!#REF!</f>
        <v>#REF!</v>
      </c>
      <c r="J141" s="68" t="e">
        <f>'THE BOARD'!#REF!</f>
        <v>#REF!</v>
      </c>
      <c r="K141" s="68" t="e">
        <f>'THE BOARD'!#REF!</f>
        <v>#REF!</v>
      </c>
    </row>
    <row r="142" spans="1:11" ht="12.75" x14ac:dyDescent="0.2">
      <c r="A142" s="68" t="e">
        <f>'THE BOARD'!#REF!</f>
        <v>#REF!</v>
      </c>
      <c r="B142" s="68" t="e">
        <f>'THE BOARD'!#REF!</f>
        <v>#REF!</v>
      </c>
      <c r="C142" s="99" t="e">
        <f>IF('THE BOARD'!#REF! = "NESTED","",IF('THE BOARD'!#REF!&lt;&gt;"",'THE BOARD'!#REF!+0.72,""))</f>
        <v>#REF!</v>
      </c>
      <c r="D142" s="99" t="e">
        <f>IF(C142&lt;&gt;"", IF('THE BOARD'!#REF! = "NESTED","",'THE BOARD'!#REF! + IF(C142&lt;&gt;"", 0.72,0)),"")</f>
        <v>#REF!</v>
      </c>
      <c r="E142" s="68" t="e">
        <f>'THE BOARD'!#REF!</f>
        <v>#REF!</v>
      </c>
      <c r="F142" s="68" t="e">
        <f>'THE BOARD'!#REF!</f>
        <v>#REF!</v>
      </c>
      <c r="G142" s="68" t="e">
        <f>'THE BOARD'!#REF!</f>
        <v>#REF!</v>
      </c>
      <c r="H142" s="68" t="e">
        <f>'THE BOARD'!#REF!</f>
        <v>#REF!</v>
      </c>
      <c r="I142" s="68" t="e">
        <f>'THE BOARD'!#REF!</f>
        <v>#REF!</v>
      </c>
      <c r="J142" s="68" t="e">
        <f>'THE BOARD'!#REF!</f>
        <v>#REF!</v>
      </c>
      <c r="K142" s="68" t="e">
        <f>'THE BOARD'!#REF!</f>
        <v>#REF!</v>
      </c>
    </row>
    <row r="143" spans="1:11" ht="12.75" x14ac:dyDescent="0.2">
      <c r="A143" s="68" t="e">
        <f>'THE BOARD'!#REF!</f>
        <v>#REF!</v>
      </c>
      <c r="B143" s="68" t="e">
        <f>'THE BOARD'!#REF!</f>
        <v>#REF!</v>
      </c>
      <c r="C143" s="99" t="e">
        <f>IF('THE BOARD'!#REF! = "NESTED","",IF('THE BOARD'!#REF!&lt;&gt;"",'THE BOARD'!#REF!+0.72,""))</f>
        <v>#REF!</v>
      </c>
      <c r="D143" s="99" t="e">
        <f>IF(C143&lt;&gt;"", IF('THE BOARD'!#REF! = "NESTED","",'THE BOARD'!#REF! + IF(C143&lt;&gt;"", 0.72,0)),"")</f>
        <v>#REF!</v>
      </c>
      <c r="E143" s="68" t="e">
        <f>'THE BOARD'!#REF!</f>
        <v>#REF!</v>
      </c>
      <c r="F143" s="68" t="e">
        <f>'THE BOARD'!#REF!</f>
        <v>#REF!</v>
      </c>
      <c r="G143" s="68" t="e">
        <f>'THE BOARD'!#REF!</f>
        <v>#REF!</v>
      </c>
      <c r="H143" s="68" t="e">
        <f>'THE BOARD'!#REF!</f>
        <v>#REF!</v>
      </c>
      <c r="I143" s="68" t="e">
        <f>'THE BOARD'!#REF!</f>
        <v>#REF!</v>
      </c>
      <c r="J143" s="68" t="e">
        <f>'THE BOARD'!#REF!</f>
        <v>#REF!</v>
      </c>
      <c r="K143" s="68" t="e">
        <f>'THE BOARD'!#REF!</f>
        <v>#REF!</v>
      </c>
    </row>
    <row r="144" spans="1:11" ht="12.75" x14ac:dyDescent="0.2">
      <c r="A144" s="68" t="e">
        <f>'THE BOARD'!#REF!</f>
        <v>#REF!</v>
      </c>
      <c r="B144" s="68" t="e">
        <f>'THE BOARD'!#REF!</f>
        <v>#REF!</v>
      </c>
      <c r="C144" s="99" t="e">
        <f>IF('THE BOARD'!#REF! = "NESTED","",IF('THE BOARD'!#REF!&lt;&gt;"",'THE BOARD'!#REF!+0.72,""))</f>
        <v>#REF!</v>
      </c>
      <c r="D144" s="99" t="e">
        <f>IF(C144&lt;&gt;"", IF('THE BOARD'!#REF! = "NESTED","",'THE BOARD'!#REF! + IF(C144&lt;&gt;"", 0.72,0)),"")</f>
        <v>#REF!</v>
      </c>
      <c r="E144" s="68" t="e">
        <f>'THE BOARD'!#REF!</f>
        <v>#REF!</v>
      </c>
      <c r="F144" s="68" t="e">
        <f>'THE BOARD'!#REF!</f>
        <v>#REF!</v>
      </c>
      <c r="G144" s="68" t="e">
        <f>'THE BOARD'!#REF!</f>
        <v>#REF!</v>
      </c>
      <c r="H144" s="68" t="e">
        <f>'THE BOARD'!#REF!</f>
        <v>#REF!</v>
      </c>
      <c r="I144" s="68" t="e">
        <f>'THE BOARD'!#REF!</f>
        <v>#REF!</v>
      </c>
      <c r="J144" s="68" t="e">
        <f>'THE BOARD'!#REF!</f>
        <v>#REF!</v>
      </c>
      <c r="K144" s="68" t="e">
        <f>'THE BOARD'!#REF!</f>
        <v>#REF!</v>
      </c>
    </row>
    <row r="145" spans="1:11" ht="12.75" x14ac:dyDescent="0.2">
      <c r="A145" s="68" t="e">
        <f>'THE BOARD'!#REF!</f>
        <v>#REF!</v>
      </c>
      <c r="B145" s="68" t="e">
        <f>'THE BOARD'!#REF!</f>
        <v>#REF!</v>
      </c>
      <c r="C145" s="99" t="e">
        <f>IF('THE BOARD'!#REF! = "NESTED","",IF('THE BOARD'!#REF!&lt;&gt;"",'THE BOARD'!#REF!+0.72,""))</f>
        <v>#REF!</v>
      </c>
      <c r="D145" s="99" t="e">
        <f>IF(C145&lt;&gt;"", IF('THE BOARD'!#REF! = "NESTED","",'THE BOARD'!#REF! + IF(C145&lt;&gt;"", 0.72,0)),"")</f>
        <v>#REF!</v>
      </c>
      <c r="E145" s="68" t="e">
        <f>'THE BOARD'!#REF!</f>
        <v>#REF!</v>
      </c>
      <c r="F145" s="68" t="e">
        <f>'THE BOARD'!#REF!</f>
        <v>#REF!</v>
      </c>
      <c r="G145" s="68" t="e">
        <f>'THE BOARD'!#REF!</f>
        <v>#REF!</v>
      </c>
      <c r="H145" s="68" t="e">
        <f>'THE BOARD'!#REF!</f>
        <v>#REF!</v>
      </c>
      <c r="I145" s="68" t="e">
        <f>'THE BOARD'!#REF!</f>
        <v>#REF!</v>
      </c>
      <c r="J145" s="68" t="e">
        <f>'THE BOARD'!#REF!</f>
        <v>#REF!</v>
      </c>
      <c r="K145" s="68" t="e">
        <f>'THE BOARD'!#REF!</f>
        <v>#REF!</v>
      </c>
    </row>
    <row r="146" spans="1:11" ht="12.75" x14ac:dyDescent="0.2">
      <c r="A146" s="68" t="e">
        <f>'THE BOARD'!#REF!</f>
        <v>#REF!</v>
      </c>
      <c r="B146" s="68" t="e">
        <f>'THE BOARD'!#REF!</f>
        <v>#REF!</v>
      </c>
      <c r="C146" s="99" t="e">
        <f>IF('THE BOARD'!#REF! = "NESTED","",IF('THE BOARD'!#REF!&lt;&gt;"",'THE BOARD'!#REF!+0.72,""))</f>
        <v>#REF!</v>
      </c>
      <c r="D146" s="99" t="e">
        <f>IF(C146&lt;&gt;"", IF('THE BOARD'!#REF! = "NESTED","",'THE BOARD'!#REF! + IF(C146&lt;&gt;"", 0.72,0)),"")</f>
        <v>#REF!</v>
      </c>
      <c r="E146" s="68" t="e">
        <f>'THE BOARD'!#REF!</f>
        <v>#REF!</v>
      </c>
      <c r="F146" s="68" t="e">
        <f>'THE BOARD'!#REF!</f>
        <v>#REF!</v>
      </c>
      <c r="G146" s="68" t="e">
        <f>'THE BOARD'!#REF!</f>
        <v>#REF!</v>
      </c>
      <c r="H146" s="68" t="e">
        <f>'THE BOARD'!#REF!</f>
        <v>#REF!</v>
      </c>
      <c r="I146" s="68" t="e">
        <f>'THE BOARD'!#REF!</f>
        <v>#REF!</v>
      </c>
      <c r="J146" s="68" t="e">
        <f>'THE BOARD'!#REF!</f>
        <v>#REF!</v>
      </c>
      <c r="K146" s="68" t="e">
        <f>'THE BOARD'!#REF!</f>
        <v>#REF!</v>
      </c>
    </row>
    <row r="147" spans="1:11" ht="12.75" x14ac:dyDescent="0.2">
      <c r="A147" s="68" t="e">
        <f>'THE BOARD'!#REF!</f>
        <v>#REF!</v>
      </c>
      <c r="B147" s="68" t="e">
        <f>'THE BOARD'!#REF!</f>
        <v>#REF!</v>
      </c>
      <c r="C147" s="99" t="e">
        <f>IF('THE BOARD'!#REF! = "NESTED","",IF('THE BOARD'!#REF!&lt;&gt;"",'THE BOARD'!#REF!+0.72,""))</f>
        <v>#REF!</v>
      </c>
      <c r="D147" s="99" t="e">
        <f>IF(C147&lt;&gt;"", IF('THE BOARD'!#REF! = "NESTED","",'THE BOARD'!#REF! + IF(C147&lt;&gt;"", 0.72,0)),"")</f>
        <v>#REF!</v>
      </c>
      <c r="E147" s="68" t="e">
        <f>'THE BOARD'!#REF!</f>
        <v>#REF!</v>
      </c>
      <c r="F147" s="68" t="e">
        <f>'THE BOARD'!#REF!</f>
        <v>#REF!</v>
      </c>
      <c r="G147" s="68" t="e">
        <f>'THE BOARD'!#REF!</f>
        <v>#REF!</v>
      </c>
      <c r="H147" s="68" t="e">
        <f>'THE BOARD'!#REF!</f>
        <v>#REF!</v>
      </c>
      <c r="I147" s="68" t="e">
        <f>'THE BOARD'!#REF!</f>
        <v>#REF!</v>
      </c>
      <c r="J147" s="68" t="e">
        <f>'THE BOARD'!#REF!</f>
        <v>#REF!</v>
      </c>
      <c r="K147" s="68" t="e">
        <f>'THE BOARD'!#REF!</f>
        <v>#REF!</v>
      </c>
    </row>
    <row r="148" spans="1:11" ht="12.75" x14ac:dyDescent="0.2">
      <c r="A148" s="68" t="e">
        <f>'THE BOARD'!#REF!</f>
        <v>#REF!</v>
      </c>
      <c r="B148" s="68" t="e">
        <f>'THE BOARD'!#REF!</f>
        <v>#REF!</v>
      </c>
      <c r="C148" s="99" t="e">
        <f>IF('THE BOARD'!#REF! = "NESTED","",IF('THE BOARD'!#REF!&lt;&gt;"",'THE BOARD'!#REF!+0.72,""))</f>
        <v>#REF!</v>
      </c>
      <c r="D148" s="99" t="e">
        <f>IF(C148&lt;&gt;"", IF('THE BOARD'!#REF! = "NESTED","",'THE BOARD'!#REF! + IF(C148&lt;&gt;"", 0.72,0)),"")</f>
        <v>#REF!</v>
      </c>
      <c r="E148" s="68" t="e">
        <f>'THE BOARD'!#REF!</f>
        <v>#REF!</v>
      </c>
      <c r="F148" s="68" t="e">
        <f>'THE BOARD'!#REF!</f>
        <v>#REF!</v>
      </c>
      <c r="G148" s="68" t="e">
        <f>'THE BOARD'!#REF!</f>
        <v>#REF!</v>
      </c>
      <c r="H148" s="68" t="e">
        <f>'THE BOARD'!#REF!</f>
        <v>#REF!</v>
      </c>
      <c r="I148" s="68" t="e">
        <f>'THE BOARD'!#REF!</f>
        <v>#REF!</v>
      </c>
      <c r="J148" s="68" t="e">
        <f>'THE BOARD'!#REF!</f>
        <v>#REF!</v>
      </c>
      <c r="K148" s="68" t="e">
        <f>'THE BOARD'!#REF!</f>
        <v>#REF!</v>
      </c>
    </row>
    <row r="149" spans="1:11" ht="12.75" x14ac:dyDescent="0.2">
      <c r="A149" s="68" t="e">
        <f>'THE BOARD'!#REF!</f>
        <v>#REF!</v>
      </c>
      <c r="B149" s="68" t="e">
        <f>'THE BOARD'!#REF!</f>
        <v>#REF!</v>
      </c>
      <c r="C149" s="99" t="e">
        <f>IF('THE BOARD'!#REF! = "NESTED","",IF('THE BOARD'!#REF!&lt;&gt;"",'THE BOARD'!#REF!+0.72,""))</f>
        <v>#REF!</v>
      </c>
      <c r="D149" s="99" t="e">
        <f>IF(C149&lt;&gt;"", IF('THE BOARD'!#REF! = "NESTED","",'THE BOARD'!#REF! + IF(C149&lt;&gt;"", 0.72,0)),"")</f>
        <v>#REF!</v>
      </c>
      <c r="E149" s="68" t="e">
        <f>'THE BOARD'!#REF!</f>
        <v>#REF!</v>
      </c>
      <c r="F149" s="68" t="e">
        <f>'THE BOARD'!#REF!</f>
        <v>#REF!</v>
      </c>
      <c r="G149" s="68" t="e">
        <f>'THE BOARD'!#REF!</f>
        <v>#REF!</v>
      </c>
      <c r="H149" s="68" t="e">
        <f>'THE BOARD'!#REF!</f>
        <v>#REF!</v>
      </c>
      <c r="I149" s="68" t="e">
        <f>'THE BOARD'!#REF!</f>
        <v>#REF!</v>
      </c>
      <c r="J149" s="68" t="e">
        <f>'THE BOARD'!#REF!</f>
        <v>#REF!</v>
      </c>
      <c r="K149" s="68" t="e">
        <f>'THE BOARD'!#REF!</f>
        <v>#REF!</v>
      </c>
    </row>
    <row r="150" spans="1:11" ht="12.75" x14ac:dyDescent="0.2">
      <c r="A150" s="68" t="e">
        <f>'THE BOARD'!#REF!</f>
        <v>#REF!</v>
      </c>
      <c r="B150" s="68" t="e">
        <f>'THE BOARD'!#REF!</f>
        <v>#REF!</v>
      </c>
      <c r="C150" s="99" t="e">
        <f>IF('THE BOARD'!#REF! = "NESTED","",IF('THE BOARD'!#REF!&lt;&gt;"",'THE BOARD'!#REF!+0.72,""))</f>
        <v>#REF!</v>
      </c>
      <c r="D150" s="99" t="e">
        <f>IF(C150&lt;&gt;"", IF('THE BOARD'!#REF! = "NESTED","",'THE BOARD'!#REF! + IF(C150&lt;&gt;"", 0.72,0)),"")</f>
        <v>#REF!</v>
      </c>
      <c r="E150" s="68" t="e">
        <f>'THE BOARD'!#REF!</f>
        <v>#REF!</v>
      </c>
      <c r="F150" s="68" t="e">
        <f>'THE BOARD'!#REF!</f>
        <v>#REF!</v>
      </c>
      <c r="G150" s="68" t="e">
        <f>'THE BOARD'!#REF!</f>
        <v>#REF!</v>
      </c>
      <c r="H150" s="68" t="e">
        <f>'THE BOARD'!#REF!</f>
        <v>#REF!</v>
      </c>
      <c r="I150" s="68" t="e">
        <f>'THE BOARD'!#REF!</f>
        <v>#REF!</v>
      </c>
      <c r="J150" s="68" t="e">
        <f>'THE BOARD'!#REF!</f>
        <v>#REF!</v>
      </c>
      <c r="K150" s="68" t="e">
        <f>'THE BOARD'!#REF!</f>
        <v>#REF!</v>
      </c>
    </row>
    <row r="151" spans="1:11" ht="12.75" x14ac:dyDescent="0.2">
      <c r="A151" s="68" t="e">
        <f>'THE BOARD'!#REF!</f>
        <v>#REF!</v>
      </c>
      <c r="B151" s="68" t="e">
        <f>'THE BOARD'!#REF!</f>
        <v>#REF!</v>
      </c>
      <c r="C151" s="99" t="e">
        <f>IF('THE BOARD'!#REF! = "NESTED","",IF('THE BOARD'!#REF!&lt;&gt;"",'THE BOARD'!#REF!+0.72,""))</f>
        <v>#REF!</v>
      </c>
      <c r="D151" s="99" t="e">
        <f>IF(C151&lt;&gt;"", IF('THE BOARD'!#REF! = "NESTED","",'THE BOARD'!#REF! + IF(C151&lt;&gt;"", 0.72,0)),"")</f>
        <v>#REF!</v>
      </c>
      <c r="E151" s="68" t="e">
        <f>'THE BOARD'!#REF!</f>
        <v>#REF!</v>
      </c>
      <c r="F151" s="68" t="e">
        <f>'THE BOARD'!#REF!</f>
        <v>#REF!</v>
      </c>
      <c r="G151" s="68" t="e">
        <f>'THE BOARD'!#REF!</f>
        <v>#REF!</v>
      </c>
      <c r="H151" s="68" t="e">
        <f>'THE BOARD'!#REF!</f>
        <v>#REF!</v>
      </c>
      <c r="I151" s="68" t="e">
        <f>'THE BOARD'!#REF!</f>
        <v>#REF!</v>
      </c>
      <c r="J151" s="68" t="e">
        <f>'THE BOARD'!#REF!</f>
        <v>#REF!</v>
      </c>
      <c r="K151" s="68" t="e">
        <f>'THE BOARD'!#REF!</f>
        <v>#REF!</v>
      </c>
    </row>
    <row r="152" spans="1:11" ht="12.75" x14ac:dyDescent="0.2">
      <c r="A152" s="68" t="e">
        <f>'THE BOARD'!#REF!</f>
        <v>#REF!</v>
      </c>
      <c r="B152" s="68" t="e">
        <f>'THE BOARD'!#REF!</f>
        <v>#REF!</v>
      </c>
      <c r="C152" s="99" t="e">
        <f>IF('THE BOARD'!#REF! = "NESTED","",IF('THE BOARD'!#REF!&lt;&gt;"",'THE BOARD'!#REF!+0.72,""))</f>
        <v>#REF!</v>
      </c>
      <c r="D152" s="99" t="e">
        <f>IF(C152&lt;&gt;"", IF('THE BOARD'!#REF! = "NESTED","",'THE BOARD'!#REF! + IF(C152&lt;&gt;"", 0.72,0)),"")</f>
        <v>#REF!</v>
      </c>
      <c r="E152" s="68" t="e">
        <f>'THE BOARD'!#REF!</f>
        <v>#REF!</v>
      </c>
      <c r="F152" s="68" t="e">
        <f>'THE BOARD'!#REF!</f>
        <v>#REF!</v>
      </c>
      <c r="G152" s="68" t="e">
        <f>'THE BOARD'!#REF!</f>
        <v>#REF!</v>
      </c>
      <c r="H152" s="68" t="e">
        <f>'THE BOARD'!#REF!</f>
        <v>#REF!</v>
      </c>
      <c r="I152" s="68" t="e">
        <f>'THE BOARD'!#REF!</f>
        <v>#REF!</v>
      </c>
      <c r="J152" s="68" t="e">
        <f>'THE BOARD'!#REF!</f>
        <v>#REF!</v>
      </c>
      <c r="K152" s="68" t="e">
        <f>'THE BOARD'!#REF!</f>
        <v>#REF!</v>
      </c>
    </row>
    <row r="153" spans="1:11" ht="12.75" x14ac:dyDescent="0.2">
      <c r="A153" s="68" t="e">
        <f>'THE BOARD'!#REF!</f>
        <v>#REF!</v>
      </c>
      <c r="B153" s="68" t="e">
        <f>'THE BOARD'!#REF!</f>
        <v>#REF!</v>
      </c>
      <c r="C153" s="99" t="e">
        <f>IF('THE BOARD'!#REF! = "NESTED","",IF('THE BOARD'!#REF!&lt;&gt;"",'THE BOARD'!#REF!+0.72,""))</f>
        <v>#REF!</v>
      </c>
      <c r="D153" s="99" t="e">
        <f>IF(C153&lt;&gt;"", IF('THE BOARD'!#REF! = "NESTED","",'THE BOARD'!#REF! + IF(C153&lt;&gt;"", 0.72,0)),"")</f>
        <v>#REF!</v>
      </c>
      <c r="E153" s="68" t="e">
        <f>'THE BOARD'!#REF!</f>
        <v>#REF!</v>
      </c>
      <c r="F153" s="68" t="e">
        <f>'THE BOARD'!#REF!</f>
        <v>#REF!</v>
      </c>
      <c r="G153" s="68" t="e">
        <f>'THE BOARD'!#REF!</f>
        <v>#REF!</v>
      </c>
      <c r="H153" s="68" t="e">
        <f>'THE BOARD'!#REF!</f>
        <v>#REF!</v>
      </c>
      <c r="I153" s="68" t="e">
        <f>'THE BOARD'!#REF!</f>
        <v>#REF!</v>
      </c>
      <c r="J153" s="68" t="e">
        <f>'THE BOARD'!#REF!</f>
        <v>#REF!</v>
      </c>
      <c r="K153" s="68" t="e">
        <f>'THE BOARD'!#REF!</f>
        <v>#REF!</v>
      </c>
    </row>
    <row r="154" spans="1:11" ht="12.75" x14ac:dyDescent="0.2">
      <c r="A154" s="68" t="e">
        <f>'THE BOARD'!#REF!</f>
        <v>#REF!</v>
      </c>
      <c r="B154" s="68" t="e">
        <f>'THE BOARD'!#REF!</f>
        <v>#REF!</v>
      </c>
      <c r="C154" s="99" t="e">
        <f>IF('THE BOARD'!#REF! = "NESTED","",IF('THE BOARD'!#REF!&lt;&gt;"",'THE BOARD'!#REF!+0.72,""))</f>
        <v>#REF!</v>
      </c>
      <c r="D154" s="99" t="e">
        <f>IF(C154&lt;&gt;"", IF('THE BOARD'!#REF! = "NESTED","",'THE BOARD'!#REF! + IF(C154&lt;&gt;"", 0.72,0)),"")</f>
        <v>#REF!</v>
      </c>
      <c r="E154" s="68" t="e">
        <f>'THE BOARD'!#REF!</f>
        <v>#REF!</v>
      </c>
      <c r="F154" s="68" t="e">
        <f>'THE BOARD'!#REF!</f>
        <v>#REF!</v>
      </c>
      <c r="G154" s="68" t="e">
        <f>'THE BOARD'!#REF!</f>
        <v>#REF!</v>
      </c>
      <c r="H154" s="68" t="e">
        <f>'THE BOARD'!#REF!</f>
        <v>#REF!</v>
      </c>
      <c r="I154" s="68" t="e">
        <f>'THE BOARD'!#REF!</f>
        <v>#REF!</v>
      </c>
      <c r="J154" s="68" t="e">
        <f>'THE BOARD'!#REF!</f>
        <v>#REF!</v>
      </c>
      <c r="K154" s="68" t="e">
        <f>'THE BOARD'!#REF!</f>
        <v>#REF!</v>
      </c>
    </row>
    <row r="155" spans="1:11" ht="12.75" x14ac:dyDescent="0.2">
      <c r="A155" s="68" t="e">
        <f>'THE BOARD'!#REF!</f>
        <v>#REF!</v>
      </c>
      <c r="B155" s="68" t="e">
        <f>'THE BOARD'!#REF!</f>
        <v>#REF!</v>
      </c>
      <c r="C155" s="99" t="e">
        <f>IF('THE BOARD'!#REF! = "NESTED","",IF('THE BOARD'!#REF!&lt;&gt;"",'THE BOARD'!#REF!+0.72,""))</f>
        <v>#REF!</v>
      </c>
      <c r="D155" s="99" t="e">
        <f>IF(C155&lt;&gt;"", IF('THE BOARD'!#REF! = "NESTED","",'THE BOARD'!#REF! + IF(C155&lt;&gt;"", 0.72,0)),"")</f>
        <v>#REF!</v>
      </c>
      <c r="E155" s="68" t="e">
        <f>'THE BOARD'!#REF!</f>
        <v>#REF!</v>
      </c>
      <c r="F155" s="68" t="e">
        <f>'THE BOARD'!#REF!</f>
        <v>#REF!</v>
      </c>
      <c r="G155" s="68" t="e">
        <f>'THE BOARD'!#REF!</f>
        <v>#REF!</v>
      </c>
      <c r="H155" s="68" t="e">
        <f>'THE BOARD'!#REF!</f>
        <v>#REF!</v>
      </c>
      <c r="I155" s="68" t="e">
        <f>'THE BOARD'!#REF!</f>
        <v>#REF!</v>
      </c>
      <c r="J155" s="68" t="e">
        <f>'THE BOARD'!#REF!</f>
        <v>#REF!</v>
      </c>
      <c r="K155" s="68" t="e">
        <f>'THE BOARD'!#REF!</f>
        <v>#REF!</v>
      </c>
    </row>
    <row r="156" spans="1:11" ht="12.75" x14ac:dyDescent="0.2">
      <c r="A156" s="68" t="e">
        <f t="shared" ref="A156:B156" si="2">#REF!</f>
        <v>#REF!</v>
      </c>
      <c r="B156" s="68" t="e">
        <f t="shared" si="2"/>
        <v>#REF!</v>
      </c>
      <c r="C156" s="99" t="e">
        <f>IF(#REF! = "NESTED","",IF(#REF!&lt;&gt;"",#REF!+0.72,""))</f>
        <v>#REF!</v>
      </c>
      <c r="D156" s="99" t="e">
        <f>IF(C156&lt;&gt;"", IF(#REF! = "NESTED","",#REF! + IF(C156&lt;&gt;"", 0.72,0)),"")</f>
        <v>#REF!</v>
      </c>
      <c r="E156" s="68" t="e">
        <f t="shared" ref="E156:K156" si="3">#REF!</f>
        <v>#REF!</v>
      </c>
      <c r="F156" s="68" t="e">
        <f t="shared" si="3"/>
        <v>#REF!</v>
      </c>
      <c r="G156" s="68" t="e">
        <f t="shared" si="3"/>
        <v>#REF!</v>
      </c>
      <c r="H156" s="68" t="e">
        <f t="shared" si="3"/>
        <v>#REF!</v>
      </c>
      <c r="I156" s="68" t="e">
        <f t="shared" si="3"/>
        <v>#REF!</v>
      </c>
      <c r="J156" s="68" t="e">
        <f t="shared" si="3"/>
        <v>#REF!</v>
      </c>
      <c r="K156" s="68" t="e">
        <f t="shared" si="3"/>
        <v>#REF!</v>
      </c>
    </row>
    <row r="157" spans="1:11" ht="12.75" x14ac:dyDescent="0.2">
      <c r="A157" s="68" t="e">
        <f>'THE BOARD'!#REF!</f>
        <v>#REF!</v>
      </c>
      <c r="B157" s="68" t="e">
        <f>'THE BOARD'!#REF!</f>
        <v>#REF!</v>
      </c>
      <c r="C157" s="99" t="e">
        <f>IF('THE BOARD'!#REF! = "NESTED","",IF('THE BOARD'!#REF!&lt;&gt;"",'THE BOARD'!#REF!+0.72,""))</f>
        <v>#REF!</v>
      </c>
      <c r="D157" s="99" t="e">
        <f>IF(C157&lt;&gt;"", IF('THE BOARD'!#REF! = "NESTED","",'THE BOARD'!#REF! + IF(C157&lt;&gt;"", 0.72,0)),"")</f>
        <v>#REF!</v>
      </c>
      <c r="E157" s="68" t="e">
        <f>'THE BOARD'!#REF!</f>
        <v>#REF!</v>
      </c>
      <c r="F157" s="68" t="e">
        <f>'THE BOARD'!#REF!</f>
        <v>#REF!</v>
      </c>
      <c r="G157" s="68" t="e">
        <f>'THE BOARD'!#REF!</f>
        <v>#REF!</v>
      </c>
      <c r="H157" s="68" t="e">
        <f>'THE BOARD'!#REF!</f>
        <v>#REF!</v>
      </c>
      <c r="I157" s="68" t="e">
        <f>'THE BOARD'!#REF!</f>
        <v>#REF!</v>
      </c>
      <c r="J157" s="68" t="e">
        <f>'THE BOARD'!#REF!</f>
        <v>#REF!</v>
      </c>
      <c r="K157" s="68" t="e">
        <f>'THE BOARD'!#REF!</f>
        <v>#REF!</v>
      </c>
    </row>
    <row r="158" spans="1:11" ht="12.75" x14ac:dyDescent="0.2">
      <c r="A158" s="68" t="e">
        <f>'THE BOARD'!#REF!</f>
        <v>#REF!</v>
      </c>
      <c r="B158" s="68" t="e">
        <f>'THE BOARD'!#REF!</f>
        <v>#REF!</v>
      </c>
      <c r="C158" s="99" t="e">
        <f>IF('THE BOARD'!#REF! = "NESTED","",IF('THE BOARD'!#REF!&lt;&gt;"",'THE BOARD'!#REF!+0.72,""))</f>
        <v>#REF!</v>
      </c>
      <c r="D158" s="99" t="e">
        <f>IF(C158&lt;&gt;"", IF('THE BOARD'!#REF! = "NESTED","",'THE BOARD'!#REF! + IF(C158&lt;&gt;"", 0.72,0)),"")</f>
        <v>#REF!</v>
      </c>
      <c r="E158" s="68" t="e">
        <f>'THE BOARD'!#REF!</f>
        <v>#REF!</v>
      </c>
      <c r="F158" s="68" t="e">
        <f>'THE BOARD'!#REF!</f>
        <v>#REF!</v>
      </c>
      <c r="G158" s="68" t="e">
        <f>'THE BOARD'!#REF!</f>
        <v>#REF!</v>
      </c>
      <c r="H158" s="68" t="e">
        <f>'THE BOARD'!#REF!</f>
        <v>#REF!</v>
      </c>
      <c r="I158" s="68" t="e">
        <f>'THE BOARD'!#REF!</f>
        <v>#REF!</v>
      </c>
      <c r="J158" s="68" t="e">
        <f>'THE BOARD'!#REF!</f>
        <v>#REF!</v>
      </c>
      <c r="K158" s="68" t="e">
        <f>'THE BOARD'!#REF!</f>
        <v>#REF!</v>
      </c>
    </row>
    <row r="159" spans="1:11" ht="12.75" x14ac:dyDescent="0.2">
      <c r="A159" s="68" t="e">
        <f>'THE BOARD'!#REF!</f>
        <v>#REF!</v>
      </c>
      <c r="B159" s="68" t="e">
        <f>'THE BOARD'!#REF!</f>
        <v>#REF!</v>
      </c>
      <c r="C159" s="99" t="e">
        <f>IF('THE BOARD'!#REF! = "NESTED","",IF('THE BOARD'!#REF!&lt;&gt;"",'THE BOARD'!#REF!+0.72,""))</f>
        <v>#REF!</v>
      </c>
      <c r="D159" s="99" t="e">
        <f>IF(C159&lt;&gt;"", IF('THE BOARD'!#REF! = "NESTED","",'THE BOARD'!#REF! + IF(C159&lt;&gt;"", 0.72,0)),"")</f>
        <v>#REF!</v>
      </c>
      <c r="E159" s="68" t="e">
        <f>'THE BOARD'!#REF!</f>
        <v>#REF!</v>
      </c>
      <c r="F159" s="68" t="e">
        <f>'THE BOARD'!#REF!</f>
        <v>#REF!</v>
      </c>
      <c r="G159" s="68" t="e">
        <f>'THE BOARD'!#REF!</f>
        <v>#REF!</v>
      </c>
      <c r="H159" s="68" t="e">
        <f>'THE BOARD'!#REF!</f>
        <v>#REF!</v>
      </c>
      <c r="I159" s="68" t="e">
        <f>'THE BOARD'!#REF!</f>
        <v>#REF!</v>
      </c>
      <c r="J159" s="68" t="e">
        <f>'THE BOARD'!#REF!</f>
        <v>#REF!</v>
      </c>
      <c r="K159" s="68" t="e">
        <f>'THE BOARD'!#REF!</f>
        <v>#REF!</v>
      </c>
    </row>
    <row r="160" spans="1:11" ht="12.75" x14ac:dyDescent="0.2">
      <c r="A160" s="68" t="e">
        <f>'THE BOARD'!#REF!</f>
        <v>#REF!</v>
      </c>
      <c r="B160" s="68" t="e">
        <f>'THE BOARD'!#REF!</f>
        <v>#REF!</v>
      </c>
      <c r="C160" s="99" t="e">
        <f>IF('THE BOARD'!#REF! = "NESTED","",IF('THE BOARD'!#REF!&lt;&gt;"",'THE BOARD'!#REF!+0.72,""))</f>
        <v>#REF!</v>
      </c>
      <c r="D160" s="99" t="e">
        <f>IF(C160&lt;&gt;"", IF('THE BOARD'!#REF! = "NESTED","",'THE BOARD'!#REF! + IF(C160&lt;&gt;"", 0.72,0)),"")</f>
        <v>#REF!</v>
      </c>
      <c r="E160" s="68" t="e">
        <f>'THE BOARD'!#REF!</f>
        <v>#REF!</v>
      </c>
      <c r="F160" s="68" t="e">
        <f>'THE BOARD'!#REF!</f>
        <v>#REF!</v>
      </c>
      <c r="G160" s="68" t="e">
        <f>'THE BOARD'!#REF!</f>
        <v>#REF!</v>
      </c>
      <c r="H160" s="68" t="e">
        <f>'THE BOARD'!#REF!</f>
        <v>#REF!</v>
      </c>
      <c r="I160" s="68" t="e">
        <f>'THE BOARD'!#REF!</f>
        <v>#REF!</v>
      </c>
      <c r="J160" s="68" t="e">
        <f>'THE BOARD'!#REF!</f>
        <v>#REF!</v>
      </c>
      <c r="K160" s="68" t="e">
        <f>'THE BOARD'!#REF!</f>
        <v>#REF!</v>
      </c>
    </row>
    <row r="161" spans="1:11" ht="12.75" x14ac:dyDescent="0.2">
      <c r="A161" s="68" t="e">
        <f>'THE BOARD'!#REF!</f>
        <v>#REF!</v>
      </c>
      <c r="B161" s="68" t="e">
        <f>'THE BOARD'!#REF!</f>
        <v>#REF!</v>
      </c>
      <c r="C161" s="99" t="e">
        <f>IF('THE BOARD'!#REF! = "NESTED","",IF('THE BOARD'!#REF!&lt;&gt;"",'THE BOARD'!#REF!+0.72,""))</f>
        <v>#REF!</v>
      </c>
      <c r="D161" s="99" t="e">
        <f>IF(C161&lt;&gt;"", IF('THE BOARD'!#REF! = "NESTED","",'THE BOARD'!#REF! + IF(C161&lt;&gt;"", 0.72,0)),"")</f>
        <v>#REF!</v>
      </c>
      <c r="E161" s="68" t="e">
        <f>'THE BOARD'!#REF!</f>
        <v>#REF!</v>
      </c>
      <c r="F161" s="68" t="e">
        <f>'THE BOARD'!#REF!</f>
        <v>#REF!</v>
      </c>
      <c r="G161" s="68" t="e">
        <f>'THE BOARD'!#REF!</f>
        <v>#REF!</v>
      </c>
      <c r="H161" s="68" t="e">
        <f>'THE BOARD'!#REF!</f>
        <v>#REF!</v>
      </c>
      <c r="I161" s="68" t="e">
        <f>'THE BOARD'!#REF!</f>
        <v>#REF!</v>
      </c>
      <c r="J161" s="68" t="e">
        <f>'THE BOARD'!#REF!</f>
        <v>#REF!</v>
      </c>
      <c r="K161" s="68" t="e">
        <f>'THE BOARD'!#REF!</f>
        <v>#REF!</v>
      </c>
    </row>
    <row r="162" spans="1:11" ht="12.75" x14ac:dyDescent="0.2">
      <c r="A162" s="68" t="e">
        <f>'THE BOARD'!#REF!</f>
        <v>#REF!</v>
      </c>
      <c r="B162" s="68" t="e">
        <f>'THE BOARD'!#REF!</f>
        <v>#REF!</v>
      </c>
      <c r="C162" s="99" t="e">
        <f>IF('THE BOARD'!#REF! = "NESTED","",IF('THE BOARD'!#REF!&lt;&gt;"",'THE BOARD'!#REF!+0.72,""))</f>
        <v>#REF!</v>
      </c>
      <c r="D162" s="99" t="e">
        <f>IF(C162&lt;&gt;"", IF('THE BOARD'!#REF! = "NESTED","",'THE BOARD'!#REF! + IF(C162&lt;&gt;"", 0.72,0)),"")</f>
        <v>#REF!</v>
      </c>
      <c r="E162" s="68" t="e">
        <f>'THE BOARD'!#REF!</f>
        <v>#REF!</v>
      </c>
      <c r="F162" s="68" t="e">
        <f>'THE BOARD'!#REF!</f>
        <v>#REF!</v>
      </c>
      <c r="G162" s="68" t="e">
        <f>'THE BOARD'!#REF!</f>
        <v>#REF!</v>
      </c>
      <c r="H162" s="68" t="e">
        <f>'THE BOARD'!#REF!</f>
        <v>#REF!</v>
      </c>
      <c r="I162" s="68" t="e">
        <f>'THE BOARD'!#REF!</f>
        <v>#REF!</v>
      </c>
      <c r="J162" s="68" t="e">
        <f>'THE BOARD'!#REF!</f>
        <v>#REF!</v>
      </c>
      <c r="K162" s="68" t="e">
        <f>'THE BOARD'!#REF!</f>
        <v>#REF!</v>
      </c>
    </row>
    <row r="163" spans="1:11" ht="12.75" x14ac:dyDescent="0.2">
      <c r="A163" s="68" t="e">
        <f>'THE BOARD'!#REF!</f>
        <v>#REF!</v>
      </c>
      <c r="B163" s="68" t="e">
        <f>'THE BOARD'!#REF!</f>
        <v>#REF!</v>
      </c>
      <c r="C163" s="99" t="e">
        <f>IF('THE BOARD'!#REF! = "NESTED","",IF('THE BOARD'!#REF!&lt;&gt;"",'THE BOARD'!#REF!+0.72,""))</f>
        <v>#REF!</v>
      </c>
      <c r="D163" s="99" t="e">
        <f>IF(C163&lt;&gt;"", IF('THE BOARD'!#REF! = "NESTED","",'THE BOARD'!#REF! + IF(C163&lt;&gt;"", 0.72,0)),"")</f>
        <v>#REF!</v>
      </c>
      <c r="E163" s="68" t="e">
        <f>'THE BOARD'!#REF!</f>
        <v>#REF!</v>
      </c>
      <c r="F163" s="68" t="e">
        <f>'THE BOARD'!#REF!</f>
        <v>#REF!</v>
      </c>
      <c r="G163" s="68" t="e">
        <f>'THE BOARD'!#REF!</f>
        <v>#REF!</v>
      </c>
      <c r="H163" s="68" t="e">
        <f>'THE BOARD'!#REF!</f>
        <v>#REF!</v>
      </c>
      <c r="I163" s="68" t="e">
        <f>'THE BOARD'!#REF!</f>
        <v>#REF!</v>
      </c>
      <c r="J163" s="68" t="e">
        <f>'THE BOARD'!#REF!</f>
        <v>#REF!</v>
      </c>
      <c r="K163" s="68" t="e">
        <f>'THE BOARD'!#REF!</f>
        <v>#REF!</v>
      </c>
    </row>
    <row r="164" spans="1:11" ht="12.75" x14ac:dyDescent="0.2">
      <c r="A164" s="68" t="e">
        <f>'THE BOARD'!#REF!</f>
        <v>#REF!</v>
      </c>
      <c r="B164" s="68" t="e">
        <f>'THE BOARD'!#REF!</f>
        <v>#REF!</v>
      </c>
      <c r="C164" s="99" t="e">
        <f>IF('THE BOARD'!#REF! = "NESTED","",IF('THE BOARD'!#REF!&lt;&gt;"",'THE BOARD'!#REF!+0.72,""))</f>
        <v>#REF!</v>
      </c>
      <c r="D164" s="99" t="e">
        <f>IF(C164&lt;&gt;"", IF('THE BOARD'!#REF! = "NESTED","",'THE BOARD'!#REF! + IF(C164&lt;&gt;"", 0.72,0)),"")</f>
        <v>#REF!</v>
      </c>
      <c r="E164" s="68" t="e">
        <f>'THE BOARD'!#REF!</f>
        <v>#REF!</v>
      </c>
      <c r="F164" s="68" t="e">
        <f>'THE BOARD'!#REF!</f>
        <v>#REF!</v>
      </c>
      <c r="G164" s="68" t="e">
        <f>'THE BOARD'!#REF!</f>
        <v>#REF!</v>
      </c>
      <c r="H164" s="68" t="e">
        <f>'THE BOARD'!#REF!</f>
        <v>#REF!</v>
      </c>
      <c r="I164" s="68" t="e">
        <f>'THE BOARD'!#REF!</f>
        <v>#REF!</v>
      </c>
      <c r="J164" s="68" t="e">
        <f>'THE BOARD'!#REF!</f>
        <v>#REF!</v>
      </c>
      <c r="K164" s="68" t="e">
        <f>'THE BOARD'!#REF!</f>
        <v>#REF!</v>
      </c>
    </row>
    <row r="165" spans="1:11" ht="12.75" x14ac:dyDescent="0.2">
      <c r="A165" s="68" t="e">
        <f>'THE BOARD'!#REF!</f>
        <v>#REF!</v>
      </c>
      <c r="B165" s="68" t="e">
        <f>'THE BOARD'!#REF!</f>
        <v>#REF!</v>
      </c>
      <c r="C165" s="99" t="e">
        <f>IF('THE BOARD'!#REF! = "NESTED","",IF('THE BOARD'!#REF!&lt;&gt;"",'THE BOARD'!#REF!+0.72,""))</f>
        <v>#REF!</v>
      </c>
      <c r="D165" s="99" t="e">
        <f>IF(C165&lt;&gt;"", IF('THE BOARD'!#REF! = "NESTED","",'THE BOARD'!#REF! + IF(C165&lt;&gt;"", 0.72,0)),"")</f>
        <v>#REF!</v>
      </c>
      <c r="E165" s="68" t="e">
        <f>'THE BOARD'!#REF!</f>
        <v>#REF!</v>
      </c>
      <c r="F165" s="68" t="e">
        <f>'THE BOARD'!#REF!</f>
        <v>#REF!</v>
      </c>
      <c r="G165" s="68" t="e">
        <f>'THE BOARD'!#REF!</f>
        <v>#REF!</v>
      </c>
      <c r="H165" s="68" t="e">
        <f>'THE BOARD'!#REF!</f>
        <v>#REF!</v>
      </c>
      <c r="I165" s="68" t="e">
        <f>'THE BOARD'!#REF!</f>
        <v>#REF!</v>
      </c>
      <c r="J165" s="68" t="e">
        <f>'THE BOARD'!#REF!</f>
        <v>#REF!</v>
      </c>
      <c r="K165" s="68" t="e">
        <f>'THE BOARD'!#REF!</f>
        <v>#REF!</v>
      </c>
    </row>
    <row r="166" spans="1:11" ht="12.75" x14ac:dyDescent="0.2">
      <c r="A166" s="68" t="e">
        <f>'THE BOARD'!#REF!</f>
        <v>#REF!</v>
      </c>
      <c r="B166" s="68" t="e">
        <f>'THE BOARD'!#REF!</f>
        <v>#REF!</v>
      </c>
      <c r="C166" s="99" t="e">
        <f>IF('THE BOARD'!#REF! = "NESTED","",IF('THE BOARD'!#REF!&lt;&gt;"",'THE BOARD'!#REF!+0.72,""))</f>
        <v>#REF!</v>
      </c>
      <c r="D166" s="99" t="e">
        <f>IF(C166&lt;&gt;"", IF('THE BOARD'!#REF! = "NESTED","",'THE BOARD'!#REF! + IF(C166&lt;&gt;"", 0.72,0)),"")</f>
        <v>#REF!</v>
      </c>
      <c r="E166" s="68" t="e">
        <f>'THE BOARD'!#REF!</f>
        <v>#REF!</v>
      </c>
      <c r="F166" s="68" t="e">
        <f>'THE BOARD'!#REF!</f>
        <v>#REF!</v>
      </c>
      <c r="G166" s="68" t="e">
        <f>'THE BOARD'!#REF!</f>
        <v>#REF!</v>
      </c>
      <c r="H166" s="68" t="e">
        <f>'THE BOARD'!#REF!</f>
        <v>#REF!</v>
      </c>
      <c r="I166" s="68" t="e">
        <f>'THE BOARD'!#REF!</f>
        <v>#REF!</v>
      </c>
      <c r="J166" s="68" t="e">
        <f>'THE BOARD'!#REF!</f>
        <v>#REF!</v>
      </c>
      <c r="K166" s="68" t="e">
        <f>'THE BOARD'!#REF!</f>
        <v>#REF!</v>
      </c>
    </row>
    <row r="167" spans="1:11" ht="12.75" x14ac:dyDescent="0.2">
      <c r="A167" s="68" t="e">
        <f>'THE BOARD'!#REF!</f>
        <v>#REF!</v>
      </c>
      <c r="B167" s="68" t="e">
        <f>'THE BOARD'!#REF!</f>
        <v>#REF!</v>
      </c>
      <c r="C167" s="99" t="e">
        <f>IF('THE BOARD'!#REF! = "NESTED","",IF('THE BOARD'!#REF!&lt;&gt;"",'THE BOARD'!#REF!+0.72,""))</f>
        <v>#REF!</v>
      </c>
      <c r="D167" s="99" t="e">
        <f>IF(C167&lt;&gt;"", IF('THE BOARD'!#REF! = "NESTED","",'THE BOARD'!#REF! + IF(C167&lt;&gt;"", 0.72,0)),"")</f>
        <v>#REF!</v>
      </c>
      <c r="E167" s="68" t="e">
        <f>'THE BOARD'!#REF!</f>
        <v>#REF!</v>
      </c>
      <c r="F167" s="68" t="e">
        <f>'THE BOARD'!#REF!</f>
        <v>#REF!</v>
      </c>
      <c r="G167" s="68" t="e">
        <f>'THE BOARD'!#REF!</f>
        <v>#REF!</v>
      </c>
      <c r="H167" s="68" t="e">
        <f>'THE BOARD'!#REF!</f>
        <v>#REF!</v>
      </c>
      <c r="I167" s="68" t="e">
        <f>'THE BOARD'!#REF!</f>
        <v>#REF!</v>
      </c>
      <c r="J167" s="68" t="e">
        <f>'THE BOARD'!#REF!</f>
        <v>#REF!</v>
      </c>
      <c r="K167" s="68" t="e">
        <f>'THE BOARD'!#REF!</f>
        <v>#REF!</v>
      </c>
    </row>
    <row r="168" spans="1:11" ht="12.75" x14ac:dyDescent="0.2">
      <c r="A168" s="68" t="e">
        <f>'THE BOARD'!#REF!</f>
        <v>#REF!</v>
      </c>
      <c r="B168" s="68" t="e">
        <f>'THE BOARD'!#REF!</f>
        <v>#REF!</v>
      </c>
      <c r="C168" s="99" t="e">
        <f>IF('THE BOARD'!#REF! = "NESTED","",IF('THE BOARD'!#REF!&lt;&gt;"",'THE BOARD'!#REF!+0.72,""))</f>
        <v>#REF!</v>
      </c>
      <c r="D168" s="99" t="e">
        <f>IF(C168&lt;&gt;"", IF('THE BOARD'!#REF! = "NESTED","",'THE BOARD'!#REF! + IF(C168&lt;&gt;"", 0.72,0)),"")</f>
        <v>#REF!</v>
      </c>
      <c r="E168" s="68" t="e">
        <f>'THE BOARD'!#REF!</f>
        <v>#REF!</v>
      </c>
      <c r="F168" s="68" t="e">
        <f>'THE BOARD'!#REF!</f>
        <v>#REF!</v>
      </c>
      <c r="G168" s="68" t="e">
        <f>'THE BOARD'!#REF!</f>
        <v>#REF!</v>
      </c>
      <c r="H168" s="68" t="e">
        <f>'THE BOARD'!#REF!</f>
        <v>#REF!</v>
      </c>
      <c r="I168" s="68" t="e">
        <f>'THE BOARD'!#REF!</f>
        <v>#REF!</v>
      </c>
      <c r="J168" s="68" t="e">
        <f>'THE BOARD'!#REF!</f>
        <v>#REF!</v>
      </c>
      <c r="K168" s="68" t="e">
        <f>'THE BOARD'!#REF!</f>
        <v>#REF!</v>
      </c>
    </row>
    <row r="169" spans="1:11" ht="12.75" x14ac:dyDescent="0.2">
      <c r="A169" s="68" t="e">
        <f>'THE BOARD'!#REF!</f>
        <v>#REF!</v>
      </c>
      <c r="B169" s="68" t="e">
        <f>'THE BOARD'!#REF!</f>
        <v>#REF!</v>
      </c>
      <c r="C169" s="99" t="e">
        <f>IF('THE BOARD'!#REF! = "NESTED","",IF('THE BOARD'!#REF!&lt;&gt;"",'THE BOARD'!#REF!+0.72,""))</f>
        <v>#REF!</v>
      </c>
      <c r="D169" s="99" t="e">
        <f>IF(C169&lt;&gt;"", IF('THE BOARD'!#REF! = "NESTED","",'THE BOARD'!#REF! + IF(C169&lt;&gt;"", 0.72,0)),"")</f>
        <v>#REF!</v>
      </c>
      <c r="E169" s="68" t="e">
        <f>'THE BOARD'!#REF!</f>
        <v>#REF!</v>
      </c>
      <c r="F169" s="68" t="e">
        <f>'THE BOARD'!#REF!</f>
        <v>#REF!</v>
      </c>
      <c r="G169" s="68" t="e">
        <f>'THE BOARD'!#REF!</f>
        <v>#REF!</v>
      </c>
      <c r="H169" s="68" t="e">
        <f>'THE BOARD'!#REF!</f>
        <v>#REF!</v>
      </c>
      <c r="I169" s="68" t="e">
        <f>'THE BOARD'!#REF!</f>
        <v>#REF!</v>
      </c>
      <c r="J169" s="68" t="e">
        <f>'THE BOARD'!#REF!</f>
        <v>#REF!</v>
      </c>
      <c r="K169" s="68" t="e">
        <f>'THE BOARD'!#REF!</f>
        <v>#REF!</v>
      </c>
    </row>
    <row r="170" spans="1:11" ht="12.75" x14ac:dyDescent="0.2">
      <c r="A170" s="68" t="e">
        <f>'THE BOARD'!#REF!</f>
        <v>#REF!</v>
      </c>
      <c r="B170" s="68" t="e">
        <f>'THE BOARD'!#REF!</f>
        <v>#REF!</v>
      </c>
      <c r="C170" s="99" t="e">
        <f>IF('THE BOARD'!#REF! = "NESTED","",IF('THE BOARD'!#REF!&lt;&gt;"",'THE BOARD'!#REF!+0.72,""))</f>
        <v>#REF!</v>
      </c>
      <c r="D170" s="99" t="e">
        <f>IF(C170&lt;&gt;"", IF('THE BOARD'!#REF! = "NESTED","",'THE BOARD'!#REF! + IF(C170&lt;&gt;"", 0.72,0)),"")</f>
        <v>#REF!</v>
      </c>
      <c r="E170" s="68" t="e">
        <f>'THE BOARD'!#REF!</f>
        <v>#REF!</v>
      </c>
      <c r="F170" s="68" t="e">
        <f>'THE BOARD'!#REF!</f>
        <v>#REF!</v>
      </c>
      <c r="G170" s="68" t="e">
        <f>'THE BOARD'!#REF!</f>
        <v>#REF!</v>
      </c>
      <c r="H170" s="68" t="e">
        <f>'THE BOARD'!#REF!</f>
        <v>#REF!</v>
      </c>
      <c r="I170" s="68" t="e">
        <f>'THE BOARD'!#REF!</f>
        <v>#REF!</v>
      </c>
      <c r="J170" s="68" t="e">
        <f>'THE BOARD'!#REF!</f>
        <v>#REF!</v>
      </c>
      <c r="K170" s="68" t="e">
        <f>'THE BOARD'!#REF!</f>
        <v>#REF!</v>
      </c>
    </row>
    <row r="171" spans="1:11" ht="12.75" x14ac:dyDescent="0.2">
      <c r="A171" s="68" t="e">
        <f>'THE BOARD'!#REF!</f>
        <v>#REF!</v>
      </c>
      <c r="B171" s="68" t="e">
        <f>'THE BOARD'!#REF!</f>
        <v>#REF!</v>
      </c>
      <c r="C171" s="99" t="e">
        <f>IF('THE BOARD'!#REF! = "NESTED","",IF('THE BOARD'!#REF!&lt;&gt;"",'THE BOARD'!#REF!+0.72,""))</f>
        <v>#REF!</v>
      </c>
      <c r="D171" s="99" t="e">
        <f>IF(C171&lt;&gt;"", IF('THE BOARD'!#REF! = "NESTED","",'THE BOARD'!#REF! + IF(C171&lt;&gt;"", 0.72,0)),"")</f>
        <v>#REF!</v>
      </c>
      <c r="E171" s="68" t="e">
        <f>'THE BOARD'!#REF!</f>
        <v>#REF!</v>
      </c>
      <c r="F171" s="68" t="e">
        <f>'THE BOARD'!#REF!</f>
        <v>#REF!</v>
      </c>
      <c r="G171" s="68" t="e">
        <f>'THE BOARD'!#REF!</f>
        <v>#REF!</v>
      </c>
      <c r="H171" s="68" t="e">
        <f>'THE BOARD'!#REF!</f>
        <v>#REF!</v>
      </c>
      <c r="I171" s="68" t="e">
        <f>'THE BOARD'!#REF!</f>
        <v>#REF!</v>
      </c>
      <c r="J171" s="68" t="e">
        <f>'THE BOARD'!#REF!</f>
        <v>#REF!</v>
      </c>
      <c r="K171" s="68" t="e">
        <f>'THE BOARD'!#REF!</f>
        <v>#REF!</v>
      </c>
    </row>
    <row r="172" spans="1:11" ht="12.75" x14ac:dyDescent="0.2">
      <c r="A172" s="68" t="e">
        <f>'THE BOARD'!#REF!</f>
        <v>#REF!</v>
      </c>
      <c r="B172" s="68" t="e">
        <f>'THE BOARD'!#REF!</f>
        <v>#REF!</v>
      </c>
      <c r="C172" s="99" t="e">
        <f>IF('THE BOARD'!#REF! = "NESTED","",IF('THE BOARD'!#REF!&lt;&gt;"",'THE BOARD'!#REF!+0.72,""))</f>
        <v>#REF!</v>
      </c>
      <c r="D172" s="99" t="e">
        <f>IF(C172&lt;&gt;"", IF('THE BOARD'!#REF! = "NESTED","",'THE BOARD'!#REF! + IF(C172&lt;&gt;"", 0.72,0)),"")</f>
        <v>#REF!</v>
      </c>
      <c r="E172" s="68" t="e">
        <f>'THE BOARD'!#REF!</f>
        <v>#REF!</v>
      </c>
      <c r="F172" s="68" t="e">
        <f>'THE BOARD'!#REF!</f>
        <v>#REF!</v>
      </c>
      <c r="G172" s="68" t="e">
        <f>'THE BOARD'!#REF!</f>
        <v>#REF!</v>
      </c>
      <c r="H172" s="68" t="e">
        <f>'THE BOARD'!#REF!</f>
        <v>#REF!</v>
      </c>
      <c r="I172" s="68" t="e">
        <f>'THE BOARD'!#REF!</f>
        <v>#REF!</v>
      </c>
      <c r="J172" s="68" t="e">
        <f>'THE BOARD'!#REF!</f>
        <v>#REF!</v>
      </c>
      <c r="K172" s="68" t="e">
        <f>'THE BOARD'!#REF!</f>
        <v>#REF!</v>
      </c>
    </row>
    <row r="173" spans="1:11" ht="12.75" x14ac:dyDescent="0.2">
      <c r="A173" s="68" t="e">
        <f>'THE BOARD'!#REF!</f>
        <v>#REF!</v>
      </c>
      <c r="B173" s="68" t="e">
        <f>'THE BOARD'!#REF!</f>
        <v>#REF!</v>
      </c>
      <c r="C173" s="99" t="e">
        <f>IF('THE BOARD'!#REF! = "NESTED","",IF('THE BOARD'!#REF!&lt;&gt;"",'THE BOARD'!#REF!+0.72,""))</f>
        <v>#REF!</v>
      </c>
      <c r="D173" s="99" t="e">
        <f>IF(C173&lt;&gt;"", IF('THE BOARD'!#REF! = "NESTED","",'THE BOARD'!#REF! + IF(C173&lt;&gt;"", 0.72,0)),"")</f>
        <v>#REF!</v>
      </c>
      <c r="E173" s="68" t="e">
        <f>'THE BOARD'!#REF!</f>
        <v>#REF!</v>
      </c>
      <c r="F173" s="68" t="e">
        <f>'THE BOARD'!#REF!</f>
        <v>#REF!</v>
      </c>
      <c r="G173" s="68" t="e">
        <f>'THE BOARD'!#REF!</f>
        <v>#REF!</v>
      </c>
      <c r="H173" s="68" t="e">
        <f>'THE BOARD'!#REF!</f>
        <v>#REF!</v>
      </c>
      <c r="I173" s="68" t="e">
        <f>'THE BOARD'!#REF!</f>
        <v>#REF!</v>
      </c>
      <c r="J173" s="68" t="e">
        <f>'THE BOARD'!#REF!</f>
        <v>#REF!</v>
      </c>
      <c r="K173" s="68" t="e">
        <f>'THE BOARD'!#REF!</f>
        <v>#REF!</v>
      </c>
    </row>
    <row r="174" spans="1:11" ht="12.75" x14ac:dyDescent="0.2">
      <c r="A174" s="68" t="e">
        <f>'THE BOARD'!#REF!</f>
        <v>#REF!</v>
      </c>
      <c r="B174" s="68" t="e">
        <f>'THE BOARD'!#REF!</f>
        <v>#REF!</v>
      </c>
      <c r="C174" s="99" t="e">
        <f>IF('THE BOARD'!#REF! = "NESTED","",IF('THE BOARD'!#REF!&lt;&gt;"",'THE BOARD'!#REF!+0.72,""))</f>
        <v>#REF!</v>
      </c>
      <c r="D174" s="99" t="e">
        <f>IF(C174&lt;&gt;"", IF('THE BOARD'!#REF! = "NESTED","",'THE BOARD'!#REF! + IF(C174&lt;&gt;"", 0.72,0)),"")</f>
        <v>#REF!</v>
      </c>
      <c r="E174" s="68" t="e">
        <f>'THE BOARD'!#REF!</f>
        <v>#REF!</v>
      </c>
      <c r="F174" s="68" t="e">
        <f>'THE BOARD'!#REF!</f>
        <v>#REF!</v>
      </c>
      <c r="G174" s="68" t="e">
        <f>'THE BOARD'!#REF!</f>
        <v>#REF!</v>
      </c>
      <c r="H174" s="68" t="e">
        <f>'THE BOARD'!#REF!</f>
        <v>#REF!</v>
      </c>
      <c r="I174" s="68" t="e">
        <f>'THE BOARD'!#REF!</f>
        <v>#REF!</v>
      </c>
      <c r="J174" s="68" t="e">
        <f>'THE BOARD'!#REF!</f>
        <v>#REF!</v>
      </c>
      <c r="K174" s="68" t="e">
        <f>'THE BOARD'!#REF!</f>
        <v>#REF!</v>
      </c>
    </row>
    <row r="175" spans="1:11" ht="12.75" x14ac:dyDescent="0.2">
      <c r="A175" s="68" t="e">
        <f>'THE BOARD'!#REF!</f>
        <v>#REF!</v>
      </c>
      <c r="B175" s="68" t="e">
        <f>'THE BOARD'!#REF!</f>
        <v>#REF!</v>
      </c>
      <c r="C175" s="99" t="e">
        <f>IF('THE BOARD'!#REF! = "NESTED","",IF('THE BOARD'!#REF!&lt;&gt;"",'THE BOARD'!#REF!+0.72,""))</f>
        <v>#REF!</v>
      </c>
      <c r="D175" s="99" t="e">
        <f>IF(C175&lt;&gt;"", IF('THE BOARD'!#REF! = "NESTED","",'THE BOARD'!#REF! + IF(C175&lt;&gt;"", 0.72,0)),"")</f>
        <v>#REF!</v>
      </c>
      <c r="E175" s="68" t="e">
        <f>'THE BOARD'!#REF!</f>
        <v>#REF!</v>
      </c>
      <c r="F175" s="68" t="e">
        <f>'THE BOARD'!#REF!</f>
        <v>#REF!</v>
      </c>
      <c r="G175" s="68" t="e">
        <f>'THE BOARD'!#REF!</f>
        <v>#REF!</v>
      </c>
      <c r="H175" s="68" t="e">
        <f>'THE BOARD'!#REF!</f>
        <v>#REF!</v>
      </c>
      <c r="I175" s="68" t="e">
        <f>'THE BOARD'!#REF!</f>
        <v>#REF!</v>
      </c>
      <c r="J175" s="68" t="e">
        <f>'THE BOARD'!#REF!</f>
        <v>#REF!</v>
      </c>
      <c r="K175" s="68" t="e">
        <f>'THE BOARD'!#REF!</f>
        <v>#REF!</v>
      </c>
    </row>
    <row r="176" spans="1:11" ht="12.75" x14ac:dyDescent="0.2">
      <c r="A176" s="68" t="e">
        <f>'THE BOARD'!#REF!</f>
        <v>#REF!</v>
      </c>
      <c r="B176" s="68" t="e">
        <f>'THE BOARD'!#REF!</f>
        <v>#REF!</v>
      </c>
      <c r="C176" s="99" t="e">
        <f>IF('THE BOARD'!#REF! = "NESTED","",IF('THE BOARD'!#REF!&lt;&gt;"",'THE BOARD'!#REF!+0.72,""))</f>
        <v>#REF!</v>
      </c>
      <c r="D176" s="99" t="e">
        <f>IF(C176&lt;&gt;"", IF('THE BOARD'!#REF! = "NESTED","",'THE BOARD'!#REF! + IF(C176&lt;&gt;"", 0.72,0)),"")</f>
        <v>#REF!</v>
      </c>
      <c r="E176" s="68" t="e">
        <f>'THE BOARD'!#REF!</f>
        <v>#REF!</v>
      </c>
      <c r="F176" s="68" t="e">
        <f>'THE BOARD'!#REF!</f>
        <v>#REF!</v>
      </c>
      <c r="G176" s="68" t="e">
        <f>'THE BOARD'!#REF!</f>
        <v>#REF!</v>
      </c>
      <c r="H176" s="68" t="e">
        <f>'THE BOARD'!#REF!</f>
        <v>#REF!</v>
      </c>
      <c r="I176" s="68" t="e">
        <f>'THE BOARD'!#REF!</f>
        <v>#REF!</v>
      </c>
      <c r="J176" s="68" t="e">
        <f>'THE BOARD'!#REF!</f>
        <v>#REF!</v>
      </c>
      <c r="K176" s="68" t="e">
        <f>'THE BOARD'!#REF!</f>
        <v>#REF!</v>
      </c>
    </row>
    <row r="177" spans="1:11" ht="12.75" x14ac:dyDescent="0.2">
      <c r="A177" s="68" t="e">
        <f>'THE BOARD'!#REF!</f>
        <v>#REF!</v>
      </c>
      <c r="B177" s="68" t="e">
        <f>'THE BOARD'!#REF!</f>
        <v>#REF!</v>
      </c>
      <c r="C177" s="99" t="e">
        <f>IF('THE BOARD'!#REF! = "NESTED","",IF('THE BOARD'!#REF!&lt;&gt;"",'THE BOARD'!#REF!+0.72,""))</f>
        <v>#REF!</v>
      </c>
      <c r="D177" s="99" t="e">
        <f>IF(C177&lt;&gt;"", IF('THE BOARD'!#REF! = "NESTED","",'THE BOARD'!#REF! + IF(C177&lt;&gt;"", 0.72,0)),"")</f>
        <v>#REF!</v>
      </c>
      <c r="E177" s="68" t="e">
        <f>'THE BOARD'!#REF!</f>
        <v>#REF!</v>
      </c>
      <c r="F177" s="68" t="e">
        <f>'THE BOARD'!#REF!</f>
        <v>#REF!</v>
      </c>
      <c r="G177" s="68" t="e">
        <f>'THE BOARD'!#REF!</f>
        <v>#REF!</v>
      </c>
      <c r="H177" s="68" t="e">
        <f>'THE BOARD'!#REF!</f>
        <v>#REF!</v>
      </c>
      <c r="I177" s="68" t="e">
        <f>'THE BOARD'!#REF!</f>
        <v>#REF!</v>
      </c>
      <c r="J177" s="68" t="e">
        <f>'THE BOARD'!#REF!</f>
        <v>#REF!</v>
      </c>
      <c r="K177" s="68" t="e">
        <f>'THE BOARD'!#REF!</f>
        <v>#REF!</v>
      </c>
    </row>
    <row r="178" spans="1:11" ht="12.75" x14ac:dyDescent="0.2">
      <c r="A178" s="68" t="e">
        <f>'THE BOARD'!#REF!</f>
        <v>#REF!</v>
      </c>
      <c r="B178" s="68" t="e">
        <f>'THE BOARD'!#REF!</f>
        <v>#REF!</v>
      </c>
      <c r="C178" s="99" t="e">
        <f>IF('THE BOARD'!#REF! = "NESTED","",IF('THE BOARD'!#REF!&lt;&gt;"",'THE BOARD'!#REF!+0.72,""))</f>
        <v>#REF!</v>
      </c>
      <c r="D178" s="99" t="e">
        <f>IF(C178&lt;&gt;"", IF('THE BOARD'!#REF! = "NESTED","",'THE BOARD'!#REF! + IF(C178&lt;&gt;"", 0.72,0)),"")</f>
        <v>#REF!</v>
      </c>
      <c r="E178" s="68" t="e">
        <f>'THE BOARD'!#REF!</f>
        <v>#REF!</v>
      </c>
      <c r="F178" s="68" t="e">
        <f>'THE BOARD'!#REF!</f>
        <v>#REF!</v>
      </c>
      <c r="G178" s="68" t="e">
        <f>'THE BOARD'!#REF!</f>
        <v>#REF!</v>
      </c>
      <c r="H178" s="68" t="e">
        <f>'THE BOARD'!#REF!</f>
        <v>#REF!</v>
      </c>
      <c r="I178" s="68" t="e">
        <f>'THE BOARD'!#REF!</f>
        <v>#REF!</v>
      </c>
      <c r="J178" s="68" t="e">
        <f>'THE BOARD'!#REF!</f>
        <v>#REF!</v>
      </c>
      <c r="K178" s="68" t="e">
        <f>'THE BOARD'!#REF!</f>
        <v>#REF!</v>
      </c>
    </row>
    <row r="179" spans="1:11" ht="12.75" x14ac:dyDescent="0.2">
      <c r="A179" s="68" t="e">
        <f>'THE BOARD'!#REF!</f>
        <v>#REF!</v>
      </c>
      <c r="B179" s="68" t="e">
        <f>'THE BOARD'!#REF!</f>
        <v>#REF!</v>
      </c>
      <c r="C179" s="99" t="e">
        <f>IF('THE BOARD'!#REF! = "NESTED","",IF('THE BOARD'!#REF!&lt;&gt;"",'THE BOARD'!#REF!+0.72,""))</f>
        <v>#REF!</v>
      </c>
      <c r="D179" s="99" t="e">
        <f>IF(C179&lt;&gt;"", IF('THE BOARD'!#REF! = "NESTED","",'THE BOARD'!#REF! + IF(C179&lt;&gt;"", 0.72,0)),"")</f>
        <v>#REF!</v>
      </c>
      <c r="E179" s="68" t="e">
        <f>'THE BOARD'!#REF!</f>
        <v>#REF!</v>
      </c>
      <c r="F179" s="68" t="e">
        <f>'THE BOARD'!#REF!</f>
        <v>#REF!</v>
      </c>
      <c r="G179" s="68" t="e">
        <f>'THE BOARD'!#REF!</f>
        <v>#REF!</v>
      </c>
      <c r="H179" s="68" t="e">
        <f>'THE BOARD'!#REF!</f>
        <v>#REF!</v>
      </c>
      <c r="I179" s="68" t="e">
        <f>'THE BOARD'!#REF!</f>
        <v>#REF!</v>
      </c>
      <c r="J179" s="68" t="e">
        <f>'THE BOARD'!#REF!</f>
        <v>#REF!</v>
      </c>
      <c r="K179" s="68" t="e">
        <f>'THE BOARD'!#REF!</f>
        <v>#REF!</v>
      </c>
    </row>
    <row r="180" spans="1:11" ht="12.75" x14ac:dyDescent="0.2">
      <c r="A180" s="68" t="e">
        <f>'THE BOARD'!#REF!</f>
        <v>#REF!</v>
      </c>
      <c r="B180" s="68" t="e">
        <f>'THE BOARD'!#REF!</f>
        <v>#REF!</v>
      </c>
      <c r="C180" s="99" t="e">
        <f>IF('THE BOARD'!#REF! = "NESTED","",IF('THE BOARD'!#REF!&lt;&gt;"",'THE BOARD'!#REF!+0.72,""))</f>
        <v>#REF!</v>
      </c>
      <c r="D180" s="99" t="e">
        <f>IF(C180&lt;&gt;"", IF('THE BOARD'!#REF! = "NESTED","",'THE BOARD'!#REF! + IF(C180&lt;&gt;"", 0.72,0)),"")</f>
        <v>#REF!</v>
      </c>
      <c r="E180" s="68" t="e">
        <f>'THE BOARD'!#REF!</f>
        <v>#REF!</v>
      </c>
      <c r="F180" s="68" t="e">
        <f>'THE BOARD'!#REF!</f>
        <v>#REF!</v>
      </c>
      <c r="G180" s="68" t="e">
        <f>'THE BOARD'!#REF!</f>
        <v>#REF!</v>
      </c>
      <c r="H180" s="68" t="e">
        <f>'THE BOARD'!#REF!</f>
        <v>#REF!</v>
      </c>
      <c r="I180" s="68" t="e">
        <f>'THE BOARD'!#REF!</f>
        <v>#REF!</v>
      </c>
      <c r="J180" s="68" t="e">
        <f>'THE BOARD'!#REF!</f>
        <v>#REF!</v>
      </c>
      <c r="K180" s="68" t="e">
        <f>'THE BOARD'!#REF!</f>
        <v>#REF!</v>
      </c>
    </row>
    <row r="181" spans="1:11" ht="12.75" x14ac:dyDescent="0.2">
      <c r="A181" s="68" t="e">
        <f>'THE BOARD'!#REF!</f>
        <v>#REF!</v>
      </c>
      <c r="B181" s="68" t="e">
        <f>'THE BOARD'!#REF!</f>
        <v>#REF!</v>
      </c>
      <c r="C181" s="99" t="e">
        <f>IF('THE BOARD'!#REF! = "NESTED","",IF('THE BOARD'!#REF!&lt;&gt;"",'THE BOARD'!#REF!+0.72,""))</f>
        <v>#REF!</v>
      </c>
      <c r="D181" s="99" t="e">
        <f>IF(C181&lt;&gt;"", IF('THE BOARD'!#REF! = "NESTED","",'THE BOARD'!#REF! + IF(C181&lt;&gt;"", 0.72,0)),"")</f>
        <v>#REF!</v>
      </c>
      <c r="E181" s="68" t="e">
        <f>'THE BOARD'!#REF!</f>
        <v>#REF!</v>
      </c>
      <c r="F181" s="68" t="e">
        <f>'THE BOARD'!#REF!</f>
        <v>#REF!</v>
      </c>
      <c r="G181" s="68" t="e">
        <f>'THE BOARD'!#REF!</f>
        <v>#REF!</v>
      </c>
      <c r="H181" s="68" t="e">
        <f>'THE BOARD'!#REF!</f>
        <v>#REF!</v>
      </c>
      <c r="I181" s="68" t="e">
        <f>'THE BOARD'!#REF!</f>
        <v>#REF!</v>
      </c>
      <c r="J181" s="68" t="e">
        <f>'THE BOARD'!#REF!</f>
        <v>#REF!</v>
      </c>
      <c r="K181" s="68" t="e">
        <f>'THE BOARD'!#REF!</f>
        <v>#REF!</v>
      </c>
    </row>
    <row r="182" spans="1:11" ht="12.75" x14ac:dyDescent="0.2">
      <c r="A182" s="68" t="e">
        <f>'THE BOARD'!#REF!</f>
        <v>#REF!</v>
      </c>
      <c r="B182" s="68" t="e">
        <f>'THE BOARD'!#REF!</f>
        <v>#REF!</v>
      </c>
      <c r="C182" s="99" t="e">
        <f>IF('THE BOARD'!#REF! = "NESTED","",IF('THE BOARD'!#REF!&lt;&gt;"",'THE BOARD'!#REF!+0.72,""))</f>
        <v>#REF!</v>
      </c>
      <c r="D182" s="99" t="e">
        <f>IF(C182&lt;&gt;"", IF('THE BOARD'!#REF! = "NESTED","",'THE BOARD'!#REF! + IF(C182&lt;&gt;"", 0.72,0)),"")</f>
        <v>#REF!</v>
      </c>
      <c r="E182" s="68" t="e">
        <f>'THE BOARD'!#REF!</f>
        <v>#REF!</v>
      </c>
      <c r="F182" s="68" t="e">
        <f>'THE BOARD'!#REF!</f>
        <v>#REF!</v>
      </c>
      <c r="G182" s="68" t="e">
        <f>'THE BOARD'!#REF!</f>
        <v>#REF!</v>
      </c>
      <c r="H182" s="68" t="e">
        <f>'THE BOARD'!#REF!</f>
        <v>#REF!</v>
      </c>
      <c r="I182" s="68" t="e">
        <f>'THE BOARD'!#REF!</f>
        <v>#REF!</v>
      </c>
      <c r="J182" s="68" t="e">
        <f>'THE BOARD'!#REF!</f>
        <v>#REF!</v>
      </c>
      <c r="K182" s="68" t="e">
        <f>'THE BOARD'!#REF!</f>
        <v>#REF!</v>
      </c>
    </row>
    <row r="183" spans="1:11" ht="12.75" x14ac:dyDescent="0.2">
      <c r="A183" s="68" t="e">
        <f>'THE BOARD'!#REF!</f>
        <v>#REF!</v>
      </c>
      <c r="B183" s="68" t="e">
        <f>'THE BOARD'!#REF!</f>
        <v>#REF!</v>
      </c>
      <c r="C183" s="99" t="e">
        <f>IF('THE BOARD'!#REF! = "NESTED","",IF('THE BOARD'!#REF!&lt;&gt;"",'THE BOARD'!#REF!+0.72,""))</f>
        <v>#REF!</v>
      </c>
      <c r="D183" s="99" t="e">
        <f>IF(C183&lt;&gt;"", IF('THE BOARD'!#REF! = "NESTED","",'THE BOARD'!#REF! + IF(C183&lt;&gt;"", 0.72,0)),"")</f>
        <v>#REF!</v>
      </c>
      <c r="E183" s="68" t="e">
        <f>'THE BOARD'!#REF!</f>
        <v>#REF!</v>
      </c>
      <c r="F183" s="68" t="e">
        <f>'THE BOARD'!#REF!</f>
        <v>#REF!</v>
      </c>
      <c r="G183" s="68" t="e">
        <f>'THE BOARD'!#REF!</f>
        <v>#REF!</v>
      </c>
      <c r="H183" s="68" t="e">
        <f>'THE BOARD'!#REF!</f>
        <v>#REF!</v>
      </c>
      <c r="I183" s="68" t="e">
        <f>'THE BOARD'!#REF!</f>
        <v>#REF!</v>
      </c>
      <c r="J183" s="68" t="e">
        <f>'THE BOARD'!#REF!</f>
        <v>#REF!</v>
      </c>
      <c r="K183" s="68" t="e">
        <f>'THE BOARD'!#REF!</f>
        <v>#REF!</v>
      </c>
    </row>
    <row r="184" spans="1:11" ht="12.75" x14ac:dyDescent="0.2">
      <c r="A184" s="68" t="e">
        <f>'THE BOARD'!#REF!</f>
        <v>#REF!</v>
      </c>
      <c r="B184" s="68" t="e">
        <f>'THE BOARD'!#REF!</f>
        <v>#REF!</v>
      </c>
      <c r="C184" s="99" t="e">
        <f>IF('THE BOARD'!#REF! = "NESTED","",IF('THE BOARD'!#REF!&lt;&gt;"",'THE BOARD'!#REF!+0.72,""))</f>
        <v>#REF!</v>
      </c>
      <c r="D184" s="99" t="e">
        <f>IF(C184&lt;&gt;"", IF('THE BOARD'!#REF! = "NESTED","",'THE BOARD'!#REF! + IF(C184&lt;&gt;"", 0.72,0)),"")</f>
        <v>#REF!</v>
      </c>
      <c r="E184" s="68" t="e">
        <f>'THE BOARD'!#REF!</f>
        <v>#REF!</v>
      </c>
      <c r="F184" s="68" t="e">
        <f>'THE BOARD'!#REF!</f>
        <v>#REF!</v>
      </c>
      <c r="G184" s="68" t="e">
        <f>'THE BOARD'!#REF!</f>
        <v>#REF!</v>
      </c>
      <c r="H184" s="68" t="e">
        <f>'THE BOARD'!#REF!</f>
        <v>#REF!</v>
      </c>
      <c r="I184" s="68" t="e">
        <f>'THE BOARD'!#REF!</f>
        <v>#REF!</v>
      </c>
      <c r="J184" s="68" t="e">
        <f>'THE BOARD'!#REF!</f>
        <v>#REF!</v>
      </c>
      <c r="K184" s="68" t="e">
        <f>'THE BOARD'!#REF!</f>
        <v>#REF!</v>
      </c>
    </row>
    <row r="185" spans="1:11" ht="12.75" x14ac:dyDescent="0.2">
      <c r="A185" s="68" t="e">
        <f>'THE BOARD'!#REF!</f>
        <v>#REF!</v>
      </c>
      <c r="B185" s="68" t="e">
        <f>'THE BOARD'!#REF!</f>
        <v>#REF!</v>
      </c>
      <c r="C185" s="99" t="e">
        <f>IF('THE BOARD'!#REF! = "NESTED","",IF('THE BOARD'!#REF!&lt;&gt;"",'THE BOARD'!#REF!+0.72,""))</f>
        <v>#REF!</v>
      </c>
      <c r="D185" s="99" t="e">
        <f>IF(C185&lt;&gt;"", IF('THE BOARD'!#REF! = "NESTED","",'THE BOARD'!#REF! + IF(C185&lt;&gt;"", 0.72,0)),"")</f>
        <v>#REF!</v>
      </c>
      <c r="E185" s="68" t="e">
        <f>'THE BOARD'!#REF!</f>
        <v>#REF!</v>
      </c>
      <c r="F185" s="68" t="e">
        <f>'THE BOARD'!#REF!</f>
        <v>#REF!</v>
      </c>
      <c r="G185" s="68" t="e">
        <f>'THE BOARD'!#REF!</f>
        <v>#REF!</v>
      </c>
      <c r="H185" s="68" t="e">
        <f>'THE BOARD'!#REF!</f>
        <v>#REF!</v>
      </c>
      <c r="I185" s="68" t="e">
        <f>'THE BOARD'!#REF!</f>
        <v>#REF!</v>
      </c>
      <c r="J185" s="68" t="e">
        <f>'THE BOARD'!#REF!</f>
        <v>#REF!</v>
      </c>
      <c r="K185" s="68" t="e">
        <f>'THE BOARD'!#REF!</f>
        <v>#REF!</v>
      </c>
    </row>
    <row r="186" spans="1:11" ht="12.75" x14ac:dyDescent="0.2">
      <c r="A186" s="68" t="e">
        <f>'THE BOARD'!#REF!</f>
        <v>#REF!</v>
      </c>
      <c r="B186" s="96" t="e">
        <f>'THE BOARD'!#REF!</f>
        <v>#REF!</v>
      </c>
      <c r="C186" s="99" t="e">
        <f>IF('THE BOARD'!#REF! = "NESTED","",IF('THE BOARD'!#REF!&lt;&gt;"",'THE BOARD'!#REF!+0.72,""))</f>
        <v>#REF!</v>
      </c>
      <c r="D186" s="99" t="e">
        <f>IF(C186&lt;&gt;"", IF('THE BOARD'!#REF! = "NESTED","",'THE BOARD'!#REF! + IF(C186&lt;&gt;"", 0.72,0)),"")</f>
        <v>#REF!</v>
      </c>
      <c r="E186" s="68" t="e">
        <f>'THE BOARD'!#REF!</f>
        <v>#REF!</v>
      </c>
      <c r="F186" s="68" t="e">
        <f>'THE BOARD'!#REF!</f>
        <v>#REF!</v>
      </c>
      <c r="G186" s="68" t="e">
        <f>'THE BOARD'!#REF!</f>
        <v>#REF!</v>
      </c>
      <c r="H186" s="68" t="e">
        <f>'THE BOARD'!#REF!</f>
        <v>#REF!</v>
      </c>
      <c r="I186" s="68" t="e">
        <f>'THE BOARD'!#REF!</f>
        <v>#REF!</v>
      </c>
      <c r="J186" s="68" t="e">
        <f>'THE BOARD'!#REF!</f>
        <v>#REF!</v>
      </c>
      <c r="K186" s="68" t="e">
        <f>'THE BOARD'!#REF!</f>
        <v>#REF!</v>
      </c>
    </row>
    <row r="187" spans="1:11" ht="12.75" x14ac:dyDescent="0.2">
      <c r="A187" s="68" t="e">
        <f>'THE BOARD'!#REF!</f>
        <v>#REF!</v>
      </c>
      <c r="B187" s="68" t="e">
        <f>'THE BOARD'!#REF!</f>
        <v>#REF!</v>
      </c>
      <c r="C187" s="99" t="e">
        <f>IF('THE BOARD'!#REF! = "NESTED","",IF('THE BOARD'!#REF!&lt;&gt;"",'THE BOARD'!#REF!+0.72,""))</f>
        <v>#REF!</v>
      </c>
      <c r="D187" s="99" t="e">
        <f>IF(C187&lt;&gt;"", IF('THE BOARD'!#REF! = "NESTED","",'THE BOARD'!#REF! + IF(C187&lt;&gt;"", 0.72,0)),"")</f>
        <v>#REF!</v>
      </c>
      <c r="E187" s="68" t="e">
        <f>'THE BOARD'!#REF!</f>
        <v>#REF!</v>
      </c>
      <c r="F187" s="68" t="e">
        <f>'THE BOARD'!#REF!</f>
        <v>#REF!</v>
      </c>
      <c r="G187" s="68" t="e">
        <f>'THE BOARD'!#REF!</f>
        <v>#REF!</v>
      </c>
      <c r="H187" s="68" t="e">
        <f>'THE BOARD'!#REF!</f>
        <v>#REF!</v>
      </c>
      <c r="I187" s="68" t="e">
        <f>'THE BOARD'!#REF!</f>
        <v>#REF!</v>
      </c>
      <c r="J187" s="68" t="e">
        <f>'THE BOARD'!#REF!</f>
        <v>#REF!</v>
      </c>
      <c r="K187" s="68" t="e">
        <f>'THE BOARD'!#REF!</f>
        <v>#REF!</v>
      </c>
    </row>
    <row r="188" spans="1:11" ht="12.75" x14ac:dyDescent="0.2">
      <c r="A188" s="68" t="e">
        <f>'THE BOARD'!#REF!</f>
        <v>#REF!</v>
      </c>
      <c r="B188" s="68" t="e">
        <f>'THE BOARD'!#REF!</f>
        <v>#REF!</v>
      </c>
      <c r="C188" s="99" t="e">
        <f>IF('THE BOARD'!#REF! = "NESTED","",IF('THE BOARD'!#REF!&lt;&gt;"",'THE BOARD'!#REF!+0.72,""))</f>
        <v>#REF!</v>
      </c>
      <c r="D188" s="99" t="e">
        <f>IF(C188&lt;&gt;"", IF('THE BOARD'!#REF! = "NESTED","",'THE BOARD'!#REF! + IF(C188&lt;&gt;"", 0.72,0)),"")</f>
        <v>#REF!</v>
      </c>
      <c r="E188" s="68" t="e">
        <f>'THE BOARD'!#REF!</f>
        <v>#REF!</v>
      </c>
      <c r="F188" s="68" t="e">
        <f>'THE BOARD'!#REF!</f>
        <v>#REF!</v>
      </c>
      <c r="G188" s="68" t="e">
        <f>'THE BOARD'!#REF!</f>
        <v>#REF!</v>
      </c>
      <c r="H188" s="68" t="e">
        <f>'THE BOARD'!#REF!</f>
        <v>#REF!</v>
      </c>
      <c r="I188" s="68" t="e">
        <f>'THE BOARD'!#REF!</f>
        <v>#REF!</v>
      </c>
      <c r="J188" s="68" t="e">
        <f>'THE BOARD'!#REF!</f>
        <v>#REF!</v>
      </c>
      <c r="K188" s="68" t="e">
        <f>'THE BOARD'!#REF!</f>
        <v>#REF!</v>
      </c>
    </row>
    <row r="189" spans="1:11" ht="12.75" x14ac:dyDescent="0.2">
      <c r="A189" s="68" t="e">
        <f>'THE BOARD'!#REF!</f>
        <v>#REF!</v>
      </c>
      <c r="B189" s="68" t="e">
        <f>'THE BOARD'!#REF!</f>
        <v>#REF!</v>
      </c>
      <c r="C189" s="99" t="e">
        <f>IF('THE BOARD'!#REF! = "NESTED","",IF('THE BOARD'!#REF!&lt;&gt;"",'THE BOARD'!#REF!+0.72,""))</f>
        <v>#REF!</v>
      </c>
      <c r="D189" s="99" t="e">
        <f>IF(C189&lt;&gt;"", IF('THE BOARD'!#REF! = "NESTED","",'THE BOARD'!#REF! + IF(C189&lt;&gt;"", 0.72,0)),"")</f>
        <v>#REF!</v>
      </c>
      <c r="E189" s="68" t="e">
        <f>'THE BOARD'!#REF!</f>
        <v>#REF!</v>
      </c>
      <c r="F189" s="68" t="e">
        <f>'THE BOARD'!#REF!</f>
        <v>#REF!</v>
      </c>
      <c r="G189" s="68" t="e">
        <f>'THE BOARD'!#REF!</f>
        <v>#REF!</v>
      </c>
      <c r="H189" s="68" t="e">
        <f>'THE BOARD'!#REF!</f>
        <v>#REF!</v>
      </c>
      <c r="I189" s="68" t="e">
        <f>'THE BOARD'!#REF!</f>
        <v>#REF!</v>
      </c>
      <c r="J189" s="68" t="e">
        <f>'THE BOARD'!#REF!</f>
        <v>#REF!</v>
      </c>
      <c r="K189" s="68" t="e">
        <f>'THE BOARD'!#REF!</f>
        <v>#REF!</v>
      </c>
    </row>
    <row r="190" spans="1:11" ht="12.75" x14ac:dyDescent="0.2">
      <c r="A190" s="68" t="e">
        <f>'THE BOARD'!#REF!</f>
        <v>#REF!</v>
      </c>
      <c r="B190" s="68" t="e">
        <f>'THE BOARD'!#REF!</f>
        <v>#REF!</v>
      </c>
      <c r="C190" s="99" t="e">
        <f>IF('THE BOARD'!#REF! = "NESTED","",IF('THE BOARD'!#REF!&lt;&gt;"",'THE BOARD'!#REF!+0.72,""))</f>
        <v>#REF!</v>
      </c>
      <c r="D190" s="99" t="e">
        <f>IF(C190&lt;&gt;"", IF('THE BOARD'!#REF! = "NESTED","",'THE BOARD'!#REF! + IF(C190&lt;&gt;"", 0.72,0)),"")</f>
        <v>#REF!</v>
      </c>
      <c r="E190" s="68" t="e">
        <f>'THE BOARD'!#REF!</f>
        <v>#REF!</v>
      </c>
      <c r="F190" s="68" t="e">
        <f>'THE BOARD'!#REF!</f>
        <v>#REF!</v>
      </c>
      <c r="G190" s="68" t="e">
        <f>'THE BOARD'!#REF!</f>
        <v>#REF!</v>
      </c>
      <c r="H190" s="68" t="e">
        <f>'THE BOARD'!#REF!</f>
        <v>#REF!</v>
      </c>
      <c r="I190" s="68" t="e">
        <f>'THE BOARD'!#REF!</f>
        <v>#REF!</v>
      </c>
      <c r="J190" s="68" t="e">
        <f>'THE BOARD'!#REF!</f>
        <v>#REF!</v>
      </c>
      <c r="K190" s="68" t="e">
        <f>'THE BOARD'!#REF!</f>
        <v>#REF!</v>
      </c>
    </row>
    <row r="191" spans="1:11" ht="12.75" x14ac:dyDescent="0.2">
      <c r="A191" s="68" t="e">
        <f>'THE BOARD'!#REF!</f>
        <v>#REF!</v>
      </c>
      <c r="B191" s="68" t="e">
        <f>'THE BOARD'!#REF!</f>
        <v>#REF!</v>
      </c>
      <c r="C191" s="99" t="e">
        <f>IF('THE BOARD'!#REF! = "NESTED","",IF('THE BOARD'!#REF!&lt;&gt;"",'THE BOARD'!#REF!+0.72,""))</f>
        <v>#REF!</v>
      </c>
      <c r="D191" s="99" t="e">
        <f>IF(C191&lt;&gt;"", IF('THE BOARD'!#REF! = "NESTED","",'THE BOARD'!#REF! + IF(C191&lt;&gt;"", 0.72,0)),"")</f>
        <v>#REF!</v>
      </c>
      <c r="E191" s="68" t="e">
        <f>'THE BOARD'!#REF!</f>
        <v>#REF!</v>
      </c>
      <c r="F191" s="68" t="e">
        <f>'THE BOARD'!#REF!</f>
        <v>#REF!</v>
      </c>
      <c r="G191" s="68" t="e">
        <f>'THE BOARD'!#REF!</f>
        <v>#REF!</v>
      </c>
      <c r="H191" s="68" t="e">
        <f>'THE BOARD'!#REF!</f>
        <v>#REF!</v>
      </c>
      <c r="I191" s="68" t="e">
        <f>'THE BOARD'!#REF!</f>
        <v>#REF!</v>
      </c>
      <c r="J191" s="68" t="e">
        <f>'THE BOARD'!#REF!</f>
        <v>#REF!</v>
      </c>
      <c r="K191" s="68" t="e">
        <f>'THE BOARD'!#REF!</f>
        <v>#REF!</v>
      </c>
    </row>
    <row r="192" spans="1:11" ht="12.75" x14ac:dyDescent="0.2">
      <c r="A192" s="68" t="e">
        <f>'THE BOARD'!#REF!</f>
        <v>#REF!</v>
      </c>
      <c r="B192" s="68" t="e">
        <f>'THE BOARD'!#REF!</f>
        <v>#REF!</v>
      </c>
      <c r="C192" s="99" t="e">
        <f>IF('THE BOARD'!#REF! = "NESTED","",IF('THE BOARD'!#REF!&lt;&gt;"",'THE BOARD'!#REF!+0.72,""))</f>
        <v>#REF!</v>
      </c>
      <c r="D192" s="99" t="e">
        <f>IF(C192&lt;&gt;"", IF('THE BOARD'!#REF! = "NESTED","",'THE BOARD'!#REF! + IF(C192&lt;&gt;"", 0.72,0)),"")</f>
        <v>#REF!</v>
      </c>
      <c r="E192" s="68" t="e">
        <f>'THE BOARD'!#REF!</f>
        <v>#REF!</v>
      </c>
      <c r="F192" s="68" t="e">
        <f>'THE BOARD'!#REF!</f>
        <v>#REF!</v>
      </c>
      <c r="G192" s="68" t="e">
        <f>'THE BOARD'!#REF!</f>
        <v>#REF!</v>
      </c>
      <c r="H192" s="68" t="e">
        <f>'THE BOARD'!#REF!</f>
        <v>#REF!</v>
      </c>
      <c r="I192" s="68" t="e">
        <f>'THE BOARD'!#REF!</f>
        <v>#REF!</v>
      </c>
      <c r="J192" s="68" t="e">
        <f>'THE BOARD'!#REF!</f>
        <v>#REF!</v>
      </c>
      <c r="K192" s="68" t="e">
        <f>'THE BOARD'!#REF!</f>
        <v>#REF!</v>
      </c>
    </row>
    <row r="193" spans="1:11" ht="12.75" x14ac:dyDescent="0.2">
      <c r="A193" s="68" t="e">
        <f>'THE BOARD'!#REF!</f>
        <v>#REF!</v>
      </c>
      <c r="B193" s="68" t="e">
        <f>'THE BOARD'!#REF!</f>
        <v>#REF!</v>
      </c>
      <c r="C193" s="99" t="e">
        <f>IF('THE BOARD'!#REF! = "NESTED","",IF('THE BOARD'!#REF!&lt;&gt;"",'THE BOARD'!#REF!+0.72,""))</f>
        <v>#REF!</v>
      </c>
      <c r="D193" s="99" t="e">
        <f>IF(C193&lt;&gt;"", IF('THE BOARD'!#REF! = "NESTED","",'THE BOARD'!#REF! + IF(C193&lt;&gt;"", 0.72,0)),"")</f>
        <v>#REF!</v>
      </c>
      <c r="E193" s="68" t="e">
        <f>'THE BOARD'!#REF!</f>
        <v>#REF!</v>
      </c>
      <c r="F193" s="68" t="e">
        <f>'THE BOARD'!#REF!</f>
        <v>#REF!</v>
      </c>
      <c r="G193" s="68" t="e">
        <f>'THE BOARD'!#REF!</f>
        <v>#REF!</v>
      </c>
      <c r="H193" s="68" t="e">
        <f>'THE BOARD'!#REF!</f>
        <v>#REF!</v>
      </c>
      <c r="I193" s="68" t="e">
        <f>'THE BOARD'!#REF!</f>
        <v>#REF!</v>
      </c>
      <c r="J193" s="68" t="e">
        <f>'THE BOARD'!#REF!</f>
        <v>#REF!</v>
      </c>
      <c r="K193" s="68" t="e">
        <f>'THE BOARD'!#REF!</f>
        <v>#REF!</v>
      </c>
    </row>
    <row r="194" spans="1:11" ht="12.75" x14ac:dyDescent="0.2">
      <c r="A194" s="68" t="e">
        <f>'THE BOARD'!#REF!</f>
        <v>#REF!</v>
      </c>
      <c r="B194" s="68" t="e">
        <f>'THE BOARD'!#REF!</f>
        <v>#REF!</v>
      </c>
      <c r="C194" s="99" t="e">
        <f>IF('THE BOARD'!#REF! = "NESTED","",IF('THE BOARD'!#REF!&lt;&gt;"",'THE BOARD'!#REF!+0.72,""))</f>
        <v>#REF!</v>
      </c>
      <c r="D194" s="99" t="e">
        <f>IF(C194&lt;&gt;"", IF('THE BOARD'!#REF! = "NESTED","",'THE BOARD'!#REF! + IF(C194&lt;&gt;"", 0.72,0)),"")</f>
        <v>#REF!</v>
      </c>
      <c r="E194" s="68" t="e">
        <f>'THE BOARD'!#REF!</f>
        <v>#REF!</v>
      </c>
      <c r="F194" s="68" t="e">
        <f>'THE BOARD'!#REF!</f>
        <v>#REF!</v>
      </c>
      <c r="G194" s="68" t="e">
        <f>'THE BOARD'!#REF!</f>
        <v>#REF!</v>
      </c>
      <c r="H194" s="68" t="e">
        <f>'THE BOARD'!#REF!</f>
        <v>#REF!</v>
      </c>
      <c r="I194" s="68" t="e">
        <f>'THE BOARD'!#REF!</f>
        <v>#REF!</v>
      </c>
      <c r="J194" s="68" t="e">
        <f>'THE BOARD'!#REF!</f>
        <v>#REF!</v>
      </c>
      <c r="K194" s="68" t="e">
        <f>'THE BOARD'!#REF!</f>
        <v>#REF!</v>
      </c>
    </row>
    <row r="195" spans="1:11" ht="12.75" x14ac:dyDescent="0.2">
      <c r="A195" s="68" t="e">
        <f>'THE BOARD'!#REF!</f>
        <v>#REF!</v>
      </c>
      <c r="B195" s="68" t="e">
        <f>'THE BOARD'!#REF!</f>
        <v>#REF!</v>
      </c>
      <c r="C195" s="99" t="e">
        <f>IF('THE BOARD'!#REF! = "NESTED","",IF('THE BOARD'!#REF!&lt;&gt;"",'THE BOARD'!#REF!+0.72,""))</f>
        <v>#REF!</v>
      </c>
      <c r="D195" s="99" t="e">
        <f>IF(C195&lt;&gt;"", IF('THE BOARD'!#REF! = "NESTED","",'THE BOARD'!#REF! + IF(C195&lt;&gt;"", 0.72,0)),"")</f>
        <v>#REF!</v>
      </c>
      <c r="E195" s="68" t="e">
        <f>'THE BOARD'!#REF!</f>
        <v>#REF!</v>
      </c>
      <c r="F195" s="68" t="e">
        <f>'THE BOARD'!#REF!</f>
        <v>#REF!</v>
      </c>
      <c r="G195" s="68" t="e">
        <f>'THE BOARD'!#REF!</f>
        <v>#REF!</v>
      </c>
      <c r="H195" s="68" t="e">
        <f>'THE BOARD'!#REF!</f>
        <v>#REF!</v>
      </c>
      <c r="I195" s="68" t="e">
        <f>'THE BOARD'!#REF!</f>
        <v>#REF!</v>
      </c>
      <c r="J195" s="68" t="e">
        <f>'THE BOARD'!#REF!</f>
        <v>#REF!</v>
      </c>
      <c r="K195" s="68" t="e">
        <f>'THE BOARD'!#REF!</f>
        <v>#REF!</v>
      </c>
    </row>
    <row r="196" spans="1:11" ht="12.75" x14ac:dyDescent="0.2">
      <c r="A196" s="68" t="e">
        <f>'THE BOARD'!#REF!</f>
        <v>#REF!</v>
      </c>
      <c r="B196" s="68" t="e">
        <f>'THE BOARD'!#REF!</f>
        <v>#REF!</v>
      </c>
      <c r="C196" s="99" t="e">
        <f>IF('THE BOARD'!#REF! = "NESTED","",IF('THE BOARD'!#REF!&lt;&gt;"",'THE BOARD'!#REF!+0.72,""))</f>
        <v>#REF!</v>
      </c>
      <c r="D196" s="99" t="e">
        <f>IF(C196&lt;&gt;"", IF('THE BOARD'!#REF! = "NESTED","",'THE BOARD'!#REF! + IF(C196&lt;&gt;"", 0.72,0)),"")</f>
        <v>#REF!</v>
      </c>
      <c r="E196" s="68" t="e">
        <f>'THE BOARD'!#REF!</f>
        <v>#REF!</v>
      </c>
      <c r="F196" s="68" t="e">
        <f>'THE BOARD'!#REF!</f>
        <v>#REF!</v>
      </c>
      <c r="G196" s="68" t="e">
        <f>'THE BOARD'!#REF!</f>
        <v>#REF!</v>
      </c>
      <c r="H196" s="68" t="e">
        <f>'THE BOARD'!#REF!</f>
        <v>#REF!</v>
      </c>
      <c r="I196" s="68" t="e">
        <f>'THE BOARD'!#REF!</f>
        <v>#REF!</v>
      </c>
      <c r="J196" s="68" t="e">
        <f>'THE BOARD'!#REF!</f>
        <v>#REF!</v>
      </c>
      <c r="K196" s="68" t="e">
        <f>'THE BOARD'!#REF!</f>
        <v>#REF!</v>
      </c>
    </row>
    <row r="197" spans="1:11" ht="12.75" x14ac:dyDescent="0.2">
      <c r="A197" s="68" t="e">
        <f>'THE BOARD'!#REF!</f>
        <v>#REF!</v>
      </c>
      <c r="B197" s="68" t="e">
        <f>'THE BOARD'!#REF!</f>
        <v>#REF!</v>
      </c>
      <c r="C197" s="99" t="e">
        <f>IF('THE BOARD'!#REF! = "NESTED","",IF('THE BOARD'!#REF!&lt;&gt;"",'THE BOARD'!#REF!+0.72,""))</f>
        <v>#REF!</v>
      </c>
      <c r="D197" s="99" t="e">
        <f>IF(C197&lt;&gt;"", IF('THE BOARD'!#REF! = "NESTED","",'THE BOARD'!#REF! + IF(C197&lt;&gt;"", 0.72,0)),"")</f>
        <v>#REF!</v>
      </c>
      <c r="E197" s="68" t="e">
        <f>'THE BOARD'!#REF!</f>
        <v>#REF!</v>
      </c>
      <c r="F197" s="68" t="e">
        <f>'THE BOARD'!#REF!</f>
        <v>#REF!</v>
      </c>
      <c r="G197" s="68" t="e">
        <f>'THE BOARD'!#REF!</f>
        <v>#REF!</v>
      </c>
      <c r="H197" s="68" t="e">
        <f>'THE BOARD'!#REF!</f>
        <v>#REF!</v>
      </c>
      <c r="I197" s="68" t="e">
        <f>'THE BOARD'!#REF!</f>
        <v>#REF!</v>
      </c>
      <c r="J197" s="68" t="e">
        <f>'THE BOARD'!#REF!</f>
        <v>#REF!</v>
      </c>
      <c r="K197" s="68" t="e">
        <f>'THE BOARD'!#REF!</f>
        <v>#REF!</v>
      </c>
    </row>
    <row r="198" spans="1:11" ht="12.75" x14ac:dyDescent="0.2">
      <c r="A198" s="68" t="e">
        <f>'THE BOARD'!#REF!</f>
        <v>#REF!</v>
      </c>
      <c r="B198" s="68" t="e">
        <f>'THE BOARD'!#REF!</f>
        <v>#REF!</v>
      </c>
      <c r="C198" s="99" t="e">
        <f>IF('THE BOARD'!#REF! = "NESTED","",IF('THE BOARD'!#REF!&lt;&gt;"",'THE BOARD'!#REF!+0.72,""))</f>
        <v>#REF!</v>
      </c>
      <c r="D198" s="99" t="e">
        <f>IF(C198&lt;&gt;"", IF('THE BOARD'!#REF! = "NESTED","",'THE BOARD'!#REF! + IF(C198&lt;&gt;"", 0.72,0)),"")</f>
        <v>#REF!</v>
      </c>
      <c r="E198" s="68" t="e">
        <f>'THE BOARD'!#REF!</f>
        <v>#REF!</v>
      </c>
      <c r="F198" s="68" t="e">
        <f>'THE BOARD'!#REF!</f>
        <v>#REF!</v>
      </c>
      <c r="G198" s="68" t="e">
        <f>'THE BOARD'!#REF!</f>
        <v>#REF!</v>
      </c>
      <c r="H198" s="68" t="e">
        <f>'THE BOARD'!#REF!</f>
        <v>#REF!</v>
      </c>
      <c r="I198" s="68" t="e">
        <f>'THE BOARD'!#REF!</f>
        <v>#REF!</v>
      </c>
      <c r="J198" s="68" t="e">
        <f>'THE BOARD'!#REF!</f>
        <v>#REF!</v>
      </c>
      <c r="K198" s="68" t="e">
        <f>'THE BOARD'!#REF!</f>
        <v>#REF!</v>
      </c>
    </row>
    <row r="199" spans="1:11" ht="12.75" x14ac:dyDescent="0.2">
      <c r="A199" s="68" t="e">
        <f>'THE BOARD'!#REF!</f>
        <v>#REF!</v>
      </c>
      <c r="B199" s="68" t="e">
        <f>'THE BOARD'!#REF!</f>
        <v>#REF!</v>
      </c>
      <c r="C199" s="99" t="e">
        <f>IF('THE BOARD'!#REF! = "NESTED","",IF('THE BOARD'!#REF!&lt;&gt;"",'THE BOARD'!#REF!+0.72,""))</f>
        <v>#REF!</v>
      </c>
      <c r="D199" s="99" t="e">
        <f>IF(C199&lt;&gt;"", IF('THE BOARD'!#REF! = "NESTED","",'THE BOARD'!#REF! + IF(C199&lt;&gt;"", 0.72,0)),"")</f>
        <v>#REF!</v>
      </c>
      <c r="E199" s="68" t="e">
        <f>'THE BOARD'!#REF!</f>
        <v>#REF!</v>
      </c>
      <c r="F199" s="68" t="e">
        <f>'THE BOARD'!#REF!</f>
        <v>#REF!</v>
      </c>
      <c r="G199" s="68" t="e">
        <f>'THE BOARD'!#REF!</f>
        <v>#REF!</v>
      </c>
      <c r="H199" s="68" t="e">
        <f>'THE BOARD'!#REF!</f>
        <v>#REF!</v>
      </c>
      <c r="I199" s="68" t="e">
        <f>'THE BOARD'!#REF!</f>
        <v>#REF!</v>
      </c>
      <c r="J199" s="68" t="e">
        <f>'THE BOARD'!#REF!</f>
        <v>#REF!</v>
      </c>
      <c r="K199" s="68" t="e">
        <f>'THE BOARD'!#REF!</f>
        <v>#REF!</v>
      </c>
    </row>
    <row r="200" spans="1:11" ht="12.75" x14ac:dyDescent="0.2">
      <c r="A200" s="68" t="e">
        <f>'THE BOARD'!#REF!</f>
        <v>#REF!</v>
      </c>
      <c r="B200" s="68" t="e">
        <f>'THE BOARD'!#REF!</f>
        <v>#REF!</v>
      </c>
      <c r="C200" s="99" t="e">
        <f>IF('THE BOARD'!#REF! = "NESTED","",IF('THE BOARD'!#REF!&lt;&gt;"",'THE BOARD'!#REF!+0.72,""))</f>
        <v>#REF!</v>
      </c>
      <c r="D200" s="99" t="e">
        <f>IF(C200&lt;&gt;"", IF('THE BOARD'!#REF! = "NESTED","",'THE BOARD'!#REF! + IF(C200&lt;&gt;"", 0.72,0)),"")</f>
        <v>#REF!</v>
      </c>
      <c r="E200" s="68" t="e">
        <f>'THE BOARD'!#REF!</f>
        <v>#REF!</v>
      </c>
      <c r="F200" s="68" t="e">
        <f>'THE BOARD'!#REF!</f>
        <v>#REF!</v>
      </c>
      <c r="G200" s="68" t="e">
        <f>'THE BOARD'!#REF!</f>
        <v>#REF!</v>
      </c>
      <c r="H200" s="68" t="e">
        <f>'THE BOARD'!#REF!</f>
        <v>#REF!</v>
      </c>
      <c r="I200" s="68" t="e">
        <f>'THE BOARD'!#REF!</f>
        <v>#REF!</v>
      </c>
      <c r="J200" s="68" t="e">
        <f>'THE BOARD'!#REF!</f>
        <v>#REF!</v>
      </c>
      <c r="K200" s="68" t="e">
        <f>'THE BOARD'!#REF!</f>
        <v>#REF!</v>
      </c>
    </row>
    <row r="201" spans="1:11" ht="12.75" x14ac:dyDescent="0.2">
      <c r="A201" s="68" t="e">
        <f>'THE BOARD'!#REF!</f>
        <v>#REF!</v>
      </c>
      <c r="B201" s="68" t="e">
        <f>'THE BOARD'!#REF!</f>
        <v>#REF!</v>
      </c>
      <c r="C201" s="99" t="e">
        <f>IF('THE BOARD'!#REF! = "NESTED","",IF('THE BOARD'!#REF!&lt;&gt;"",'THE BOARD'!#REF!+0.72,""))</f>
        <v>#REF!</v>
      </c>
      <c r="D201" s="99" t="e">
        <f>IF(C201&lt;&gt;"", IF('THE BOARD'!#REF! = "NESTED","",'THE BOARD'!#REF! + IF(C201&lt;&gt;"", 0.72,0)),"")</f>
        <v>#REF!</v>
      </c>
      <c r="E201" s="68" t="e">
        <f>'THE BOARD'!#REF!</f>
        <v>#REF!</v>
      </c>
      <c r="F201" s="68" t="e">
        <f>'THE BOARD'!#REF!</f>
        <v>#REF!</v>
      </c>
      <c r="G201" s="68" t="e">
        <f>'THE BOARD'!#REF!</f>
        <v>#REF!</v>
      </c>
      <c r="H201" s="68" t="e">
        <f>'THE BOARD'!#REF!</f>
        <v>#REF!</v>
      </c>
      <c r="I201" s="68" t="e">
        <f>'THE BOARD'!#REF!</f>
        <v>#REF!</v>
      </c>
      <c r="J201" s="68" t="e">
        <f>'THE BOARD'!#REF!</f>
        <v>#REF!</v>
      </c>
      <c r="K201" s="68" t="e">
        <f>'THE BOARD'!#REF!</f>
        <v>#REF!</v>
      </c>
    </row>
    <row r="202" spans="1:11" ht="12.75" x14ac:dyDescent="0.2">
      <c r="A202" s="68" t="e">
        <f>'THE BOARD'!#REF!</f>
        <v>#REF!</v>
      </c>
      <c r="B202" s="68" t="e">
        <f>'THE BOARD'!#REF!</f>
        <v>#REF!</v>
      </c>
      <c r="C202" s="99" t="e">
        <f>IF('THE BOARD'!#REF! = "NESTED","",IF('THE BOARD'!#REF!&lt;&gt;"",'THE BOARD'!#REF!+0.72,""))</f>
        <v>#REF!</v>
      </c>
      <c r="D202" s="99" t="e">
        <f>IF(C202&lt;&gt;"", IF('THE BOARD'!#REF! = "NESTED","",'THE BOARD'!#REF! + IF(C202&lt;&gt;"", 0.72,0)),"")</f>
        <v>#REF!</v>
      </c>
      <c r="E202" s="68" t="e">
        <f>'THE BOARD'!#REF!</f>
        <v>#REF!</v>
      </c>
      <c r="F202" s="68" t="e">
        <f>'THE BOARD'!#REF!</f>
        <v>#REF!</v>
      </c>
      <c r="G202" s="68" t="e">
        <f>'THE BOARD'!#REF!</f>
        <v>#REF!</v>
      </c>
      <c r="H202" s="68" t="e">
        <f>'THE BOARD'!#REF!</f>
        <v>#REF!</v>
      </c>
      <c r="I202" s="68" t="e">
        <f>'THE BOARD'!#REF!</f>
        <v>#REF!</v>
      </c>
      <c r="J202" s="68" t="e">
        <f>'THE BOARD'!#REF!</f>
        <v>#REF!</v>
      </c>
      <c r="K202" s="68" t="e">
        <f>'THE BOARD'!#REF!</f>
        <v>#REF!</v>
      </c>
    </row>
    <row r="203" spans="1:11" ht="12.75" x14ac:dyDescent="0.2">
      <c r="A203" s="68" t="e">
        <f>'THE BOARD'!#REF!</f>
        <v>#REF!</v>
      </c>
      <c r="B203" s="68" t="e">
        <f>'THE BOARD'!#REF!</f>
        <v>#REF!</v>
      </c>
      <c r="C203" s="99" t="e">
        <f>IF('THE BOARD'!#REF! = "NESTED","",IF('THE BOARD'!#REF!&lt;&gt;"",'THE BOARD'!#REF!+0.72,""))</f>
        <v>#REF!</v>
      </c>
      <c r="D203" s="99" t="e">
        <f>IF(C203&lt;&gt;"", IF('THE BOARD'!#REF! = "NESTED","",'THE BOARD'!#REF! + IF(C203&lt;&gt;"", 0.72,0)),"")</f>
        <v>#REF!</v>
      </c>
      <c r="E203" s="68" t="e">
        <f>'THE BOARD'!#REF!</f>
        <v>#REF!</v>
      </c>
      <c r="F203" s="68" t="e">
        <f>'THE BOARD'!#REF!</f>
        <v>#REF!</v>
      </c>
      <c r="G203" s="68" t="e">
        <f>'THE BOARD'!#REF!</f>
        <v>#REF!</v>
      </c>
      <c r="H203" s="68" t="e">
        <f>'THE BOARD'!#REF!</f>
        <v>#REF!</v>
      </c>
      <c r="I203" s="68" t="e">
        <f>'THE BOARD'!#REF!</f>
        <v>#REF!</v>
      </c>
      <c r="J203" s="68" t="e">
        <f>'THE BOARD'!#REF!</f>
        <v>#REF!</v>
      </c>
      <c r="K203" s="68" t="e">
        <f>'THE BOARD'!#REF!</f>
        <v>#REF!</v>
      </c>
    </row>
    <row r="204" spans="1:11" ht="12.75" x14ac:dyDescent="0.2">
      <c r="A204" s="68" t="e">
        <f>'THE BOARD'!#REF!</f>
        <v>#REF!</v>
      </c>
      <c r="B204" s="68" t="e">
        <f>'THE BOARD'!#REF!</f>
        <v>#REF!</v>
      </c>
      <c r="C204" s="99" t="e">
        <f>IF('THE BOARD'!#REF! = "NESTED","",IF('THE BOARD'!#REF!&lt;&gt;"",'THE BOARD'!#REF!+0.72,""))</f>
        <v>#REF!</v>
      </c>
      <c r="D204" s="99" t="e">
        <f>IF(C204&lt;&gt;"", IF('THE BOARD'!#REF! = "NESTED","",'THE BOARD'!#REF! + IF(C204&lt;&gt;"", 0.72,0)),"")</f>
        <v>#REF!</v>
      </c>
      <c r="E204" s="68" t="e">
        <f>'THE BOARD'!#REF!</f>
        <v>#REF!</v>
      </c>
      <c r="F204" s="68" t="e">
        <f>'THE BOARD'!#REF!</f>
        <v>#REF!</v>
      </c>
      <c r="G204" s="68" t="e">
        <f>'THE BOARD'!#REF!</f>
        <v>#REF!</v>
      </c>
      <c r="H204" s="68" t="e">
        <f>'THE BOARD'!#REF!</f>
        <v>#REF!</v>
      </c>
      <c r="I204" s="68" t="e">
        <f>'THE BOARD'!#REF!</f>
        <v>#REF!</v>
      </c>
      <c r="J204" s="68" t="e">
        <f>'THE BOARD'!#REF!</f>
        <v>#REF!</v>
      </c>
      <c r="K204" s="68" t="e">
        <f>'THE BOARD'!#REF!</f>
        <v>#REF!</v>
      </c>
    </row>
    <row r="205" spans="1:11" ht="12.75" x14ac:dyDescent="0.2">
      <c r="A205" s="68" t="e">
        <f>'THE BOARD'!#REF!</f>
        <v>#REF!</v>
      </c>
      <c r="B205" s="68" t="e">
        <f>'THE BOARD'!#REF!</f>
        <v>#REF!</v>
      </c>
      <c r="C205" s="99" t="e">
        <f>IF('THE BOARD'!#REF! = "NESTED","",IF('THE BOARD'!#REF!&lt;&gt;"",'THE BOARD'!#REF!+0.72,""))</f>
        <v>#REF!</v>
      </c>
      <c r="D205" s="99" t="e">
        <f>IF(C205&lt;&gt;"", IF('THE BOARD'!#REF! = "NESTED","",'THE BOARD'!#REF! + IF(C205&lt;&gt;"", 0.72,0)),"")</f>
        <v>#REF!</v>
      </c>
      <c r="E205" s="68" t="e">
        <f>'THE BOARD'!#REF!</f>
        <v>#REF!</v>
      </c>
      <c r="F205" s="68" t="e">
        <f>'THE BOARD'!#REF!</f>
        <v>#REF!</v>
      </c>
      <c r="G205" s="68" t="e">
        <f>'THE BOARD'!#REF!</f>
        <v>#REF!</v>
      </c>
      <c r="H205" s="68" t="e">
        <f>'THE BOARD'!#REF!</f>
        <v>#REF!</v>
      </c>
      <c r="I205" s="68" t="e">
        <f>'THE BOARD'!#REF!</f>
        <v>#REF!</v>
      </c>
      <c r="J205" s="68" t="e">
        <f>'THE BOARD'!#REF!</f>
        <v>#REF!</v>
      </c>
      <c r="K205" s="68" t="e">
        <f>'THE BOARD'!#REF!</f>
        <v>#REF!</v>
      </c>
    </row>
    <row r="206" spans="1:11" ht="12.75" x14ac:dyDescent="0.2">
      <c r="A206" s="68" t="e">
        <f>'THE BOARD'!#REF!</f>
        <v>#REF!</v>
      </c>
      <c r="B206" s="68" t="e">
        <f>'THE BOARD'!#REF!</f>
        <v>#REF!</v>
      </c>
      <c r="C206" s="99" t="e">
        <f>IF('THE BOARD'!#REF! = "NESTED","",IF('THE BOARD'!#REF!&lt;&gt;"",'THE BOARD'!#REF!+0.72,""))</f>
        <v>#REF!</v>
      </c>
      <c r="D206" s="99" t="e">
        <f>IF(C206&lt;&gt;"", IF('THE BOARD'!#REF! = "NESTED","",'THE BOARD'!#REF! + IF(C206&lt;&gt;"", 0.72,0)),"")</f>
        <v>#REF!</v>
      </c>
      <c r="E206" s="68" t="e">
        <f>'THE BOARD'!#REF!</f>
        <v>#REF!</v>
      </c>
      <c r="F206" s="68" t="e">
        <f>'THE BOARD'!#REF!</f>
        <v>#REF!</v>
      </c>
      <c r="G206" s="68" t="e">
        <f>'THE BOARD'!#REF!</f>
        <v>#REF!</v>
      </c>
      <c r="H206" s="68" t="e">
        <f>'THE BOARD'!#REF!</f>
        <v>#REF!</v>
      </c>
      <c r="I206" s="68" t="e">
        <f>'THE BOARD'!#REF!</f>
        <v>#REF!</v>
      </c>
      <c r="J206" s="68" t="e">
        <f>'THE BOARD'!#REF!</f>
        <v>#REF!</v>
      </c>
      <c r="K206" s="68" t="e">
        <f>'THE BOARD'!#REF!</f>
        <v>#REF!</v>
      </c>
    </row>
    <row r="207" spans="1:11" ht="12.75" x14ac:dyDescent="0.2">
      <c r="A207" s="68" t="e">
        <f>'THE BOARD'!#REF!</f>
        <v>#REF!</v>
      </c>
      <c r="B207" s="68" t="e">
        <f>'THE BOARD'!#REF!</f>
        <v>#REF!</v>
      </c>
      <c r="C207" s="99" t="e">
        <f>IF('THE BOARD'!#REF! = "NESTED","",IF('THE BOARD'!#REF!&lt;&gt;"",'THE BOARD'!#REF!+0.72,""))</f>
        <v>#REF!</v>
      </c>
      <c r="D207" s="99" t="e">
        <f>IF(C207&lt;&gt;"", IF('THE BOARD'!#REF! = "NESTED","",'THE BOARD'!#REF! + IF(C207&lt;&gt;"", 0.72,0)),"")</f>
        <v>#REF!</v>
      </c>
      <c r="E207" s="68" t="e">
        <f>'THE BOARD'!#REF!</f>
        <v>#REF!</v>
      </c>
      <c r="F207" s="68" t="e">
        <f>'THE BOARD'!#REF!</f>
        <v>#REF!</v>
      </c>
      <c r="G207" s="68" t="e">
        <f>'THE BOARD'!#REF!</f>
        <v>#REF!</v>
      </c>
      <c r="H207" s="68" t="e">
        <f>'THE BOARD'!#REF!</f>
        <v>#REF!</v>
      </c>
      <c r="I207" s="68" t="e">
        <f>'THE BOARD'!#REF!</f>
        <v>#REF!</v>
      </c>
      <c r="J207" s="68" t="e">
        <f>'THE BOARD'!#REF!</f>
        <v>#REF!</v>
      </c>
      <c r="K207" s="68" t="e">
        <f>'THE BOARD'!#REF!</f>
        <v>#REF!</v>
      </c>
    </row>
    <row r="208" spans="1:11" ht="12.75" x14ac:dyDescent="0.2">
      <c r="A208" s="68" t="e">
        <f>'THE BOARD'!#REF!</f>
        <v>#REF!</v>
      </c>
      <c r="B208" s="68" t="e">
        <f>'THE BOARD'!#REF!</f>
        <v>#REF!</v>
      </c>
      <c r="C208" s="99" t="e">
        <f>IF('THE BOARD'!#REF! = "NESTED","",IF('THE BOARD'!#REF!&lt;&gt;"",'THE BOARD'!#REF!+0.72,""))</f>
        <v>#REF!</v>
      </c>
      <c r="D208" s="99" t="e">
        <f>IF(C208&lt;&gt;"", IF('THE BOARD'!#REF! = "NESTED","",'THE BOARD'!#REF! + IF(C208&lt;&gt;"", 0.72,0)),"")</f>
        <v>#REF!</v>
      </c>
      <c r="E208" s="68" t="e">
        <f>'THE BOARD'!#REF!</f>
        <v>#REF!</v>
      </c>
      <c r="F208" s="68" t="e">
        <f>'THE BOARD'!#REF!</f>
        <v>#REF!</v>
      </c>
      <c r="G208" s="68" t="e">
        <f>'THE BOARD'!#REF!</f>
        <v>#REF!</v>
      </c>
      <c r="H208" s="68" t="e">
        <f>'THE BOARD'!#REF!</f>
        <v>#REF!</v>
      </c>
      <c r="I208" s="68" t="e">
        <f>'THE BOARD'!#REF!</f>
        <v>#REF!</v>
      </c>
      <c r="J208" s="68" t="e">
        <f>'THE BOARD'!#REF!</f>
        <v>#REF!</v>
      </c>
      <c r="K208" s="68" t="e">
        <f>'THE BOARD'!#REF!</f>
        <v>#REF!</v>
      </c>
    </row>
    <row r="209" spans="1:11" ht="12.75" x14ac:dyDescent="0.2">
      <c r="A209" s="68" t="e">
        <f>'THE BOARD'!#REF!</f>
        <v>#REF!</v>
      </c>
      <c r="B209" s="68" t="e">
        <f>'THE BOARD'!#REF!</f>
        <v>#REF!</v>
      </c>
      <c r="C209" s="99" t="e">
        <f>IF('THE BOARD'!#REF! = "NESTED","",IF('THE BOARD'!#REF!&lt;&gt;"",'THE BOARD'!#REF!+0.72,""))</f>
        <v>#REF!</v>
      </c>
      <c r="D209" s="99" t="e">
        <f>IF(C209&lt;&gt;"", IF('THE BOARD'!#REF! = "NESTED","",'THE BOARD'!#REF! + IF(C209&lt;&gt;"", 0.72,0)),"")</f>
        <v>#REF!</v>
      </c>
      <c r="E209" s="68" t="e">
        <f>'THE BOARD'!#REF!</f>
        <v>#REF!</v>
      </c>
      <c r="F209" s="68" t="e">
        <f>'THE BOARD'!#REF!</f>
        <v>#REF!</v>
      </c>
      <c r="G209" s="68" t="e">
        <f>'THE BOARD'!#REF!</f>
        <v>#REF!</v>
      </c>
      <c r="H209" s="68" t="e">
        <f>'THE BOARD'!#REF!</f>
        <v>#REF!</v>
      </c>
      <c r="I209" s="68" t="e">
        <f>'THE BOARD'!#REF!</f>
        <v>#REF!</v>
      </c>
      <c r="J209" s="68" t="e">
        <f>'THE BOARD'!#REF!</f>
        <v>#REF!</v>
      </c>
      <c r="K209" s="68" t="e">
        <f>'THE BOARD'!#REF!</f>
        <v>#REF!</v>
      </c>
    </row>
    <row r="210" spans="1:11" ht="12.75" x14ac:dyDescent="0.2">
      <c r="A210" s="68" t="e">
        <f>'THE BOARD'!#REF!</f>
        <v>#REF!</v>
      </c>
      <c r="B210" s="68" t="e">
        <f>'THE BOARD'!#REF!</f>
        <v>#REF!</v>
      </c>
      <c r="C210" s="99" t="e">
        <f>IF('THE BOARD'!#REF! = "NESTED","",IF('THE BOARD'!#REF!&lt;&gt;"",'THE BOARD'!#REF!+0.72,""))</f>
        <v>#REF!</v>
      </c>
      <c r="D210" s="99" t="e">
        <f>IF(C210&lt;&gt;"", IF('THE BOARD'!#REF! = "NESTED","",'THE BOARD'!#REF! + IF(C210&lt;&gt;"", 0.72,0)),"")</f>
        <v>#REF!</v>
      </c>
      <c r="E210" s="68" t="e">
        <f>'THE BOARD'!#REF!</f>
        <v>#REF!</v>
      </c>
      <c r="F210" s="68" t="e">
        <f>'THE BOARD'!#REF!</f>
        <v>#REF!</v>
      </c>
      <c r="G210" s="68" t="e">
        <f>'THE BOARD'!#REF!</f>
        <v>#REF!</v>
      </c>
      <c r="H210" s="68" t="e">
        <f>'THE BOARD'!#REF!</f>
        <v>#REF!</v>
      </c>
      <c r="I210" s="68" t="e">
        <f>'THE BOARD'!#REF!</f>
        <v>#REF!</v>
      </c>
      <c r="J210" s="68" t="e">
        <f>'THE BOARD'!#REF!</f>
        <v>#REF!</v>
      </c>
      <c r="K210" s="68" t="e">
        <f>'THE BOARD'!#REF!</f>
        <v>#REF!</v>
      </c>
    </row>
    <row r="211" spans="1:11" ht="12.75" x14ac:dyDescent="0.2">
      <c r="A211" s="68" t="e">
        <f>'THE BOARD'!#REF!</f>
        <v>#REF!</v>
      </c>
      <c r="B211" s="68" t="e">
        <f>'THE BOARD'!#REF!</f>
        <v>#REF!</v>
      </c>
      <c r="C211" s="99" t="e">
        <f>IF('THE BOARD'!#REF! = "NESTED","",IF('THE BOARD'!#REF!&lt;&gt;"",'THE BOARD'!#REF!+0.72,""))</f>
        <v>#REF!</v>
      </c>
      <c r="D211" s="99" t="e">
        <f>IF(C211&lt;&gt;"", IF('THE BOARD'!#REF! = "NESTED","",'THE BOARD'!#REF! + IF(C211&lt;&gt;"", 0.72,0)),"")</f>
        <v>#REF!</v>
      </c>
      <c r="E211" s="68" t="e">
        <f>'THE BOARD'!#REF!</f>
        <v>#REF!</v>
      </c>
      <c r="F211" s="68" t="e">
        <f>'THE BOARD'!#REF!</f>
        <v>#REF!</v>
      </c>
      <c r="G211" s="68" t="e">
        <f>'THE BOARD'!#REF!</f>
        <v>#REF!</v>
      </c>
      <c r="H211" s="68" t="e">
        <f>'THE BOARD'!#REF!</f>
        <v>#REF!</v>
      </c>
      <c r="I211" s="68" t="e">
        <f>'THE BOARD'!#REF!</f>
        <v>#REF!</v>
      </c>
      <c r="J211" s="68" t="e">
        <f>'THE BOARD'!#REF!</f>
        <v>#REF!</v>
      </c>
      <c r="K211" s="68" t="e">
        <f>'THE BOARD'!#REF!</f>
        <v>#REF!</v>
      </c>
    </row>
    <row r="212" spans="1:11" ht="12.75" x14ac:dyDescent="0.2">
      <c r="A212" s="68" t="e">
        <f>'THE BOARD'!#REF!</f>
        <v>#REF!</v>
      </c>
      <c r="B212" s="68" t="e">
        <f>'THE BOARD'!#REF!</f>
        <v>#REF!</v>
      </c>
      <c r="C212" s="99" t="e">
        <f>IF('THE BOARD'!#REF! = "NESTED","",IF('THE BOARD'!#REF!&lt;&gt;"",'THE BOARD'!#REF!+0.72,""))</f>
        <v>#REF!</v>
      </c>
      <c r="D212" s="99" t="e">
        <f>IF(C212&lt;&gt;"", IF('THE BOARD'!#REF! = "NESTED","",'THE BOARD'!#REF! + IF(C212&lt;&gt;"", 0.72,0)),"")</f>
        <v>#REF!</v>
      </c>
      <c r="E212" s="68" t="e">
        <f>'THE BOARD'!#REF!</f>
        <v>#REF!</v>
      </c>
      <c r="F212" s="68" t="e">
        <f>'THE BOARD'!#REF!</f>
        <v>#REF!</v>
      </c>
      <c r="G212" s="68" t="e">
        <f>'THE BOARD'!#REF!</f>
        <v>#REF!</v>
      </c>
      <c r="H212" s="68" t="e">
        <f>'THE BOARD'!#REF!</f>
        <v>#REF!</v>
      </c>
      <c r="I212" s="68" t="e">
        <f>'THE BOARD'!#REF!</f>
        <v>#REF!</v>
      </c>
      <c r="J212" s="68" t="e">
        <f>'THE BOARD'!#REF!</f>
        <v>#REF!</v>
      </c>
      <c r="K212" s="68" t="e">
        <f>'THE BOARD'!#REF!</f>
        <v>#REF!</v>
      </c>
    </row>
    <row r="213" spans="1:11" ht="12.75" x14ac:dyDescent="0.2">
      <c r="A213" s="68" t="e">
        <f>'THE BOARD'!#REF!</f>
        <v>#REF!</v>
      </c>
      <c r="B213" s="68" t="e">
        <f>'THE BOARD'!#REF!</f>
        <v>#REF!</v>
      </c>
      <c r="C213" s="99" t="e">
        <f>IF('THE BOARD'!#REF! = "NESTED","",IF('THE BOARD'!#REF!&lt;&gt;"",'THE BOARD'!#REF!+0.72,""))</f>
        <v>#REF!</v>
      </c>
      <c r="D213" s="99" t="e">
        <f>IF(C213&lt;&gt;"", IF('THE BOARD'!#REF! = "NESTED","",'THE BOARD'!#REF! + IF(C213&lt;&gt;"", 0.72,0)),"")</f>
        <v>#REF!</v>
      </c>
      <c r="E213" s="68" t="e">
        <f>'THE BOARD'!#REF!</f>
        <v>#REF!</v>
      </c>
      <c r="F213" s="68" t="e">
        <f>'THE BOARD'!#REF!</f>
        <v>#REF!</v>
      </c>
      <c r="G213" s="68" t="e">
        <f>'THE BOARD'!#REF!</f>
        <v>#REF!</v>
      </c>
      <c r="H213" s="68" t="e">
        <f>'THE BOARD'!#REF!</f>
        <v>#REF!</v>
      </c>
      <c r="I213" s="68" t="e">
        <f>'THE BOARD'!#REF!</f>
        <v>#REF!</v>
      </c>
      <c r="J213" s="68" t="e">
        <f>'THE BOARD'!#REF!</f>
        <v>#REF!</v>
      </c>
      <c r="K213" s="68" t="e">
        <f>'THE BOARD'!#REF!</f>
        <v>#REF!</v>
      </c>
    </row>
    <row r="214" spans="1:11" ht="12.75" x14ac:dyDescent="0.2">
      <c r="A214" s="68" t="e">
        <f>'THE BOARD'!#REF!</f>
        <v>#REF!</v>
      </c>
      <c r="B214" s="68" t="e">
        <f>'THE BOARD'!#REF!</f>
        <v>#REF!</v>
      </c>
      <c r="C214" s="99" t="e">
        <f>IF('THE BOARD'!#REF! = "NESTED","",IF('THE BOARD'!#REF!&lt;&gt;"",'THE BOARD'!#REF!+0.72,""))</f>
        <v>#REF!</v>
      </c>
      <c r="D214" s="99" t="e">
        <f>IF(C214&lt;&gt;"", IF('THE BOARD'!#REF! = "NESTED","",'THE BOARD'!#REF! + IF(C214&lt;&gt;"", 0.72,0)),"")</f>
        <v>#REF!</v>
      </c>
      <c r="E214" s="68" t="e">
        <f>'THE BOARD'!#REF!</f>
        <v>#REF!</v>
      </c>
      <c r="F214" s="68" t="e">
        <f>'THE BOARD'!#REF!</f>
        <v>#REF!</v>
      </c>
      <c r="G214" s="68" t="e">
        <f>'THE BOARD'!#REF!</f>
        <v>#REF!</v>
      </c>
      <c r="H214" s="68" t="e">
        <f>'THE BOARD'!#REF!</f>
        <v>#REF!</v>
      </c>
      <c r="I214" s="68" t="e">
        <f>'THE BOARD'!#REF!</f>
        <v>#REF!</v>
      </c>
      <c r="J214" s="68" t="e">
        <f>'THE BOARD'!#REF!</f>
        <v>#REF!</v>
      </c>
      <c r="K214" s="68" t="e">
        <f>'THE BOARD'!#REF!</f>
        <v>#REF!</v>
      </c>
    </row>
    <row r="215" spans="1:11" ht="12.75" x14ac:dyDescent="0.2">
      <c r="A215" s="68" t="e">
        <f>'THE BOARD'!#REF!</f>
        <v>#REF!</v>
      </c>
      <c r="B215" s="68" t="e">
        <f>'THE BOARD'!#REF!</f>
        <v>#REF!</v>
      </c>
      <c r="C215" s="99" t="e">
        <f>IF('THE BOARD'!#REF! = "NESTED","",IF('THE BOARD'!#REF!&lt;&gt;"",'THE BOARD'!#REF!+0.72,""))</f>
        <v>#REF!</v>
      </c>
      <c r="D215" s="99" t="e">
        <f>IF(C215&lt;&gt;"", IF('THE BOARD'!#REF! = "NESTED","",'THE BOARD'!#REF! + IF(C215&lt;&gt;"", 0.72,0)),"")</f>
        <v>#REF!</v>
      </c>
      <c r="E215" s="68" t="e">
        <f>'THE BOARD'!#REF!</f>
        <v>#REF!</v>
      </c>
      <c r="F215" s="68" t="e">
        <f>'THE BOARD'!#REF!</f>
        <v>#REF!</v>
      </c>
      <c r="G215" s="68" t="e">
        <f>'THE BOARD'!#REF!</f>
        <v>#REF!</v>
      </c>
      <c r="H215" s="68" t="e">
        <f>'THE BOARD'!#REF!</f>
        <v>#REF!</v>
      </c>
      <c r="I215" s="68" t="e">
        <f>'THE BOARD'!#REF!</f>
        <v>#REF!</v>
      </c>
      <c r="J215" s="68" t="e">
        <f>'THE BOARD'!#REF!</f>
        <v>#REF!</v>
      </c>
      <c r="K215" s="68" t="e">
        <f>'THE BOARD'!#REF!</f>
        <v>#REF!</v>
      </c>
    </row>
    <row r="216" spans="1:11" ht="12.75" x14ac:dyDescent="0.2">
      <c r="A216" s="68" t="e">
        <f>'THE BOARD'!#REF!</f>
        <v>#REF!</v>
      </c>
      <c r="B216" s="68" t="e">
        <f>'THE BOARD'!#REF!</f>
        <v>#REF!</v>
      </c>
      <c r="C216" s="99" t="e">
        <f>IF('THE BOARD'!#REF! = "NESTED","",IF('THE BOARD'!#REF!&lt;&gt;"",'THE BOARD'!#REF!+0.72,""))</f>
        <v>#REF!</v>
      </c>
      <c r="D216" s="99" t="e">
        <f>IF(C216&lt;&gt;"", IF('THE BOARD'!#REF! = "NESTED","",'THE BOARD'!#REF! + IF(C216&lt;&gt;"", 0.72,0)),"")</f>
        <v>#REF!</v>
      </c>
      <c r="E216" s="68" t="e">
        <f>'THE BOARD'!#REF!</f>
        <v>#REF!</v>
      </c>
      <c r="F216" s="68" t="e">
        <f>'THE BOARD'!#REF!</f>
        <v>#REF!</v>
      </c>
      <c r="G216" s="68" t="e">
        <f>'THE BOARD'!#REF!</f>
        <v>#REF!</v>
      </c>
      <c r="H216" s="68" t="e">
        <f>'THE BOARD'!#REF!</f>
        <v>#REF!</v>
      </c>
      <c r="I216" s="68" t="e">
        <f>'THE BOARD'!#REF!</f>
        <v>#REF!</v>
      </c>
      <c r="J216" s="68" t="e">
        <f>'THE BOARD'!#REF!</f>
        <v>#REF!</v>
      </c>
      <c r="K216" s="68" t="e">
        <f>'THE BOARD'!#REF!</f>
        <v>#REF!</v>
      </c>
    </row>
    <row r="217" spans="1:11" ht="12.75" x14ac:dyDescent="0.2">
      <c r="A217" s="68" t="e">
        <f t="shared" ref="A217:B217" si="4">#REF!</f>
        <v>#REF!</v>
      </c>
      <c r="B217" s="68" t="e">
        <f t="shared" si="4"/>
        <v>#REF!</v>
      </c>
      <c r="C217" s="99" t="e">
        <f>IF(#REF! = "NESTED","",IF(#REF!&lt;&gt;"",#REF!+0.72,""))</f>
        <v>#REF!</v>
      </c>
      <c r="D217" s="99" t="e">
        <f>IF(C217&lt;&gt;"", IF(#REF! = "NESTED","",#REF! + IF(C217&lt;&gt;"", 0.72,0)),"")</f>
        <v>#REF!</v>
      </c>
      <c r="E217" s="68" t="e">
        <f t="shared" ref="E217:K217" si="5">#REF!</f>
        <v>#REF!</v>
      </c>
      <c r="F217" s="68" t="e">
        <f t="shared" si="5"/>
        <v>#REF!</v>
      </c>
      <c r="G217" s="68" t="e">
        <f t="shared" si="5"/>
        <v>#REF!</v>
      </c>
      <c r="H217" s="68" t="e">
        <f t="shared" si="5"/>
        <v>#REF!</v>
      </c>
      <c r="I217" s="68" t="e">
        <f t="shared" si="5"/>
        <v>#REF!</v>
      </c>
      <c r="J217" s="68" t="e">
        <f t="shared" si="5"/>
        <v>#REF!</v>
      </c>
      <c r="K217" s="68" t="e">
        <f t="shared" si="5"/>
        <v>#REF!</v>
      </c>
    </row>
    <row r="218" spans="1:11" ht="12.75" x14ac:dyDescent="0.2">
      <c r="A218" s="68" t="e">
        <f>'THE BOARD'!#REF!</f>
        <v>#REF!</v>
      </c>
      <c r="B218" s="68" t="e">
        <f>'THE BOARD'!#REF!</f>
        <v>#REF!</v>
      </c>
      <c r="C218" s="99" t="e">
        <f>IF('THE BOARD'!#REF! = "NESTED","",IF('THE BOARD'!#REF!&lt;&gt;"",'THE BOARD'!#REF!+0.72,""))</f>
        <v>#REF!</v>
      </c>
      <c r="D218" s="99" t="e">
        <f>IF(C218&lt;&gt;"", IF('THE BOARD'!#REF! = "NESTED","",'THE BOARD'!#REF! + IF(C218&lt;&gt;"", 0.72,0)),"")</f>
        <v>#REF!</v>
      </c>
      <c r="E218" s="68" t="e">
        <f>'THE BOARD'!#REF!</f>
        <v>#REF!</v>
      </c>
      <c r="F218" s="68" t="e">
        <f>'THE BOARD'!#REF!</f>
        <v>#REF!</v>
      </c>
      <c r="G218" s="68" t="e">
        <f>'THE BOARD'!#REF!</f>
        <v>#REF!</v>
      </c>
      <c r="H218" s="68" t="e">
        <f>'THE BOARD'!#REF!</f>
        <v>#REF!</v>
      </c>
      <c r="I218" s="68" t="e">
        <f>'THE BOARD'!#REF!</f>
        <v>#REF!</v>
      </c>
      <c r="J218" s="68" t="e">
        <f>'THE BOARD'!#REF!</f>
        <v>#REF!</v>
      </c>
      <c r="K218" s="68" t="e">
        <f>'THE BOARD'!#REF!</f>
        <v>#REF!</v>
      </c>
    </row>
    <row r="219" spans="1:11" ht="12.75" x14ac:dyDescent="0.2">
      <c r="A219" s="68" t="e">
        <f>'THE BOARD'!#REF!</f>
        <v>#REF!</v>
      </c>
      <c r="B219" s="68" t="e">
        <f>'THE BOARD'!#REF!</f>
        <v>#REF!</v>
      </c>
      <c r="C219" s="99" t="e">
        <f>IF('THE BOARD'!#REF! = "NESTED","",IF('THE BOARD'!#REF!&lt;&gt;"",'THE BOARD'!#REF!+0.72,""))</f>
        <v>#REF!</v>
      </c>
      <c r="D219" s="99" t="e">
        <f>IF(C219&lt;&gt;"", IF('THE BOARD'!#REF! = "NESTED","",'THE BOARD'!#REF! + IF(C219&lt;&gt;"", 0.72,0)),"")</f>
        <v>#REF!</v>
      </c>
      <c r="E219" s="68" t="e">
        <f>'THE BOARD'!#REF!</f>
        <v>#REF!</v>
      </c>
      <c r="F219" s="68" t="e">
        <f>'THE BOARD'!#REF!</f>
        <v>#REF!</v>
      </c>
      <c r="G219" s="68" t="e">
        <f>'THE BOARD'!#REF!</f>
        <v>#REF!</v>
      </c>
      <c r="H219" s="68" t="e">
        <f>'THE BOARD'!#REF!</f>
        <v>#REF!</v>
      </c>
      <c r="I219" s="68" t="e">
        <f>'THE BOARD'!#REF!</f>
        <v>#REF!</v>
      </c>
      <c r="J219" s="68" t="e">
        <f>'THE BOARD'!#REF!</f>
        <v>#REF!</v>
      </c>
      <c r="K219" s="68" t="e">
        <f>'THE BOARD'!#REF!</f>
        <v>#REF!</v>
      </c>
    </row>
    <row r="220" spans="1:11" ht="12.75" x14ac:dyDescent="0.2">
      <c r="A220" s="68" t="e">
        <f>'THE BOARD'!#REF!</f>
        <v>#REF!</v>
      </c>
      <c r="B220" s="68" t="e">
        <f>'THE BOARD'!#REF!</f>
        <v>#REF!</v>
      </c>
      <c r="C220" s="99" t="e">
        <f>IF('THE BOARD'!#REF! = "NESTED","",IF('THE BOARD'!#REF!&lt;&gt;"",'THE BOARD'!#REF!+0.72,""))</f>
        <v>#REF!</v>
      </c>
      <c r="D220" s="99" t="e">
        <f>IF(C220&lt;&gt;"", IF('THE BOARD'!#REF! = "NESTED","",'THE BOARD'!#REF! + IF(C220&lt;&gt;"", 0.72,0)),"")</f>
        <v>#REF!</v>
      </c>
      <c r="E220" s="68" t="e">
        <f>'THE BOARD'!#REF!</f>
        <v>#REF!</v>
      </c>
      <c r="F220" s="68" t="e">
        <f>'THE BOARD'!#REF!</f>
        <v>#REF!</v>
      </c>
      <c r="G220" s="68" t="e">
        <f>'THE BOARD'!#REF!</f>
        <v>#REF!</v>
      </c>
      <c r="H220" s="68" t="e">
        <f>'THE BOARD'!#REF!</f>
        <v>#REF!</v>
      </c>
      <c r="I220" s="68" t="e">
        <f>'THE BOARD'!#REF!</f>
        <v>#REF!</v>
      </c>
      <c r="J220" s="68" t="e">
        <f>'THE BOARD'!#REF!</f>
        <v>#REF!</v>
      </c>
      <c r="K220" s="68" t="e">
        <f>'THE BOARD'!#REF!</f>
        <v>#REF!</v>
      </c>
    </row>
    <row r="221" spans="1:11" ht="12.75" x14ac:dyDescent="0.2">
      <c r="A221" s="68" t="e">
        <f>'THE BOARD'!#REF!</f>
        <v>#REF!</v>
      </c>
      <c r="B221" s="68" t="e">
        <f>'THE BOARD'!#REF!</f>
        <v>#REF!</v>
      </c>
      <c r="C221" s="99" t="e">
        <f>IF('THE BOARD'!#REF! = "NESTED","",IF('THE BOARD'!#REF!&lt;&gt;"",'THE BOARD'!#REF!+0.72,""))</f>
        <v>#REF!</v>
      </c>
      <c r="D221" s="99" t="e">
        <f>IF(C221&lt;&gt;"", IF('THE BOARD'!#REF! = "NESTED","",'THE BOARD'!#REF! + IF(C221&lt;&gt;"", 0.72,0)),"")</f>
        <v>#REF!</v>
      </c>
      <c r="E221" s="68" t="e">
        <f>'THE BOARD'!#REF!</f>
        <v>#REF!</v>
      </c>
      <c r="F221" s="68" t="e">
        <f>'THE BOARD'!#REF!</f>
        <v>#REF!</v>
      </c>
      <c r="G221" s="68" t="e">
        <f>'THE BOARD'!#REF!</f>
        <v>#REF!</v>
      </c>
      <c r="H221" s="68" t="e">
        <f>'THE BOARD'!#REF!</f>
        <v>#REF!</v>
      </c>
      <c r="I221" s="68" t="e">
        <f>'THE BOARD'!#REF!</f>
        <v>#REF!</v>
      </c>
      <c r="J221" s="68" t="e">
        <f>'THE BOARD'!#REF!</f>
        <v>#REF!</v>
      </c>
      <c r="K221" s="68" t="e">
        <f>'THE BOARD'!#REF!</f>
        <v>#REF!</v>
      </c>
    </row>
    <row r="222" spans="1:11" ht="12.75" x14ac:dyDescent="0.2">
      <c r="A222" s="68" t="e">
        <f>'THE BOARD'!#REF!</f>
        <v>#REF!</v>
      </c>
      <c r="B222" s="121" t="e">
        <f>'THE BOARD'!#REF!</f>
        <v>#REF!</v>
      </c>
      <c r="C222" s="99" t="e">
        <f>IF('THE BOARD'!#REF! = "NESTED","",IF('THE BOARD'!#REF!&lt;&gt;"",'THE BOARD'!#REF!+0.72,""))</f>
        <v>#REF!</v>
      </c>
      <c r="D222" s="99" t="e">
        <f>IF(C222&lt;&gt;"", IF('THE BOARD'!#REF! = "NESTED","",'THE BOARD'!#REF! + IF(C222&lt;&gt;"", 0.72,0)),"")</f>
        <v>#REF!</v>
      </c>
      <c r="E222" s="68" t="e">
        <f>'THE BOARD'!#REF!</f>
        <v>#REF!</v>
      </c>
      <c r="F222" s="68" t="e">
        <f>'THE BOARD'!#REF!</f>
        <v>#REF!</v>
      </c>
      <c r="G222" s="68" t="e">
        <f>'THE BOARD'!#REF!</f>
        <v>#REF!</v>
      </c>
      <c r="H222" s="68" t="e">
        <f>'THE BOARD'!#REF!</f>
        <v>#REF!</v>
      </c>
      <c r="I222" s="68" t="e">
        <f>'THE BOARD'!#REF!</f>
        <v>#REF!</v>
      </c>
      <c r="J222" s="68" t="e">
        <f>'THE BOARD'!#REF!</f>
        <v>#REF!</v>
      </c>
      <c r="K222" s="68" t="e">
        <f>'THE BOARD'!#REF!</f>
        <v>#REF!</v>
      </c>
    </row>
    <row r="223" spans="1:11" ht="12.75" x14ac:dyDescent="0.2">
      <c r="A223" s="68" t="e">
        <f>'THE BOARD'!#REF!</f>
        <v>#REF!</v>
      </c>
      <c r="B223" s="121" t="e">
        <f>'THE BOARD'!#REF!</f>
        <v>#REF!</v>
      </c>
      <c r="C223" s="99" t="e">
        <f>IF('THE BOARD'!#REF! = "NESTED","",IF('THE BOARD'!#REF!&lt;&gt;"",'THE BOARD'!#REF!+0.72,""))</f>
        <v>#REF!</v>
      </c>
      <c r="D223" s="99" t="e">
        <f>IF(C223&lt;&gt;"", IF('THE BOARD'!#REF! = "NESTED","",'THE BOARD'!#REF! + IF(C223&lt;&gt;"", 0.72,0)),"")</f>
        <v>#REF!</v>
      </c>
      <c r="E223" s="68" t="e">
        <f>'THE BOARD'!#REF!</f>
        <v>#REF!</v>
      </c>
      <c r="F223" s="68" t="e">
        <f>'THE BOARD'!#REF!</f>
        <v>#REF!</v>
      </c>
      <c r="G223" s="68" t="e">
        <f>'THE BOARD'!#REF!</f>
        <v>#REF!</v>
      </c>
      <c r="H223" s="68" t="e">
        <f>'THE BOARD'!#REF!</f>
        <v>#REF!</v>
      </c>
      <c r="I223" s="68" t="e">
        <f>'THE BOARD'!#REF!</f>
        <v>#REF!</v>
      </c>
      <c r="J223" s="68" t="e">
        <f>'THE BOARD'!#REF!</f>
        <v>#REF!</v>
      </c>
      <c r="K223" s="68" t="e">
        <f>'THE BOARD'!#REF!</f>
        <v>#REF!</v>
      </c>
    </row>
    <row r="224" spans="1:11" ht="12.75" x14ac:dyDescent="0.2">
      <c r="A224" s="68" t="e">
        <f>'THE BOARD'!#REF!</f>
        <v>#REF!</v>
      </c>
      <c r="B224" s="121" t="e">
        <f>'THE BOARD'!#REF!</f>
        <v>#REF!</v>
      </c>
      <c r="C224" s="99" t="e">
        <f>IF('THE BOARD'!#REF! = "NESTED","",IF('THE BOARD'!#REF!&lt;&gt;"",'THE BOARD'!#REF!+0.72,""))</f>
        <v>#REF!</v>
      </c>
      <c r="D224" s="99" t="e">
        <f>IF(C224&lt;&gt;"", IF('THE BOARD'!#REF! = "NESTED","",'THE BOARD'!#REF! + IF(C224&lt;&gt;"", 0.72,0)),"")</f>
        <v>#REF!</v>
      </c>
      <c r="E224" s="68" t="e">
        <f>'THE BOARD'!#REF!</f>
        <v>#REF!</v>
      </c>
      <c r="F224" s="68" t="e">
        <f>'THE BOARD'!#REF!</f>
        <v>#REF!</v>
      </c>
      <c r="G224" s="68" t="e">
        <f>'THE BOARD'!#REF!</f>
        <v>#REF!</v>
      </c>
      <c r="H224" s="68" t="e">
        <f>'THE BOARD'!#REF!</f>
        <v>#REF!</v>
      </c>
      <c r="I224" s="68" t="e">
        <f>'THE BOARD'!#REF!</f>
        <v>#REF!</v>
      </c>
      <c r="J224" s="68" t="e">
        <f>'THE BOARD'!#REF!</f>
        <v>#REF!</v>
      </c>
      <c r="K224" s="68" t="e">
        <f>'THE BOARD'!#REF!</f>
        <v>#REF!</v>
      </c>
    </row>
    <row r="225" spans="1:11" ht="12.75" x14ac:dyDescent="0.2">
      <c r="A225" s="68" t="e">
        <f>'THE BOARD'!#REF!</f>
        <v>#REF!</v>
      </c>
      <c r="B225" s="68" t="e">
        <f>'THE BOARD'!#REF!</f>
        <v>#REF!</v>
      </c>
      <c r="C225" s="99" t="e">
        <f>IF('THE BOARD'!#REF! = "NESTED","",IF('THE BOARD'!#REF!&lt;&gt;"",'THE BOARD'!#REF!+0.72,""))</f>
        <v>#REF!</v>
      </c>
      <c r="D225" s="99" t="e">
        <f>IF(C225&lt;&gt;"", IF('THE BOARD'!#REF! = "NESTED","",'THE BOARD'!#REF! + IF(C225&lt;&gt;"", 0.72,0)),"")</f>
        <v>#REF!</v>
      </c>
      <c r="E225" s="68" t="e">
        <f>'THE BOARD'!#REF!</f>
        <v>#REF!</v>
      </c>
      <c r="F225" s="68" t="e">
        <f>'THE BOARD'!#REF!</f>
        <v>#REF!</v>
      </c>
      <c r="G225" s="68" t="e">
        <f>'THE BOARD'!#REF!</f>
        <v>#REF!</v>
      </c>
      <c r="H225" s="68" t="e">
        <f>'THE BOARD'!#REF!</f>
        <v>#REF!</v>
      </c>
      <c r="I225" s="68" t="e">
        <f>'THE BOARD'!#REF!</f>
        <v>#REF!</v>
      </c>
      <c r="J225" s="68" t="e">
        <f>'THE BOARD'!#REF!</f>
        <v>#REF!</v>
      </c>
      <c r="K225" s="68" t="e">
        <f>'THE BOARD'!#REF!</f>
        <v>#REF!</v>
      </c>
    </row>
    <row r="226" spans="1:11" ht="12.75" x14ac:dyDescent="0.2">
      <c r="A226" s="68" t="e">
        <f>'THE BOARD'!#REF!</f>
        <v>#REF!</v>
      </c>
      <c r="B226" s="68" t="e">
        <f>'THE BOARD'!#REF!</f>
        <v>#REF!</v>
      </c>
      <c r="C226" s="99" t="e">
        <f>IF('THE BOARD'!#REF! = "NESTED","",IF('THE BOARD'!#REF!&lt;&gt;"",'THE BOARD'!#REF!+0.72,""))</f>
        <v>#REF!</v>
      </c>
      <c r="D226" s="99" t="e">
        <f>IF(C226&lt;&gt;"", IF('THE BOARD'!#REF! = "NESTED","",'THE BOARD'!#REF! + IF(C226&lt;&gt;"", 0.72,0)),"")</f>
        <v>#REF!</v>
      </c>
      <c r="E226" s="68" t="e">
        <f>'THE BOARD'!#REF!</f>
        <v>#REF!</v>
      </c>
      <c r="F226" s="68" t="e">
        <f>'THE BOARD'!#REF!</f>
        <v>#REF!</v>
      </c>
      <c r="G226" s="68" t="e">
        <f>'THE BOARD'!#REF!</f>
        <v>#REF!</v>
      </c>
      <c r="H226" s="68" t="e">
        <f>'THE BOARD'!#REF!</f>
        <v>#REF!</v>
      </c>
      <c r="I226" s="68" t="e">
        <f>'THE BOARD'!#REF!</f>
        <v>#REF!</v>
      </c>
      <c r="J226" s="68" t="e">
        <f>'THE BOARD'!#REF!</f>
        <v>#REF!</v>
      </c>
      <c r="K226" s="68" t="e">
        <f>'THE BOARD'!#REF!</f>
        <v>#REF!</v>
      </c>
    </row>
    <row r="227" spans="1:11" ht="12.75" x14ac:dyDescent="0.2">
      <c r="A227" s="68" t="e">
        <f>'THE BOARD'!#REF!</f>
        <v>#REF!</v>
      </c>
      <c r="B227" s="68" t="e">
        <f>'THE BOARD'!#REF!</f>
        <v>#REF!</v>
      </c>
      <c r="C227" s="99" t="e">
        <f>IF('THE BOARD'!#REF! = "NESTED","",IF('THE BOARD'!#REF!&lt;&gt;"",'THE BOARD'!#REF!+0.72,""))</f>
        <v>#REF!</v>
      </c>
      <c r="D227" s="99" t="e">
        <f>IF(C227&lt;&gt;"", IF('THE BOARD'!#REF! = "NESTED","",'THE BOARD'!#REF! + IF(C227&lt;&gt;"", 0.72,0)),"")</f>
        <v>#REF!</v>
      </c>
      <c r="E227" s="68" t="e">
        <f>'THE BOARD'!#REF!</f>
        <v>#REF!</v>
      </c>
      <c r="F227" s="68" t="e">
        <f>'THE BOARD'!#REF!</f>
        <v>#REF!</v>
      </c>
      <c r="G227" s="68" t="e">
        <f>'THE BOARD'!#REF!</f>
        <v>#REF!</v>
      </c>
      <c r="H227" s="68" t="e">
        <f>'THE BOARD'!#REF!</f>
        <v>#REF!</v>
      </c>
      <c r="I227" s="68" t="e">
        <f>'THE BOARD'!#REF!</f>
        <v>#REF!</v>
      </c>
      <c r="J227" s="68" t="e">
        <f>'THE BOARD'!#REF!</f>
        <v>#REF!</v>
      </c>
      <c r="K227" s="68" t="e">
        <f>'THE BOARD'!#REF!</f>
        <v>#REF!</v>
      </c>
    </row>
    <row r="228" spans="1:11" ht="12.75" x14ac:dyDescent="0.2">
      <c r="A228" s="68" t="e">
        <f>'THE BOARD'!#REF!</f>
        <v>#REF!</v>
      </c>
      <c r="B228" s="68" t="e">
        <f>'THE BOARD'!#REF!</f>
        <v>#REF!</v>
      </c>
      <c r="C228" s="99" t="e">
        <f>IF('THE BOARD'!#REF! = "NESTED","",IF('THE BOARD'!#REF!&lt;&gt;"",'THE BOARD'!#REF!+0.72,""))</f>
        <v>#REF!</v>
      </c>
      <c r="D228" s="99" t="e">
        <f>IF(C228&lt;&gt;"", IF('THE BOARD'!#REF! = "NESTED","",'THE BOARD'!#REF! + IF(C228&lt;&gt;"", 0.72,0)),"")</f>
        <v>#REF!</v>
      </c>
      <c r="E228" s="68" t="e">
        <f>'THE BOARD'!#REF!</f>
        <v>#REF!</v>
      </c>
      <c r="F228" s="68" t="e">
        <f>'THE BOARD'!#REF!</f>
        <v>#REF!</v>
      </c>
      <c r="G228" s="68" t="e">
        <f>'THE BOARD'!#REF!</f>
        <v>#REF!</v>
      </c>
      <c r="H228" s="68" t="e">
        <f>'THE BOARD'!#REF!</f>
        <v>#REF!</v>
      </c>
      <c r="I228" s="68" t="e">
        <f>'THE BOARD'!#REF!</f>
        <v>#REF!</v>
      </c>
      <c r="J228" s="68" t="e">
        <f>'THE BOARD'!#REF!</f>
        <v>#REF!</v>
      </c>
      <c r="K228" s="68" t="e">
        <f>'THE BOARD'!#REF!</f>
        <v>#REF!</v>
      </c>
    </row>
    <row r="229" spans="1:11" ht="12.75" x14ac:dyDescent="0.2">
      <c r="A229" s="68" t="e">
        <f>'THE BOARD'!#REF!</f>
        <v>#REF!</v>
      </c>
      <c r="B229" s="68" t="e">
        <f>'THE BOARD'!#REF!</f>
        <v>#REF!</v>
      </c>
      <c r="C229" s="99" t="e">
        <f>IF('THE BOARD'!#REF! = "NESTED","",IF('THE BOARD'!#REF!&lt;&gt;"",'THE BOARD'!#REF!+0.72,""))</f>
        <v>#REF!</v>
      </c>
      <c r="D229" s="99" t="e">
        <f>IF(C229&lt;&gt;"", IF('THE BOARD'!#REF! = "NESTED","",'THE BOARD'!#REF! + IF(C229&lt;&gt;"", 0.72,0)),"")</f>
        <v>#REF!</v>
      </c>
      <c r="E229" s="68" t="e">
        <f>'THE BOARD'!#REF!</f>
        <v>#REF!</v>
      </c>
      <c r="F229" s="68" t="e">
        <f>'THE BOARD'!#REF!</f>
        <v>#REF!</v>
      </c>
      <c r="G229" s="68" t="e">
        <f>'THE BOARD'!#REF!</f>
        <v>#REF!</v>
      </c>
      <c r="H229" s="68" t="e">
        <f>'THE BOARD'!#REF!</f>
        <v>#REF!</v>
      </c>
      <c r="I229" s="68" t="e">
        <f>'THE BOARD'!#REF!</f>
        <v>#REF!</v>
      </c>
      <c r="J229" s="68" t="e">
        <f>'THE BOARD'!#REF!</f>
        <v>#REF!</v>
      </c>
      <c r="K229" s="68" t="e">
        <f>'THE BOARD'!#REF!</f>
        <v>#REF!</v>
      </c>
    </row>
    <row r="230" spans="1:11" ht="12.75" x14ac:dyDescent="0.2">
      <c r="A230" s="68" t="e">
        <f>'THE BOARD'!#REF!</f>
        <v>#REF!</v>
      </c>
      <c r="B230" s="68" t="e">
        <f>'THE BOARD'!#REF!</f>
        <v>#REF!</v>
      </c>
      <c r="C230" s="99" t="e">
        <f>IF('THE BOARD'!#REF! = "NESTED","",IF('THE BOARD'!#REF!&lt;&gt;"",'THE BOARD'!#REF!+0.72,""))</f>
        <v>#REF!</v>
      </c>
      <c r="D230" s="99" t="e">
        <f>IF(C230&lt;&gt;"", IF('THE BOARD'!#REF! = "NESTED","",'THE BOARD'!#REF! + IF(C230&lt;&gt;"", 0.72,0)),"")</f>
        <v>#REF!</v>
      </c>
      <c r="E230" s="68" t="e">
        <f>'THE BOARD'!#REF!</f>
        <v>#REF!</v>
      </c>
      <c r="F230" s="68" t="e">
        <f>'THE BOARD'!#REF!</f>
        <v>#REF!</v>
      </c>
      <c r="G230" s="68" t="e">
        <f>'THE BOARD'!#REF!</f>
        <v>#REF!</v>
      </c>
      <c r="H230" s="68" t="e">
        <f>'THE BOARD'!#REF!</f>
        <v>#REF!</v>
      </c>
      <c r="I230" s="68" t="e">
        <f>'THE BOARD'!#REF!</f>
        <v>#REF!</v>
      </c>
      <c r="J230" s="68" t="e">
        <f>'THE BOARD'!#REF!</f>
        <v>#REF!</v>
      </c>
      <c r="K230" s="68" t="e">
        <f>'THE BOARD'!#REF!</f>
        <v>#REF!</v>
      </c>
    </row>
    <row r="231" spans="1:11" ht="12.75" x14ac:dyDescent="0.2">
      <c r="A231" s="68" t="e">
        <f>'THE BOARD'!#REF!</f>
        <v>#REF!</v>
      </c>
      <c r="B231" s="68" t="e">
        <f>'THE BOARD'!#REF!</f>
        <v>#REF!</v>
      </c>
      <c r="C231" s="99" t="e">
        <f>IF('THE BOARD'!#REF! = "NESTED","",IF('THE BOARD'!#REF!&lt;&gt;"",'THE BOARD'!#REF!+0.72,""))</f>
        <v>#REF!</v>
      </c>
      <c r="D231" s="99" t="e">
        <f>IF(C231&lt;&gt;"", IF('THE BOARD'!#REF! = "NESTED","",'THE BOARD'!#REF! + IF(C231&lt;&gt;"", 0.72,0)),"")</f>
        <v>#REF!</v>
      </c>
      <c r="E231" s="68" t="e">
        <f>'THE BOARD'!#REF!</f>
        <v>#REF!</v>
      </c>
      <c r="F231" s="68" t="e">
        <f>'THE BOARD'!#REF!</f>
        <v>#REF!</v>
      </c>
      <c r="G231" s="68" t="e">
        <f>'THE BOARD'!#REF!</f>
        <v>#REF!</v>
      </c>
      <c r="H231" s="68" t="e">
        <f>'THE BOARD'!#REF!</f>
        <v>#REF!</v>
      </c>
      <c r="I231" s="68" t="e">
        <f>'THE BOARD'!#REF!</f>
        <v>#REF!</v>
      </c>
      <c r="J231" s="68" t="e">
        <f>'THE BOARD'!#REF!</f>
        <v>#REF!</v>
      </c>
      <c r="K231" s="68" t="e">
        <f>'THE BOARD'!#REF!</f>
        <v>#REF!</v>
      </c>
    </row>
    <row r="232" spans="1:11" ht="12.75" x14ac:dyDescent="0.2">
      <c r="A232" s="68" t="e">
        <f>'THE BOARD'!#REF!</f>
        <v>#REF!</v>
      </c>
      <c r="B232" s="68" t="e">
        <f>'THE BOARD'!#REF!</f>
        <v>#REF!</v>
      </c>
      <c r="C232" s="99" t="e">
        <f>IF('THE BOARD'!#REF! = "NESTED","",IF('THE BOARD'!#REF!&lt;&gt;"",'THE BOARD'!#REF!+0.72,""))</f>
        <v>#REF!</v>
      </c>
      <c r="D232" s="99" t="e">
        <f>IF(C232&lt;&gt;"", IF('THE BOARD'!#REF! = "NESTED","",'THE BOARD'!#REF! + IF(C232&lt;&gt;"", 0.72,0)),"")</f>
        <v>#REF!</v>
      </c>
      <c r="E232" s="68" t="e">
        <f>'THE BOARD'!#REF!</f>
        <v>#REF!</v>
      </c>
      <c r="F232" s="68" t="e">
        <f>'THE BOARD'!#REF!</f>
        <v>#REF!</v>
      </c>
      <c r="G232" s="68" t="e">
        <f>'THE BOARD'!#REF!</f>
        <v>#REF!</v>
      </c>
      <c r="H232" s="68" t="e">
        <f>'THE BOARD'!#REF!</f>
        <v>#REF!</v>
      </c>
      <c r="I232" s="68" t="e">
        <f>'THE BOARD'!#REF!</f>
        <v>#REF!</v>
      </c>
      <c r="J232" s="68" t="e">
        <f>'THE BOARD'!#REF!</f>
        <v>#REF!</v>
      </c>
      <c r="K232" s="68" t="e">
        <f>'THE BOARD'!#REF!</f>
        <v>#REF!</v>
      </c>
    </row>
    <row r="233" spans="1:11" ht="12.75" x14ac:dyDescent="0.2">
      <c r="A233" s="68" t="e">
        <f>'THE BOARD'!#REF!</f>
        <v>#REF!</v>
      </c>
      <c r="B233" s="68" t="e">
        <f>'THE BOARD'!#REF!</f>
        <v>#REF!</v>
      </c>
      <c r="C233" s="99" t="e">
        <f>IF('THE BOARD'!#REF! = "NESTED","",IF('THE BOARD'!#REF!&lt;&gt;"",'THE BOARD'!#REF!+0.72,""))</f>
        <v>#REF!</v>
      </c>
      <c r="D233" s="99" t="e">
        <f>IF(C233&lt;&gt;"", IF('THE BOARD'!#REF! = "NESTED","",'THE BOARD'!#REF! + IF(C233&lt;&gt;"", 0.72,0)),"")</f>
        <v>#REF!</v>
      </c>
      <c r="E233" s="68" t="e">
        <f>'THE BOARD'!#REF!</f>
        <v>#REF!</v>
      </c>
      <c r="F233" s="68" t="e">
        <f>'THE BOARD'!#REF!</f>
        <v>#REF!</v>
      </c>
      <c r="G233" s="68" t="e">
        <f>'THE BOARD'!#REF!</f>
        <v>#REF!</v>
      </c>
      <c r="H233" s="68" t="e">
        <f>'THE BOARD'!#REF!</f>
        <v>#REF!</v>
      </c>
      <c r="I233" s="68" t="e">
        <f>'THE BOARD'!#REF!</f>
        <v>#REF!</v>
      </c>
      <c r="J233" s="68" t="e">
        <f>'THE BOARD'!#REF!</f>
        <v>#REF!</v>
      </c>
      <c r="K233" s="68" t="e">
        <f>'THE BOARD'!#REF!</f>
        <v>#REF!</v>
      </c>
    </row>
    <row r="234" spans="1:11" ht="12.75" x14ac:dyDescent="0.2">
      <c r="A234" s="68" t="e">
        <f>'THE BOARD'!#REF!</f>
        <v>#REF!</v>
      </c>
      <c r="B234" s="68" t="e">
        <f>'THE BOARD'!#REF!</f>
        <v>#REF!</v>
      </c>
      <c r="C234" s="99" t="e">
        <f>IF('THE BOARD'!#REF! = "NESTED","",IF('THE BOARD'!#REF!&lt;&gt;"",'THE BOARD'!#REF!+0.72,""))</f>
        <v>#REF!</v>
      </c>
      <c r="D234" s="99" t="e">
        <f>IF(C234&lt;&gt;"", IF('THE BOARD'!#REF! = "NESTED","",'THE BOARD'!#REF! + IF(C234&lt;&gt;"", 0.72,0)),"")</f>
        <v>#REF!</v>
      </c>
      <c r="E234" s="68" t="e">
        <f>'THE BOARD'!#REF!</f>
        <v>#REF!</v>
      </c>
      <c r="F234" s="68" t="e">
        <f>'THE BOARD'!#REF!</f>
        <v>#REF!</v>
      </c>
      <c r="G234" s="68" t="e">
        <f>'THE BOARD'!#REF!</f>
        <v>#REF!</v>
      </c>
      <c r="H234" s="68" t="e">
        <f>'THE BOARD'!#REF!</f>
        <v>#REF!</v>
      </c>
      <c r="I234" s="68" t="e">
        <f>'THE BOARD'!#REF!</f>
        <v>#REF!</v>
      </c>
      <c r="J234" s="68" t="e">
        <f>'THE BOARD'!#REF!</f>
        <v>#REF!</v>
      </c>
      <c r="K234" s="99" t="e">
        <f>'THE BOARD'!#REF!</f>
        <v>#REF!</v>
      </c>
    </row>
    <row r="235" spans="1:11" ht="12.75" x14ac:dyDescent="0.2">
      <c r="A235" s="68" t="e">
        <f>'THE BOARD'!#REF!</f>
        <v>#REF!</v>
      </c>
      <c r="B235" s="68" t="e">
        <f>'THE BOARD'!#REF!</f>
        <v>#REF!</v>
      </c>
      <c r="C235" s="99" t="e">
        <f>IF('THE BOARD'!#REF! = "NESTED","",IF('THE BOARD'!#REF!&lt;&gt;"",'THE BOARD'!#REF!+0.72,""))</f>
        <v>#REF!</v>
      </c>
      <c r="D235" s="99" t="e">
        <f>IF(C235&lt;&gt;"", IF('THE BOARD'!#REF! = "NESTED","",'THE BOARD'!#REF! + IF(C235&lt;&gt;"", 0.72,0)),"")</f>
        <v>#REF!</v>
      </c>
      <c r="E235" s="68" t="e">
        <f>'THE BOARD'!#REF!</f>
        <v>#REF!</v>
      </c>
      <c r="F235" s="68" t="e">
        <f>'THE BOARD'!#REF!</f>
        <v>#REF!</v>
      </c>
      <c r="G235" s="68" t="e">
        <f>'THE BOARD'!#REF!</f>
        <v>#REF!</v>
      </c>
      <c r="H235" s="68" t="e">
        <f>'THE BOARD'!#REF!</f>
        <v>#REF!</v>
      </c>
      <c r="I235" s="68" t="e">
        <f>'THE BOARD'!#REF!</f>
        <v>#REF!</v>
      </c>
      <c r="J235" s="68" t="e">
        <f>'THE BOARD'!#REF!</f>
        <v>#REF!</v>
      </c>
      <c r="K235" s="68" t="e">
        <f>'THE BOARD'!#REF!</f>
        <v>#REF!</v>
      </c>
    </row>
    <row r="236" spans="1:11" ht="12.75" x14ac:dyDescent="0.2">
      <c r="A236" s="68" t="e">
        <f>'THE BOARD'!#REF!</f>
        <v>#REF!</v>
      </c>
      <c r="B236" s="68" t="e">
        <f>'THE BOARD'!#REF!</f>
        <v>#REF!</v>
      </c>
      <c r="C236" s="99" t="e">
        <f>IF('THE BOARD'!#REF! = "NESTED","",IF('THE BOARD'!#REF!&lt;&gt;"",'THE BOARD'!#REF!+0.72,""))</f>
        <v>#REF!</v>
      </c>
      <c r="D236" s="99" t="e">
        <f>IF(C236&lt;&gt;"", IF('THE BOARD'!#REF! = "NESTED","",'THE BOARD'!#REF! + IF(C236&lt;&gt;"", 0.72,0)),"")</f>
        <v>#REF!</v>
      </c>
      <c r="E236" s="68" t="e">
        <f>'THE BOARD'!#REF!</f>
        <v>#REF!</v>
      </c>
      <c r="F236" s="68" t="e">
        <f>'THE BOARD'!#REF!</f>
        <v>#REF!</v>
      </c>
      <c r="G236" s="68" t="e">
        <f>'THE BOARD'!#REF!</f>
        <v>#REF!</v>
      </c>
      <c r="H236" s="68" t="e">
        <f>'THE BOARD'!#REF!</f>
        <v>#REF!</v>
      </c>
      <c r="I236" s="68" t="e">
        <f>'THE BOARD'!#REF!</f>
        <v>#REF!</v>
      </c>
      <c r="J236" s="68" t="e">
        <f>'THE BOARD'!#REF!</f>
        <v>#REF!</v>
      </c>
      <c r="K236" s="99" t="e">
        <f>'THE BOARD'!#REF!</f>
        <v>#REF!</v>
      </c>
    </row>
    <row r="237" spans="1:11" ht="12.75" x14ac:dyDescent="0.2">
      <c r="A237" s="68" t="e">
        <f>'THE BOARD'!#REF!</f>
        <v>#REF!</v>
      </c>
      <c r="B237" s="68" t="e">
        <f>'THE BOARD'!#REF!</f>
        <v>#REF!</v>
      </c>
      <c r="C237" s="99" t="e">
        <f>IF('THE BOARD'!#REF! = "NESTED","",IF('THE BOARD'!#REF!&lt;&gt;"",'THE BOARD'!#REF!+0.72,""))</f>
        <v>#REF!</v>
      </c>
      <c r="D237" s="99" t="e">
        <f>IF(C237&lt;&gt;"", IF('THE BOARD'!#REF! = "NESTED","",'THE BOARD'!#REF! + IF(C237&lt;&gt;"", 0.72,0)),"")</f>
        <v>#REF!</v>
      </c>
      <c r="E237" s="68" t="e">
        <f>'THE BOARD'!#REF!</f>
        <v>#REF!</v>
      </c>
      <c r="F237" s="68" t="e">
        <f>'THE BOARD'!#REF!</f>
        <v>#REF!</v>
      </c>
      <c r="G237" s="68" t="e">
        <f>'THE BOARD'!#REF!</f>
        <v>#REF!</v>
      </c>
      <c r="H237" s="68" t="e">
        <f>'THE BOARD'!#REF!</f>
        <v>#REF!</v>
      </c>
      <c r="I237" s="68" t="e">
        <f>'THE BOARD'!#REF!</f>
        <v>#REF!</v>
      </c>
      <c r="J237" s="68" t="e">
        <f>'THE BOARD'!#REF!</f>
        <v>#REF!</v>
      </c>
      <c r="K237" s="99" t="e">
        <f>'THE BOARD'!#REF!</f>
        <v>#REF!</v>
      </c>
    </row>
    <row r="238" spans="1:11" ht="12.75" x14ac:dyDescent="0.2">
      <c r="A238" s="68" t="e">
        <f>'THE BOARD'!#REF!</f>
        <v>#REF!</v>
      </c>
      <c r="B238" s="68" t="e">
        <f>'THE BOARD'!#REF!</f>
        <v>#REF!</v>
      </c>
      <c r="C238" s="99" t="e">
        <f>IF('THE BOARD'!#REF! = "NESTED","",IF('THE BOARD'!#REF!&lt;&gt;"",'THE BOARD'!#REF!+0.72,""))</f>
        <v>#REF!</v>
      </c>
      <c r="D238" s="99" t="e">
        <f>IF(C238&lt;&gt;"", IF('THE BOARD'!#REF! = "NESTED","",'THE BOARD'!#REF! + IF(C238&lt;&gt;"", 0.72,0)),"")</f>
        <v>#REF!</v>
      </c>
      <c r="E238" s="68" t="e">
        <f>'THE BOARD'!#REF!</f>
        <v>#REF!</v>
      </c>
      <c r="F238" s="68" t="e">
        <f>'THE BOARD'!#REF!</f>
        <v>#REF!</v>
      </c>
      <c r="G238" s="68" t="e">
        <f>'THE BOARD'!#REF!</f>
        <v>#REF!</v>
      </c>
      <c r="H238" s="68" t="e">
        <f>'THE BOARD'!#REF!</f>
        <v>#REF!</v>
      </c>
      <c r="I238" s="68" t="e">
        <f>'THE BOARD'!#REF!</f>
        <v>#REF!</v>
      </c>
      <c r="J238" s="68" t="e">
        <f>'THE BOARD'!#REF!</f>
        <v>#REF!</v>
      </c>
      <c r="K238" s="99" t="e">
        <f>'THE BOARD'!#REF!</f>
        <v>#REF!</v>
      </c>
    </row>
    <row r="239" spans="1:11" ht="12.75" x14ac:dyDescent="0.2">
      <c r="A239" s="68" t="e">
        <f>'THE BOARD'!#REF!</f>
        <v>#REF!</v>
      </c>
      <c r="B239" s="68" t="e">
        <f>'THE BOARD'!#REF!</f>
        <v>#REF!</v>
      </c>
      <c r="C239" s="99" t="e">
        <f>IF('THE BOARD'!#REF! = "NESTED","",IF('THE BOARD'!#REF!&lt;&gt;"",'THE BOARD'!#REF!+0.72,""))</f>
        <v>#REF!</v>
      </c>
      <c r="D239" s="99" t="e">
        <f>IF(C239&lt;&gt;"", IF('THE BOARD'!#REF! = "NESTED","",'THE BOARD'!#REF! + IF(C239&lt;&gt;"", 0.72,0)),"")</f>
        <v>#REF!</v>
      </c>
      <c r="E239" s="68" t="e">
        <f>'THE BOARD'!#REF!</f>
        <v>#REF!</v>
      </c>
      <c r="F239" s="68" t="e">
        <f>'THE BOARD'!#REF!</f>
        <v>#REF!</v>
      </c>
      <c r="G239" s="68" t="e">
        <f>'THE BOARD'!#REF!</f>
        <v>#REF!</v>
      </c>
      <c r="H239" s="68" t="e">
        <f>'THE BOARD'!#REF!</f>
        <v>#REF!</v>
      </c>
      <c r="I239" s="68" t="e">
        <f>'THE BOARD'!#REF!</f>
        <v>#REF!</v>
      </c>
      <c r="J239" s="68" t="e">
        <f>'THE BOARD'!#REF!</f>
        <v>#REF!</v>
      </c>
      <c r="K239" s="99" t="e">
        <f>'THE BOARD'!#REF!</f>
        <v>#REF!</v>
      </c>
    </row>
    <row r="240" spans="1:11" ht="12.75" x14ac:dyDescent="0.2">
      <c r="A240" s="68" t="e">
        <f>'THE BOARD'!#REF!</f>
        <v>#REF!</v>
      </c>
      <c r="B240" s="68" t="e">
        <f>'THE BOARD'!#REF!</f>
        <v>#REF!</v>
      </c>
      <c r="C240" s="99" t="e">
        <f>IF('THE BOARD'!#REF! = "NESTED","",IF('THE BOARD'!#REF!&lt;&gt;"",'THE BOARD'!#REF!+0.72,""))</f>
        <v>#REF!</v>
      </c>
      <c r="D240" s="99" t="e">
        <f>IF(C240&lt;&gt;"", IF('THE BOARD'!#REF! = "NESTED","",'THE BOARD'!#REF! + IF(C240&lt;&gt;"", 0.72,0)),"")</f>
        <v>#REF!</v>
      </c>
      <c r="E240" s="68" t="e">
        <f>'THE BOARD'!#REF!</f>
        <v>#REF!</v>
      </c>
      <c r="F240" s="68" t="e">
        <f>'THE BOARD'!#REF!</f>
        <v>#REF!</v>
      </c>
      <c r="G240" s="68" t="e">
        <f>'THE BOARD'!#REF!</f>
        <v>#REF!</v>
      </c>
      <c r="H240" s="68" t="e">
        <f>'THE BOARD'!#REF!</f>
        <v>#REF!</v>
      </c>
      <c r="I240" s="68" t="e">
        <f>'THE BOARD'!#REF!</f>
        <v>#REF!</v>
      </c>
      <c r="J240" s="68" t="e">
        <f>'THE BOARD'!#REF!</f>
        <v>#REF!</v>
      </c>
      <c r="K240" s="99" t="e">
        <f>'THE BOARD'!#REF!</f>
        <v>#REF!</v>
      </c>
    </row>
    <row r="241" spans="1:11" ht="12.75" x14ac:dyDescent="0.2">
      <c r="A241" s="68" t="e">
        <f>'THE BOARD'!#REF!</f>
        <v>#REF!</v>
      </c>
      <c r="B241" s="68" t="e">
        <f>'THE BOARD'!#REF!</f>
        <v>#REF!</v>
      </c>
      <c r="C241" s="99" t="e">
        <f>IF('THE BOARD'!#REF! = "NESTED","",IF('THE BOARD'!#REF!&lt;&gt;"",'THE BOARD'!#REF!+0.72,""))</f>
        <v>#REF!</v>
      </c>
      <c r="D241" s="99" t="e">
        <f>IF(C241&lt;&gt;"", IF('THE BOARD'!#REF! = "NESTED","",'THE BOARD'!#REF! + IF(C241&lt;&gt;"", 0.72,0)),"")</f>
        <v>#REF!</v>
      </c>
      <c r="E241" s="68" t="e">
        <f>'THE BOARD'!#REF!</f>
        <v>#REF!</v>
      </c>
      <c r="F241" s="68" t="e">
        <f>'THE BOARD'!#REF!</f>
        <v>#REF!</v>
      </c>
      <c r="G241" s="68" t="e">
        <f>'THE BOARD'!#REF!</f>
        <v>#REF!</v>
      </c>
      <c r="H241" s="68" t="e">
        <f>'THE BOARD'!#REF!</f>
        <v>#REF!</v>
      </c>
      <c r="I241" s="68" t="e">
        <f>'THE BOARD'!#REF!</f>
        <v>#REF!</v>
      </c>
      <c r="J241" s="68" t="e">
        <f>'THE BOARD'!#REF!</f>
        <v>#REF!</v>
      </c>
      <c r="K241" s="99" t="e">
        <f>'THE BOARD'!#REF!</f>
        <v>#REF!</v>
      </c>
    </row>
    <row r="242" spans="1:11" ht="12.75" x14ac:dyDescent="0.2">
      <c r="A242" s="68" t="e">
        <f>'THE BOARD'!#REF!</f>
        <v>#REF!</v>
      </c>
      <c r="B242" s="68" t="e">
        <f>'THE BOARD'!#REF!</f>
        <v>#REF!</v>
      </c>
      <c r="C242" s="99" t="e">
        <f>IF('THE BOARD'!#REF! = "NESTED","",IF('THE BOARD'!#REF!&lt;&gt;"",'THE BOARD'!#REF!+0.72,""))</f>
        <v>#REF!</v>
      </c>
      <c r="D242" s="99" t="e">
        <f>IF(C242&lt;&gt;"", IF('THE BOARD'!#REF! = "NESTED","",'THE BOARD'!#REF! + IF(C242&lt;&gt;"", 0.72,0)),"")</f>
        <v>#REF!</v>
      </c>
      <c r="E242" s="68" t="e">
        <f>'THE BOARD'!#REF!</f>
        <v>#REF!</v>
      </c>
      <c r="F242" s="68" t="e">
        <f>'THE BOARD'!#REF!</f>
        <v>#REF!</v>
      </c>
      <c r="G242" s="68" t="e">
        <f>'THE BOARD'!#REF!</f>
        <v>#REF!</v>
      </c>
      <c r="H242" s="68" t="e">
        <f>'THE BOARD'!#REF!</f>
        <v>#REF!</v>
      </c>
      <c r="I242" s="68" t="e">
        <f>'THE BOARD'!#REF!</f>
        <v>#REF!</v>
      </c>
      <c r="J242" s="68" t="e">
        <f>'THE BOARD'!#REF!</f>
        <v>#REF!</v>
      </c>
      <c r="K242" s="99" t="e">
        <f>'THE BOARD'!#REF!</f>
        <v>#REF!</v>
      </c>
    </row>
    <row r="243" spans="1:11" ht="12.75" x14ac:dyDescent="0.2">
      <c r="A243" s="68" t="e">
        <f>'THE BOARD'!#REF!</f>
        <v>#REF!</v>
      </c>
      <c r="B243" s="68" t="e">
        <f>'THE BOARD'!#REF!</f>
        <v>#REF!</v>
      </c>
      <c r="C243" s="99" t="e">
        <f>IF('THE BOARD'!#REF! = "NESTED","",IF('THE BOARD'!#REF!&lt;&gt;"",'THE BOARD'!#REF!+0.72,""))</f>
        <v>#REF!</v>
      </c>
      <c r="D243" s="99" t="e">
        <f>IF(C243&lt;&gt;"", IF('THE BOARD'!#REF! = "NESTED","",'THE BOARD'!#REF! + IF(C243&lt;&gt;"", 0.72,0)),"")</f>
        <v>#REF!</v>
      </c>
      <c r="E243" s="68" t="e">
        <f>'THE BOARD'!#REF!</f>
        <v>#REF!</v>
      </c>
      <c r="F243" s="68" t="e">
        <f>'THE BOARD'!#REF!</f>
        <v>#REF!</v>
      </c>
      <c r="G243" s="68" t="e">
        <f>'THE BOARD'!#REF!</f>
        <v>#REF!</v>
      </c>
      <c r="H243" s="68" t="e">
        <f>'THE BOARD'!#REF!</f>
        <v>#REF!</v>
      </c>
      <c r="I243" s="68" t="e">
        <f>'THE BOARD'!#REF!</f>
        <v>#REF!</v>
      </c>
      <c r="J243" s="68" t="e">
        <f>'THE BOARD'!#REF!</f>
        <v>#REF!</v>
      </c>
      <c r="K243" s="99" t="e">
        <f>'THE BOARD'!#REF!</f>
        <v>#REF!</v>
      </c>
    </row>
    <row r="244" spans="1:11" ht="12.75" x14ac:dyDescent="0.2">
      <c r="A244" s="68" t="e">
        <f>'THE BOARD'!#REF!</f>
        <v>#REF!</v>
      </c>
      <c r="B244" s="68" t="e">
        <f>'THE BOARD'!#REF!</f>
        <v>#REF!</v>
      </c>
      <c r="C244" s="99" t="e">
        <f>IF('THE BOARD'!#REF! = "NESTED","",IF('THE BOARD'!#REF!&lt;&gt;"",'THE BOARD'!#REF!+0.72,""))</f>
        <v>#REF!</v>
      </c>
      <c r="D244" s="99" t="e">
        <f>IF(C244&lt;&gt;"", IF('THE BOARD'!#REF! = "NESTED","",'THE BOARD'!#REF! + IF(C244&lt;&gt;"", 0.72,0)),"")</f>
        <v>#REF!</v>
      </c>
      <c r="E244" s="68" t="e">
        <f>'THE BOARD'!#REF!</f>
        <v>#REF!</v>
      </c>
      <c r="F244" s="68" t="e">
        <f>'THE BOARD'!#REF!</f>
        <v>#REF!</v>
      </c>
      <c r="G244" s="68" t="e">
        <f>'THE BOARD'!#REF!</f>
        <v>#REF!</v>
      </c>
      <c r="H244" s="68" t="e">
        <f>'THE BOARD'!#REF!</f>
        <v>#REF!</v>
      </c>
      <c r="I244" s="68" t="e">
        <f>'THE BOARD'!#REF!</f>
        <v>#REF!</v>
      </c>
      <c r="J244" s="68" t="e">
        <f>'THE BOARD'!#REF!</f>
        <v>#REF!</v>
      </c>
      <c r="K244" s="99" t="e">
        <f>'THE BOARD'!#REF!</f>
        <v>#REF!</v>
      </c>
    </row>
    <row r="245" spans="1:11" ht="12.75" x14ac:dyDescent="0.2">
      <c r="A245" s="68" t="e">
        <f>'THE BOARD'!#REF!</f>
        <v>#REF!</v>
      </c>
      <c r="B245" s="68" t="e">
        <f>'THE BOARD'!#REF!</f>
        <v>#REF!</v>
      </c>
      <c r="C245" s="99" t="e">
        <f>IF('THE BOARD'!#REF! = "NESTED","",IF('THE BOARD'!#REF!&lt;&gt;"",'THE BOARD'!#REF!+0.72,""))</f>
        <v>#REF!</v>
      </c>
      <c r="D245" s="99" t="e">
        <f>IF(C245&lt;&gt;"", IF('THE BOARD'!#REF! = "NESTED","",'THE BOARD'!#REF! + IF(C245&lt;&gt;"", 0.72,0)),"")</f>
        <v>#REF!</v>
      </c>
      <c r="E245" s="68" t="e">
        <f>'THE BOARD'!#REF!</f>
        <v>#REF!</v>
      </c>
      <c r="F245" s="68" t="e">
        <f>'THE BOARD'!#REF!</f>
        <v>#REF!</v>
      </c>
      <c r="G245" s="68" t="e">
        <f>'THE BOARD'!#REF!</f>
        <v>#REF!</v>
      </c>
      <c r="H245" s="68" t="e">
        <f>'THE BOARD'!#REF!</f>
        <v>#REF!</v>
      </c>
      <c r="I245" s="68" t="e">
        <f>'THE BOARD'!#REF!</f>
        <v>#REF!</v>
      </c>
      <c r="J245" s="68" t="e">
        <f>'THE BOARD'!#REF!</f>
        <v>#REF!</v>
      </c>
      <c r="K245" s="99" t="e">
        <f>'THE BOARD'!#REF!</f>
        <v>#REF!</v>
      </c>
    </row>
    <row r="246" spans="1:11" ht="12.75" x14ac:dyDescent="0.2">
      <c r="A246" s="68" t="e">
        <f>'THE BOARD'!#REF!</f>
        <v>#REF!</v>
      </c>
      <c r="B246" s="68" t="e">
        <f>'THE BOARD'!#REF!</f>
        <v>#REF!</v>
      </c>
      <c r="C246" s="99" t="e">
        <f>IF('THE BOARD'!#REF! = "NESTED","",IF('THE BOARD'!#REF!&lt;&gt;"",'THE BOARD'!#REF!+0.72,""))</f>
        <v>#REF!</v>
      </c>
      <c r="D246" s="99" t="e">
        <f>IF(C246&lt;&gt;"", IF('THE BOARD'!#REF! = "NESTED","",'THE BOARD'!#REF! + IF(C246&lt;&gt;"", 0.72,0)),"")</f>
        <v>#REF!</v>
      </c>
      <c r="E246" s="68" t="e">
        <f>'THE BOARD'!#REF!</f>
        <v>#REF!</v>
      </c>
      <c r="F246" s="68" t="e">
        <f>'THE BOARD'!#REF!</f>
        <v>#REF!</v>
      </c>
      <c r="G246" s="68" t="e">
        <f>'THE BOARD'!#REF!</f>
        <v>#REF!</v>
      </c>
      <c r="H246" s="68" t="e">
        <f>'THE BOARD'!#REF!</f>
        <v>#REF!</v>
      </c>
      <c r="I246" s="68" t="e">
        <f>'THE BOARD'!#REF!</f>
        <v>#REF!</v>
      </c>
      <c r="J246" s="68" t="e">
        <f>'THE BOARD'!#REF!</f>
        <v>#REF!</v>
      </c>
      <c r="K246" s="99" t="e">
        <f>'THE BOARD'!#REF!</f>
        <v>#REF!</v>
      </c>
    </row>
    <row r="247" spans="1:11" ht="12.75" x14ac:dyDescent="0.2">
      <c r="A247" s="68" t="e">
        <f>'THE BOARD'!#REF!</f>
        <v>#REF!</v>
      </c>
      <c r="B247" s="68" t="e">
        <f>'THE BOARD'!#REF!</f>
        <v>#REF!</v>
      </c>
      <c r="C247" s="99" t="e">
        <f>IF('THE BOARD'!#REF! = "NESTED","",IF('THE BOARD'!#REF!&lt;&gt;"",'THE BOARD'!#REF!+0.72,""))</f>
        <v>#REF!</v>
      </c>
      <c r="D247" s="99" t="e">
        <f>IF(C247&lt;&gt;"", IF('THE BOARD'!#REF! = "NESTED","",'THE BOARD'!#REF! + IF(C247&lt;&gt;"", 0.72,0)),"")</f>
        <v>#REF!</v>
      </c>
      <c r="E247" s="68" t="e">
        <f>'THE BOARD'!#REF!</f>
        <v>#REF!</v>
      </c>
      <c r="F247" s="68" t="e">
        <f>'THE BOARD'!#REF!</f>
        <v>#REF!</v>
      </c>
      <c r="G247" s="68" t="e">
        <f>'THE BOARD'!#REF!</f>
        <v>#REF!</v>
      </c>
      <c r="H247" s="68" t="e">
        <f>'THE BOARD'!#REF!</f>
        <v>#REF!</v>
      </c>
      <c r="I247" s="68" t="e">
        <f>'THE BOARD'!#REF!</f>
        <v>#REF!</v>
      </c>
      <c r="J247" s="68" t="e">
        <f>'THE BOARD'!#REF!</f>
        <v>#REF!</v>
      </c>
      <c r="K247" s="99" t="e">
        <f>'THE BOARD'!#REF!</f>
        <v>#REF!</v>
      </c>
    </row>
    <row r="248" spans="1:11" ht="12.75" x14ac:dyDescent="0.2">
      <c r="A248" s="68" t="e">
        <f>'THE BOARD'!#REF!</f>
        <v>#REF!</v>
      </c>
      <c r="B248" s="68" t="e">
        <f>'THE BOARD'!#REF!</f>
        <v>#REF!</v>
      </c>
      <c r="C248" s="99" t="e">
        <f>IF('THE BOARD'!#REF! = "NESTED","",IF('THE BOARD'!#REF!&lt;&gt;"",'THE BOARD'!#REF!+0.72,""))</f>
        <v>#REF!</v>
      </c>
      <c r="D248" s="99" t="e">
        <f>IF(C248&lt;&gt;"", IF('THE BOARD'!#REF! = "NESTED","",'THE BOARD'!#REF! + IF(C248&lt;&gt;"", 0.72,0)),"")</f>
        <v>#REF!</v>
      </c>
      <c r="E248" s="68" t="e">
        <f>'THE BOARD'!#REF!</f>
        <v>#REF!</v>
      </c>
      <c r="F248" s="68" t="e">
        <f>'THE BOARD'!#REF!</f>
        <v>#REF!</v>
      </c>
      <c r="G248" s="68" t="e">
        <f>'THE BOARD'!#REF!</f>
        <v>#REF!</v>
      </c>
      <c r="H248" s="68" t="e">
        <f>'THE BOARD'!#REF!</f>
        <v>#REF!</v>
      </c>
      <c r="I248" s="68" t="e">
        <f>'THE BOARD'!#REF!</f>
        <v>#REF!</v>
      </c>
      <c r="J248" s="68" t="e">
        <f>'THE BOARD'!#REF!</f>
        <v>#REF!</v>
      </c>
      <c r="K248" s="99" t="e">
        <f>'THE BOARD'!#REF!</f>
        <v>#REF!</v>
      </c>
    </row>
    <row r="249" spans="1:11" ht="12.75" x14ac:dyDescent="0.2">
      <c r="A249" s="68" t="e">
        <f>'THE BOARD'!#REF!</f>
        <v>#REF!</v>
      </c>
      <c r="B249" s="68" t="e">
        <f>'THE BOARD'!#REF!</f>
        <v>#REF!</v>
      </c>
      <c r="C249" s="99" t="e">
        <f>IF('THE BOARD'!#REF! = "NESTED","",IF('THE BOARD'!#REF!&lt;&gt;"",'THE BOARD'!#REF!+0.72,""))</f>
        <v>#REF!</v>
      </c>
      <c r="D249" s="99" t="e">
        <f>IF(C249&lt;&gt;"", IF('THE BOARD'!#REF! = "NESTED","",'THE BOARD'!#REF! + IF(C249&lt;&gt;"", 0.72,0)),"")</f>
        <v>#REF!</v>
      </c>
      <c r="E249" s="68" t="e">
        <f>'THE BOARD'!#REF!</f>
        <v>#REF!</v>
      </c>
      <c r="F249" s="68" t="e">
        <f>'THE BOARD'!#REF!</f>
        <v>#REF!</v>
      </c>
      <c r="G249" s="68" t="e">
        <f>'THE BOARD'!#REF!</f>
        <v>#REF!</v>
      </c>
      <c r="H249" s="68" t="e">
        <f>'THE BOARD'!#REF!</f>
        <v>#REF!</v>
      </c>
      <c r="I249" s="68" t="e">
        <f>'THE BOARD'!#REF!</f>
        <v>#REF!</v>
      </c>
      <c r="J249" s="68" t="e">
        <f>'THE BOARD'!#REF!</f>
        <v>#REF!</v>
      </c>
      <c r="K249" s="99" t="e">
        <f>'THE BOARD'!#REF!</f>
        <v>#REF!</v>
      </c>
    </row>
    <row r="250" spans="1:11" ht="12.75" x14ac:dyDescent="0.2">
      <c r="A250" s="68" t="e">
        <f>'THE BOARD'!#REF!</f>
        <v>#REF!</v>
      </c>
      <c r="B250" s="68" t="e">
        <f>'THE BOARD'!#REF!</f>
        <v>#REF!</v>
      </c>
      <c r="C250" s="99" t="e">
        <f>IF('THE BOARD'!#REF! = "NESTED","",IF('THE BOARD'!#REF!&lt;&gt;"",'THE BOARD'!#REF!+0.72,""))</f>
        <v>#REF!</v>
      </c>
      <c r="D250" s="99" t="e">
        <f>IF(C250&lt;&gt;"", IF('THE BOARD'!#REF! = "NESTED","",'THE BOARD'!#REF! + IF(C250&lt;&gt;"", 0.72,0)),"")</f>
        <v>#REF!</v>
      </c>
      <c r="E250" s="68" t="e">
        <f>'THE BOARD'!#REF!</f>
        <v>#REF!</v>
      </c>
      <c r="F250" s="68" t="e">
        <f>'THE BOARD'!#REF!</f>
        <v>#REF!</v>
      </c>
      <c r="G250" s="68" t="e">
        <f>'THE BOARD'!#REF!</f>
        <v>#REF!</v>
      </c>
      <c r="H250" s="68" t="e">
        <f>'THE BOARD'!#REF!</f>
        <v>#REF!</v>
      </c>
      <c r="I250" s="68" t="e">
        <f>'THE BOARD'!#REF!</f>
        <v>#REF!</v>
      </c>
      <c r="J250" s="68" t="e">
        <f>'THE BOARD'!#REF!</f>
        <v>#REF!</v>
      </c>
      <c r="K250" s="99" t="e">
        <f>'THE BOARD'!#REF!</f>
        <v>#REF!</v>
      </c>
    </row>
    <row r="251" spans="1:11" ht="12.75" x14ac:dyDescent="0.2">
      <c r="A251" s="68" t="e">
        <f>'THE BOARD'!#REF!</f>
        <v>#REF!</v>
      </c>
      <c r="B251" s="68" t="e">
        <f>'THE BOARD'!#REF!</f>
        <v>#REF!</v>
      </c>
      <c r="C251" s="99" t="e">
        <f>IF('THE BOARD'!#REF! = "NESTED","",IF('THE BOARD'!#REF!&lt;&gt;"",'THE BOARD'!#REF!+0.72,""))</f>
        <v>#REF!</v>
      </c>
      <c r="D251" s="99" t="e">
        <f>IF(C251&lt;&gt;"", IF('THE BOARD'!#REF! = "NESTED","",'THE BOARD'!#REF! + IF(C251&lt;&gt;"", 0.72,0)),"")</f>
        <v>#REF!</v>
      </c>
      <c r="E251" s="68" t="e">
        <f>'THE BOARD'!#REF!</f>
        <v>#REF!</v>
      </c>
      <c r="F251" s="68" t="e">
        <f>'THE BOARD'!#REF!</f>
        <v>#REF!</v>
      </c>
      <c r="G251" s="68" t="e">
        <f>'THE BOARD'!#REF!</f>
        <v>#REF!</v>
      </c>
      <c r="H251" s="68" t="e">
        <f>'THE BOARD'!#REF!</f>
        <v>#REF!</v>
      </c>
      <c r="I251" s="68" t="e">
        <f>'THE BOARD'!#REF!</f>
        <v>#REF!</v>
      </c>
      <c r="J251" s="68" t="e">
        <f>'THE BOARD'!#REF!</f>
        <v>#REF!</v>
      </c>
      <c r="K251" s="99" t="e">
        <f>'THE BOARD'!#REF!</f>
        <v>#REF!</v>
      </c>
    </row>
    <row r="252" spans="1:11" ht="12.75" x14ac:dyDescent="0.2">
      <c r="A252" s="68" t="e">
        <f>'THE BOARD'!#REF!</f>
        <v>#REF!</v>
      </c>
      <c r="B252" s="68" t="e">
        <f>'THE BOARD'!#REF!</f>
        <v>#REF!</v>
      </c>
      <c r="C252" s="99" t="e">
        <f>IF('THE BOARD'!#REF! = "NESTED","",IF('THE BOARD'!#REF!&lt;&gt;"",'THE BOARD'!#REF!+0.72,""))</f>
        <v>#REF!</v>
      </c>
      <c r="D252" s="99" t="e">
        <f>IF(C252&lt;&gt;"", IF('THE BOARD'!#REF! = "NESTED","",'THE BOARD'!#REF! + IF(C252&lt;&gt;"", 0.72,0)),"")</f>
        <v>#REF!</v>
      </c>
      <c r="E252" s="68" t="e">
        <f>'THE BOARD'!#REF!</f>
        <v>#REF!</v>
      </c>
      <c r="F252" s="68" t="e">
        <f>'THE BOARD'!#REF!</f>
        <v>#REF!</v>
      </c>
      <c r="G252" s="68" t="e">
        <f>'THE BOARD'!#REF!</f>
        <v>#REF!</v>
      </c>
      <c r="H252" s="68" t="e">
        <f>'THE BOARD'!#REF!</f>
        <v>#REF!</v>
      </c>
      <c r="I252" s="68" t="e">
        <f>'THE BOARD'!#REF!</f>
        <v>#REF!</v>
      </c>
      <c r="J252" s="68" t="e">
        <f>'THE BOARD'!#REF!</f>
        <v>#REF!</v>
      </c>
      <c r="K252" s="99" t="e">
        <f>'THE BOARD'!#REF!</f>
        <v>#REF!</v>
      </c>
    </row>
    <row r="253" spans="1:11" ht="12.75" x14ac:dyDescent="0.2">
      <c r="A253" s="68" t="e">
        <f>'THE BOARD'!#REF!</f>
        <v>#REF!</v>
      </c>
      <c r="B253" s="68" t="e">
        <f>'THE BOARD'!#REF!</f>
        <v>#REF!</v>
      </c>
      <c r="C253" s="99" t="e">
        <f>IF('THE BOARD'!#REF! = "NESTED","",IF('THE BOARD'!#REF!&lt;&gt;"",'THE BOARD'!#REF!+0.72,""))</f>
        <v>#REF!</v>
      </c>
      <c r="D253" s="99" t="e">
        <f>IF(C253&lt;&gt;"", IF('THE BOARD'!#REF! = "NESTED","",'THE BOARD'!#REF! + IF(C253&lt;&gt;"", 0.72,0)),"")</f>
        <v>#REF!</v>
      </c>
      <c r="E253" s="68" t="e">
        <f>'THE BOARD'!#REF!</f>
        <v>#REF!</v>
      </c>
      <c r="F253" s="68" t="e">
        <f>'THE BOARD'!#REF!</f>
        <v>#REF!</v>
      </c>
      <c r="G253" s="68" t="e">
        <f>'THE BOARD'!#REF!</f>
        <v>#REF!</v>
      </c>
      <c r="H253" s="68" t="e">
        <f>'THE BOARD'!#REF!</f>
        <v>#REF!</v>
      </c>
      <c r="I253" s="68" t="e">
        <f>'THE BOARD'!#REF!</f>
        <v>#REF!</v>
      </c>
      <c r="J253" s="68" t="e">
        <f>'THE BOARD'!#REF!</f>
        <v>#REF!</v>
      </c>
      <c r="K253" s="99" t="e">
        <f>'THE BOARD'!#REF!</f>
        <v>#REF!</v>
      </c>
    </row>
    <row r="254" spans="1:11" ht="12.75" x14ac:dyDescent="0.2">
      <c r="A254" s="68" t="e">
        <f>'THE BOARD'!#REF!</f>
        <v>#REF!</v>
      </c>
      <c r="B254" s="68" t="e">
        <f>'THE BOARD'!#REF!</f>
        <v>#REF!</v>
      </c>
      <c r="C254" s="99" t="e">
        <f>IF('THE BOARD'!#REF! = "NESTED","",IF('THE BOARD'!#REF!&lt;&gt;"",'THE BOARD'!#REF!+0.72,""))</f>
        <v>#REF!</v>
      </c>
      <c r="D254" s="99" t="e">
        <f>IF(C254&lt;&gt;"", IF('THE BOARD'!#REF! = "NESTED","",'THE BOARD'!#REF! + IF(C254&lt;&gt;"", 0.72,0)),"")</f>
        <v>#REF!</v>
      </c>
      <c r="E254" s="68" t="e">
        <f>'THE BOARD'!#REF!</f>
        <v>#REF!</v>
      </c>
      <c r="F254" s="68" t="e">
        <f>'THE BOARD'!#REF!</f>
        <v>#REF!</v>
      </c>
      <c r="G254" s="68" t="e">
        <f>'THE BOARD'!#REF!</f>
        <v>#REF!</v>
      </c>
      <c r="H254" s="68" t="e">
        <f>'THE BOARD'!#REF!</f>
        <v>#REF!</v>
      </c>
      <c r="I254" s="68" t="e">
        <f>'THE BOARD'!#REF!</f>
        <v>#REF!</v>
      </c>
      <c r="J254" s="68" t="e">
        <f>'THE BOARD'!#REF!</f>
        <v>#REF!</v>
      </c>
      <c r="K254" s="99" t="e">
        <f>'THE BOARD'!#REF!</f>
        <v>#REF!</v>
      </c>
    </row>
    <row r="255" spans="1:11" ht="12.75" x14ac:dyDescent="0.2">
      <c r="A255" s="68" t="e">
        <f>'THE BOARD'!#REF!</f>
        <v>#REF!</v>
      </c>
      <c r="B255" s="68" t="e">
        <f>'THE BOARD'!#REF!</f>
        <v>#REF!</v>
      </c>
      <c r="C255" s="99" t="e">
        <f>IF('THE BOARD'!#REF! = "NESTED","",IF('THE BOARD'!#REF!&lt;&gt;"",'THE BOARD'!#REF!+0.72,""))</f>
        <v>#REF!</v>
      </c>
      <c r="D255" s="99" t="e">
        <f>IF(C255&lt;&gt;"", IF('THE BOARD'!#REF! = "NESTED","",'THE BOARD'!#REF! + IF(C255&lt;&gt;"", 0.72,0)),"")</f>
        <v>#REF!</v>
      </c>
      <c r="E255" s="68" t="e">
        <f>'THE BOARD'!#REF!</f>
        <v>#REF!</v>
      </c>
      <c r="F255" s="68" t="e">
        <f>'THE BOARD'!#REF!</f>
        <v>#REF!</v>
      </c>
      <c r="G255" s="68" t="e">
        <f>'THE BOARD'!#REF!</f>
        <v>#REF!</v>
      </c>
      <c r="H255" s="68" t="e">
        <f>'THE BOARD'!#REF!</f>
        <v>#REF!</v>
      </c>
      <c r="I255" s="68" t="e">
        <f>'THE BOARD'!#REF!</f>
        <v>#REF!</v>
      </c>
      <c r="J255" s="68" t="e">
        <f>'THE BOARD'!#REF!</f>
        <v>#REF!</v>
      </c>
      <c r="K255" s="99" t="e">
        <f>'THE BOARD'!#REF!</f>
        <v>#REF!</v>
      </c>
    </row>
    <row r="256" spans="1:11" ht="12.75" x14ac:dyDescent="0.2">
      <c r="A256" s="68" t="e">
        <f>'THE BOARD'!#REF!</f>
        <v>#REF!</v>
      </c>
      <c r="B256" s="68" t="e">
        <f>'THE BOARD'!#REF!</f>
        <v>#REF!</v>
      </c>
      <c r="C256" s="99" t="e">
        <f>IF('THE BOARD'!#REF! = "NESTED","",IF('THE BOARD'!#REF!&lt;&gt;"",'THE BOARD'!#REF!+0.72,""))</f>
        <v>#REF!</v>
      </c>
      <c r="D256" s="99" t="e">
        <f>IF(C256&lt;&gt;"", IF('THE BOARD'!#REF! = "NESTED","",'THE BOARD'!#REF! + IF(C256&lt;&gt;"", 0.72,0)),"")</f>
        <v>#REF!</v>
      </c>
      <c r="E256" s="68" t="e">
        <f>'THE BOARD'!#REF!</f>
        <v>#REF!</v>
      </c>
      <c r="F256" s="68" t="e">
        <f>'THE BOARD'!#REF!</f>
        <v>#REF!</v>
      </c>
      <c r="G256" s="68" t="e">
        <f>'THE BOARD'!#REF!</f>
        <v>#REF!</v>
      </c>
      <c r="H256" s="68" t="e">
        <f>'THE BOARD'!#REF!</f>
        <v>#REF!</v>
      </c>
      <c r="I256" s="68" t="e">
        <f>'THE BOARD'!#REF!</f>
        <v>#REF!</v>
      </c>
      <c r="J256" s="68" t="e">
        <f>'THE BOARD'!#REF!</f>
        <v>#REF!</v>
      </c>
      <c r="K256" s="99" t="e">
        <f>'THE BOARD'!#REF!</f>
        <v>#REF!</v>
      </c>
    </row>
    <row r="257" spans="1:11" ht="12.75" x14ac:dyDescent="0.2">
      <c r="A257" s="68" t="e">
        <f>'THE BOARD'!#REF!</f>
        <v>#REF!</v>
      </c>
      <c r="B257" s="68" t="e">
        <f>'THE BOARD'!#REF!</f>
        <v>#REF!</v>
      </c>
      <c r="C257" s="99" t="e">
        <f>IF('THE BOARD'!#REF! = "NESTED","",IF('THE BOARD'!#REF!&lt;&gt;"",'THE BOARD'!#REF!+0.72,""))</f>
        <v>#REF!</v>
      </c>
      <c r="D257" s="99" t="e">
        <f>IF(C257&lt;&gt;"", IF('THE BOARD'!#REF! = "NESTED","",'THE BOARD'!#REF! + IF(C257&lt;&gt;"", 0.72,0)),"")</f>
        <v>#REF!</v>
      </c>
      <c r="E257" s="68" t="e">
        <f>'THE BOARD'!#REF!</f>
        <v>#REF!</v>
      </c>
      <c r="F257" s="68" t="e">
        <f>'THE BOARD'!#REF!</f>
        <v>#REF!</v>
      </c>
      <c r="G257" s="68" t="e">
        <f>'THE BOARD'!#REF!</f>
        <v>#REF!</v>
      </c>
      <c r="H257" s="68" t="e">
        <f>'THE BOARD'!#REF!</f>
        <v>#REF!</v>
      </c>
      <c r="I257" s="68" t="e">
        <f>'THE BOARD'!#REF!</f>
        <v>#REF!</v>
      </c>
      <c r="J257" s="68" t="e">
        <f>'THE BOARD'!#REF!</f>
        <v>#REF!</v>
      </c>
      <c r="K257" s="68" t="e">
        <f>'THE BOARD'!#REF!</f>
        <v>#REF!</v>
      </c>
    </row>
    <row r="258" spans="1:11" ht="12.75" x14ac:dyDescent="0.2">
      <c r="A258" s="68" t="e">
        <f>'THE BOARD'!#REF!</f>
        <v>#REF!</v>
      </c>
      <c r="B258" s="68" t="e">
        <f>'THE BOARD'!#REF!</f>
        <v>#REF!</v>
      </c>
      <c r="C258" s="99" t="e">
        <f>IF('THE BOARD'!#REF! = "NESTED","",IF('THE BOARD'!#REF!&lt;&gt;"",'THE BOARD'!#REF!+0.72,""))</f>
        <v>#REF!</v>
      </c>
      <c r="D258" s="99" t="e">
        <f>IF(C258&lt;&gt;"", IF('THE BOARD'!#REF! = "NESTED","",'THE BOARD'!#REF! + IF(C258&lt;&gt;"", 0.72,0)),"")</f>
        <v>#REF!</v>
      </c>
      <c r="E258" s="68" t="e">
        <f>'THE BOARD'!#REF!</f>
        <v>#REF!</v>
      </c>
      <c r="F258" s="68" t="e">
        <f>'THE BOARD'!#REF!</f>
        <v>#REF!</v>
      </c>
      <c r="G258" s="68" t="e">
        <f>'THE BOARD'!#REF!</f>
        <v>#REF!</v>
      </c>
      <c r="H258" s="68" t="e">
        <f>'THE BOARD'!#REF!</f>
        <v>#REF!</v>
      </c>
      <c r="I258" s="68" t="e">
        <f>'THE BOARD'!#REF!</f>
        <v>#REF!</v>
      </c>
      <c r="J258" s="68" t="e">
        <f>'THE BOARD'!#REF!</f>
        <v>#REF!</v>
      </c>
      <c r="K258" s="68" t="e">
        <f>'THE BOARD'!#REF!</f>
        <v>#REF!</v>
      </c>
    </row>
    <row r="259" spans="1:11" ht="12.75" x14ac:dyDescent="0.2">
      <c r="A259" s="68" t="e">
        <f>'THE BOARD'!#REF!</f>
        <v>#REF!</v>
      </c>
      <c r="B259" s="68" t="e">
        <f>'THE BOARD'!#REF!</f>
        <v>#REF!</v>
      </c>
      <c r="C259" s="99" t="e">
        <f>IF('THE BOARD'!#REF! = "NESTED","",IF('THE BOARD'!#REF!&lt;&gt;"",'THE BOARD'!#REF!+0.72,""))</f>
        <v>#REF!</v>
      </c>
      <c r="D259" s="99" t="e">
        <f>IF(C259&lt;&gt;"", IF('THE BOARD'!#REF! = "NESTED","",'THE BOARD'!#REF! + IF(C259&lt;&gt;"", 0.72,0)),"")</f>
        <v>#REF!</v>
      </c>
      <c r="E259" s="68" t="e">
        <f>'THE BOARD'!#REF!</f>
        <v>#REF!</v>
      </c>
      <c r="F259" s="68" t="e">
        <f>'THE BOARD'!#REF!</f>
        <v>#REF!</v>
      </c>
      <c r="G259" s="68" t="e">
        <f>'THE BOARD'!#REF!</f>
        <v>#REF!</v>
      </c>
      <c r="H259" s="68" t="e">
        <f>'THE BOARD'!#REF!</f>
        <v>#REF!</v>
      </c>
      <c r="I259" s="68" t="e">
        <f>'THE BOARD'!#REF!</f>
        <v>#REF!</v>
      </c>
      <c r="J259" s="68" t="e">
        <f>'THE BOARD'!#REF!</f>
        <v>#REF!</v>
      </c>
      <c r="K259" s="68" t="e">
        <f>'THE BOARD'!#REF!</f>
        <v>#REF!</v>
      </c>
    </row>
    <row r="260" spans="1:11" ht="12.75" x14ac:dyDescent="0.2">
      <c r="A260" s="68" t="e">
        <f>'THE BOARD'!#REF!</f>
        <v>#REF!</v>
      </c>
      <c r="B260" s="68" t="e">
        <f>'THE BOARD'!#REF!</f>
        <v>#REF!</v>
      </c>
      <c r="C260" s="99" t="e">
        <f>IF('THE BOARD'!#REF! = "NESTED","",IF('THE BOARD'!#REF!&lt;&gt;"",'THE BOARD'!#REF!+0.72,""))</f>
        <v>#REF!</v>
      </c>
      <c r="D260" s="99" t="e">
        <f>IF(C260&lt;&gt;"", IF('THE BOARD'!#REF! = "NESTED","",'THE BOARD'!#REF! + IF(C260&lt;&gt;"", 0.72,0)),"")</f>
        <v>#REF!</v>
      </c>
      <c r="E260" s="68" t="e">
        <f>'THE BOARD'!#REF!</f>
        <v>#REF!</v>
      </c>
      <c r="F260" s="68" t="e">
        <f>'THE BOARD'!#REF!</f>
        <v>#REF!</v>
      </c>
      <c r="G260" s="68" t="e">
        <f>'THE BOARD'!#REF!</f>
        <v>#REF!</v>
      </c>
      <c r="H260" s="68" t="e">
        <f>'THE BOARD'!#REF!</f>
        <v>#REF!</v>
      </c>
      <c r="I260" s="68" t="e">
        <f>'THE BOARD'!#REF!</f>
        <v>#REF!</v>
      </c>
      <c r="J260" s="68" t="e">
        <f>'THE BOARD'!#REF!</f>
        <v>#REF!</v>
      </c>
      <c r="K260" s="68" t="e">
        <f>'THE BOARD'!#REF!</f>
        <v>#REF!</v>
      </c>
    </row>
    <row r="261" spans="1:11" ht="12.75" x14ac:dyDescent="0.2">
      <c r="A261" s="68" t="e">
        <f>'THE BOARD'!#REF!</f>
        <v>#REF!</v>
      </c>
      <c r="B261" s="68" t="e">
        <f>'THE BOARD'!#REF!</f>
        <v>#REF!</v>
      </c>
      <c r="C261" s="99" t="e">
        <f>IF('THE BOARD'!#REF! = "NESTED","",IF('THE BOARD'!#REF!&lt;&gt;"",'THE BOARD'!#REF!+0.72,""))</f>
        <v>#REF!</v>
      </c>
      <c r="D261" s="99" t="e">
        <f>IF(C261&lt;&gt;"", IF('THE BOARD'!#REF! = "NESTED","",'THE BOARD'!#REF! + IF(C261&lt;&gt;"", 0.72,0)),"")</f>
        <v>#REF!</v>
      </c>
      <c r="E261" s="68" t="e">
        <f>'THE BOARD'!#REF!</f>
        <v>#REF!</v>
      </c>
      <c r="F261" s="68" t="e">
        <f>'THE BOARD'!#REF!</f>
        <v>#REF!</v>
      </c>
      <c r="G261" s="68" t="e">
        <f>'THE BOARD'!#REF!</f>
        <v>#REF!</v>
      </c>
      <c r="H261" s="68" t="e">
        <f>'THE BOARD'!#REF!</f>
        <v>#REF!</v>
      </c>
      <c r="I261" s="68" t="e">
        <f>'THE BOARD'!#REF!</f>
        <v>#REF!</v>
      </c>
      <c r="J261" s="68" t="e">
        <f>'THE BOARD'!#REF!</f>
        <v>#REF!</v>
      </c>
      <c r="K261" s="68" t="e">
        <f>'THE BOARD'!#REF!</f>
        <v>#REF!</v>
      </c>
    </row>
    <row r="262" spans="1:11" ht="12.75" x14ac:dyDescent="0.2">
      <c r="A262" s="68" t="e">
        <f>'THE BOARD'!#REF!</f>
        <v>#REF!</v>
      </c>
      <c r="B262" s="68" t="e">
        <f>'THE BOARD'!#REF!</f>
        <v>#REF!</v>
      </c>
      <c r="C262" s="99" t="e">
        <f>IF('THE BOARD'!#REF! = "NESTED","",IF('THE BOARD'!#REF!&lt;&gt;"",'THE BOARD'!#REF!+0.72,""))</f>
        <v>#REF!</v>
      </c>
      <c r="D262" s="99" t="e">
        <f>IF(C262&lt;&gt;"", IF('THE BOARD'!#REF! = "NESTED","",'THE BOARD'!#REF! + IF(C262&lt;&gt;"", 0.72,0)),"")</f>
        <v>#REF!</v>
      </c>
      <c r="E262" s="68" t="e">
        <f>'THE BOARD'!#REF!</f>
        <v>#REF!</v>
      </c>
      <c r="F262" s="68" t="e">
        <f>'THE BOARD'!#REF!</f>
        <v>#REF!</v>
      </c>
      <c r="G262" s="68" t="e">
        <f>'THE BOARD'!#REF!</f>
        <v>#REF!</v>
      </c>
      <c r="H262" s="68" t="e">
        <f>'THE BOARD'!#REF!</f>
        <v>#REF!</v>
      </c>
      <c r="I262" s="68" t="e">
        <f>'THE BOARD'!#REF!</f>
        <v>#REF!</v>
      </c>
      <c r="J262" s="68" t="e">
        <f>'THE BOARD'!#REF!</f>
        <v>#REF!</v>
      </c>
      <c r="K262" s="99" t="e">
        <f>'THE BOARD'!#REF!</f>
        <v>#REF!</v>
      </c>
    </row>
    <row r="263" spans="1:11" ht="12.75" x14ac:dyDescent="0.2">
      <c r="A263" s="68" t="e">
        <f>'THE BOARD'!#REF!</f>
        <v>#REF!</v>
      </c>
      <c r="B263" s="68" t="e">
        <f>'THE BOARD'!#REF!</f>
        <v>#REF!</v>
      </c>
      <c r="C263" s="99" t="e">
        <f>IF('THE BOARD'!#REF! = "NESTED","",IF('THE BOARD'!#REF!&lt;&gt;"",'THE BOARD'!#REF!+0.72,""))</f>
        <v>#REF!</v>
      </c>
      <c r="D263" s="99" t="e">
        <f>IF(C263&lt;&gt;"", IF('THE BOARD'!#REF! = "NESTED","",'THE BOARD'!#REF! + IF(C263&lt;&gt;"", 0.72,0)),"")</f>
        <v>#REF!</v>
      </c>
      <c r="E263" s="68" t="e">
        <f>'THE BOARD'!#REF!</f>
        <v>#REF!</v>
      </c>
      <c r="F263" s="68" t="e">
        <f>'THE BOARD'!#REF!</f>
        <v>#REF!</v>
      </c>
      <c r="G263" s="68" t="e">
        <f>'THE BOARD'!#REF!</f>
        <v>#REF!</v>
      </c>
      <c r="H263" s="68" t="e">
        <f>'THE BOARD'!#REF!</f>
        <v>#REF!</v>
      </c>
      <c r="I263" s="68" t="e">
        <f>'THE BOARD'!#REF!</f>
        <v>#REF!</v>
      </c>
      <c r="J263" s="68" t="e">
        <f>'THE BOARD'!#REF!</f>
        <v>#REF!</v>
      </c>
      <c r="K263" s="99" t="e">
        <f>'THE BOARD'!#REF!</f>
        <v>#REF!</v>
      </c>
    </row>
    <row r="264" spans="1:11" ht="12.75" x14ac:dyDescent="0.2">
      <c r="A264" s="68" t="e">
        <f>'THE BOARD'!#REF!</f>
        <v>#REF!</v>
      </c>
      <c r="B264" s="68" t="e">
        <f>'THE BOARD'!#REF!</f>
        <v>#REF!</v>
      </c>
      <c r="C264" s="99" t="e">
        <f>IF('THE BOARD'!#REF! = "NESTED","",IF('THE BOARD'!#REF!&lt;&gt;"",'THE BOARD'!#REF!+0.72,""))</f>
        <v>#REF!</v>
      </c>
      <c r="D264" s="99" t="e">
        <f>IF(C264&lt;&gt;"", IF('THE BOARD'!#REF! = "NESTED","",'THE BOARD'!#REF! + IF(C264&lt;&gt;"", 0.72,0)),"")</f>
        <v>#REF!</v>
      </c>
      <c r="E264" s="68" t="e">
        <f>'THE BOARD'!#REF!</f>
        <v>#REF!</v>
      </c>
      <c r="F264" s="68" t="e">
        <f>'THE BOARD'!#REF!</f>
        <v>#REF!</v>
      </c>
      <c r="G264" s="68" t="e">
        <f>'THE BOARD'!#REF!</f>
        <v>#REF!</v>
      </c>
      <c r="H264" s="68" t="e">
        <f>'THE BOARD'!#REF!</f>
        <v>#REF!</v>
      </c>
      <c r="I264" s="68" t="e">
        <f>'THE BOARD'!#REF!</f>
        <v>#REF!</v>
      </c>
      <c r="J264" s="68" t="e">
        <f>'THE BOARD'!#REF!</f>
        <v>#REF!</v>
      </c>
      <c r="K264" s="99" t="e">
        <f>'THE BOARD'!#REF!</f>
        <v>#REF!</v>
      </c>
    </row>
    <row r="265" spans="1:11" ht="12.75" x14ac:dyDescent="0.2">
      <c r="A265" s="68" t="e">
        <f>'THE BOARD'!#REF!</f>
        <v>#REF!</v>
      </c>
      <c r="B265" s="68" t="e">
        <f>'THE BOARD'!#REF!</f>
        <v>#REF!</v>
      </c>
      <c r="C265" s="99" t="e">
        <f>IF('THE BOARD'!#REF! = "NESTED","",IF('THE BOARD'!#REF!&lt;&gt;"",'THE BOARD'!#REF!+0.72,""))</f>
        <v>#REF!</v>
      </c>
      <c r="D265" s="99" t="e">
        <f>IF(C265&lt;&gt;"", IF('THE BOARD'!#REF! = "NESTED","",'THE BOARD'!#REF! + IF(C265&lt;&gt;"", 0.72,0)),"")</f>
        <v>#REF!</v>
      </c>
      <c r="E265" s="68" t="e">
        <f>'THE BOARD'!#REF!</f>
        <v>#REF!</v>
      </c>
      <c r="F265" s="68" t="e">
        <f>'THE BOARD'!#REF!</f>
        <v>#REF!</v>
      </c>
      <c r="G265" s="68" t="e">
        <f>'THE BOARD'!#REF!</f>
        <v>#REF!</v>
      </c>
      <c r="H265" s="68" t="e">
        <f>'THE BOARD'!#REF!</f>
        <v>#REF!</v>
      </c>
      <c r="I265" s="68" t="e">
        <f>'THE BOARD'!#REF!</f>
        <v>#REF!</v>
      </c>
      <c r="J265" s="68" t="e">
        <f>'THE BOARD'!#REF!</f>
        <v>#REF!</v>
      </c>
      <c r="K265" s="68" t="e">
        <f>'THE BOARD'!#REF!</f>
        <v>#REF!</v>
      </c>
    </row>
    <row r="266" spans="1:11" ht="12.75" x14ac:dyDescent="0.2">
      <c r="A266" s="68" t="e">
        <f>'THE BOARD'!#REF!</f>
        <v>#REF!</v>
      </c>
      <c r="B266" s="68" t="e">
        <f>'THE BOARD'!#REF!</f>
        <v>#REF!</v>
      </c>
      <c r="C266" s="99" t="e">
        <f>IF('THE BOARD'!#REF! = "NESTED","",IF('THE BOARD'!#REF!&lt;&gt;"",'THE BOARD'!#REF!+0.72,""))</f>
        <v>#REF!</v>
      </c>
      <c r="D266" s="99" t="e">
        <f>IF(C266&lt;&gt;"", IF('THE BOARD'!#REF! = "NESTED","",'THE BOARD'!#REF! + IF(C266&lt;&gt;"", 0.72,0)),"")</f>
        <v>#REF!</v>
      </c>
      <c r="E266" s="68" t="e">
        <f>'THE BOARD'!#REF!</f>
        <v>#REF!</v>
      </c>
      <c r="F266" s="68" t="e">
        <f>'THE BOARD'!#REF!</f>
        <v>#REF!</v>
      </c>
      <c r="G266" s="68" t="e">
        <f>'THE BOARD'!#REF!</f>
        <v>#REF!</v>
      </c>
      <c r="H266" s="68" t="e">
        <f>'THE BOARD'!#REF!</f>
        <v>#REF!</v>
      </c>
      <c r="I266" s="68" t="e">
        <f>'THE BOARD'!#REF!</f>
        <v>#REF!</v>
      </c>
      <c r="J266" s="68" t="e">
        <f>'THE BOARD'!#REF!</f>
        <v>#REF!</v>
      </c>
      <c r="K266" s="99" t="e">
        <f>'THE BOARD'!#REF!</f>
        <v>#REF!</v>
      </c>
    </row>
    <row r="267" spans="1:11" ht="12.75" x14ac:dyDescent="0.2">
      <c r="A267" s="68" t="e">
        <f>'THE BOARD'!#REF!</f>
        <v>#REF!</v>
      </c>
      <c r="B267" s="68" t="e">
        <f>'THE BOARD'!#REF!</f>
        <v>#REF!</v>
      </c>
      <c r="C267" s="99" t="e">
        <f>IF('THE BOARD'!#REF! = "NESTED","",IF('THE BOARD'!#REF!&lt;&gt;"",'THE BOARD'!#REF!+0.72,""))</f>
        <v>#REF!</v>
      </c>
      <c r="D267" s="99" t="e">
        <f>IF(C267&lt;&gt;"", IF('THE BOARD'!#REF! = "NESTED","",'THE BOARD'!#REF! + IF(C267&lt;&gt;"", 0.72,0)),"")</f>
        <v>#REF!</v>
      </c>
      <c r="E267" s="68" t="e">
        <f>'THE BOARD'!#REF!</f>
        <v>#REF!</v>
      </c>
      <c r="F267" s="68" t="e">
        <f>'THE BOARD'!#REF!</f>
        <v>#REF!</v>
      </c>
      <c r="G267" s="68" t="e">
        <f>'THE BOARD'!#REF!</f>
        <v>#REF!</v>
      </c>
      <c r="H267" s="68" t="e">
        <f>'THE BOARD'!#REF!</f>
        <v>#REF!</v>
      </c>
      <c r="I267" s="68" t="e">
        <f>'THE BOARD'!#REF!</f>
        <v>#REF!</v>
      </c>
      <c r="J267" s="68" t="e">
        <f>'THE BOARD'!#REF!</f>
        <v>#REF!</v>
      </c>
      <c r="K267" s="68" t="e">
        <f>'THE BOARD'!#REF!</f>
        <v>#REF!</v>
      </c>
    </row>
    <row r="268" spans="1:11" ht="12.75" x14ac:dyDescent="0.2">
      <c r="A268" s="68" t="e">
        <f>'THE BOARD'!#REF!</f>
        <v>#REF!</v>
      </c>
      <c r="B268" s="68" t="e">
        <f>'THE BOARD'!#REF!</f>
        <v>#REF!</v>
      </c>
      <c r="C268" s="99" t="e">
        <f>IF('THE BOARD'!#REF! = "NESTED","",IF('THE BOARD'!#REF!&lt;&gt;"",'THE BOARD'!#REF!+0.72,""))</f>
        <v>#REF!</v>
      </c>
      <c r="D268" s="99" t="e">
        <f>IF(C268&lt;&gt;"", IF('THE BOARD'!#REF! = "NESTED","",'THE BOARD'!#REF! + IF(C268&lt;&gt;"", 0.72,0)),"")</f>
        <v>#REF!</v>
      </c>
      <c r="E268" s="68" t="e">
        <f>'THE BOARD'!#REF!</f>
        <v>#REF!</v>
      </c>
      <c r="F268" s="68" t="e">
        <f>'THE BOARD'!#REF!</f>
        <v>#REF!</v>
      </c>
      <c r="G268" s="68" t="e">
        <f>'THE BOARD'!#REF!</f>
        <v>#REF!</v>
      </c>
      <c r="H268" s="68" t="e">
        <f>'THE BOARD'!#REF!</f>
        <v>#REF!</v>
      </c>
      <c r="I268" s="68" t="e">
        <f>'THE BOARD'!#REF!</f>
        <v>#REF!</v>
      </c>
      <c r="J268" s="68" t="e">
        <f>'THE BOARD'!#REF!</f>
        <v>#REF!</v>
      </c>
      <c r="K268" s="99" t="e">
        <f>'THE BOARD'!#REF!</f>
        <v>#REF!</v>
      </c>
    </row>
    <row r="269" spans="1:11" ht="12.75" x14ac:dyDescent="0.2">
      <c r="A269" s="68" t="e">
        <f>'THE BOARD'!#REF!</f>
        <v>#REF!</v>
      </c>
      <c r="B269" s="68" t="e">
        <f>'THE BOARD'!#REF!</f>
        <v>#REF!</v>
      </c>
      <c r="C269" s="99" t="e">
        <f>IF('THE BOARD'!#REF! = "NESTED","",IF('THE BOARD'!#REF!&lt;&gt;"",'THE BOARD'!#REF!+0.72,""))</f>
        <v>#REF!</v>
      </c>
      <c r="D269" s="99" t="e">
        <f>IF(C269&lt;&gt;"", IF('THE BOARD'!#REF! = "NESTED","",'THE BOARD'!#REF! + IF(C269&lt;&gt;"", 0.72,0)),"")</f>
        <v>#REF!</v>
      </c>
      <c r="E269" s="68" t="e">
        <f>'THE BOARD'!#REF!</f>
        <v>#REF!</v>
      </c>
      <c r="F269" s="68" t="e">
        <f>'THE BOARD'!#REF!</f>
        <v>#REF!</v>
      </c>
      <c r="G269" s="68" t="e">
        <f>'THE BOARD'!#REF!</f>
        <v>#REF!</v>
      </c>
      <c r="H269" s="68" t="e">
        <f>'THE BOARD'!#REF!</f>
        <v>#REF!</v>
      </c>
      <c r="I269" s="68" t="e">
        <f>'THE BOARD'!#REF!</f>
        <v>#REF!</v>
      </c>
      <c r="J269" s="68" t="e">
        <f>'THE BOARD'!#REF!</f>
        <v>#REF!</v>
      </c>
      <c r="K269" s="99" t="e">
        <f>'THE BOARD'!#REF!</f>
        <v>#REF!</v>
      </c>
    </row>
    <row r="270" spans="1:11" ht="12.75" x14ac:dyDescent="0.2">
      <c r="A270" s="68" t="e">
        <f>'THE BOARD'!#REF!</f>
        <v>#REF!</v>
      </c>
      <c r="B270" s="68" t="e">
        <f>'THE BOARD'!#REF!</f>
        <v>#REF!</v>
      </c>
      <c r="C270" s="99" t="e">
        <f>IF('THE BOARD'!#REF! = "NESTED","",IF('THE BOARD'!#REF!&lt;&gt;"",'THE BOARD'!#REF!+0.72,""))</f>
        <v>#REF!</v>
      </c>
      <c r="D270" s="99" t="e">
        <f>IF(C270&lt;&gt;"", IF('THE BOARD'!#REF! = "NESTED","",'THE BOARD'!#REF! + IF(C270&lt;&gt;"", 0.72,0)),"")</f>
        <v>#REF!</v>
      </c>
      <c r="E270" s="68" t="e">
        <f>'THE BOARD'!#REF!</f>
        <v>#REF!</v>
      </c>
      <c r="F270" s="68" t="e">
        <f>'THE BOARD'!#REF!</f>
        <v>#REF!</v>
      </c>
      <c r="G270" s="68" t="e">
        <f>'THE BOARD'!#REF!</f>
        <v>#REF!</v>
      </c>
      <c r="H270" s="68" t="e">
        <f>'THE BOARD'!#REF!</f>
        <v>#REF!</v>
      </c>
      <c r="I270" s="68" t="e">
        <f>'THE BOARD'!#REF!</f>
        <v>#REF!</v>
      </c>
      <c r="J270" s="68" t="e">
        <f>'THE BOARD'!#REF!</f>
        <v>#REF!</v>
      </c>
      <c r="K270" s="99" t="e">
        <f>'THE BOARD'!#REF!</f>
        <v>#REF!</v>
      </c>
    </row>
    <row r="271" spans="1:11" ht="12.75" x14ac:dyDescent="0.2">
      <c r="A271" s="68" t="e">
        <f>'THE BOARD'!#REF!</f>
        <v>#REF!</v>
      </c>
      <c r="B271" s="68" t="e">
        <f>'THE BOARD'!#REF!</f>
        <v>#REF!</v>
      </c>
      <c r="C271" s="99" t="e">
        <f>IF('THE BOARD'!#REF! = "NESTED","",IF('THE BOARD'!#REF!&lt;&gt;"",'THE BOARD'!#REF!+0.72,""))</f>
        <v>#REF!</v>
      </c>
      <c r="D271" s="99" t="e">
        <f>IF(C271&lt;&gt;"", IF('THE BOARD'!#REF! = "NESTED","",'THE BOARD'!#REF! + IF(C271&lt;&gt;"", 0.72,0)),"")</f>
        <v>#REF!</v>
      </c>
      <c r="E271" s="68" t="e">
        <f>'THE BOARD'!#REF!</f>
        <v>#REF!</v>
      </c>
      <c r="F271" s="68" t="e">
        <f>'THE BOARD'!#REF!</f>
        <v>#REF!</v>
      </c>
      <c r="G271" s="68" t="e">
        <f>'THE BOARD'!#REF!</f>
        <v>#REF!</v>
      </c>
      <c r="H271" s="68" t="e">
        <f>'THE BOARD'!#REF!</f>
        <v>#REF!</v>
      </c>
      <c r="I271" s="68" t="e">
        <f>'THE BOARD'!#REF!</f>
        <v>#REF!</v>
      </c>
      <c r="J271" s="68" t="e">
        <f>'THE BOARD'!#REF!</f>
        <v>#REF!</v>
      </c>
      <c r="K271" s="99" t="e">
        <f>'THE BOARD'!#REF!</f>
        <v>#REF!</v>
      </c>
    </row>
    <row r="272" spans="1:11" ht="12.75" x14ac:dyDescent="0.2">
      <c r="A272" s="68" t="e">
        <f t="shared" ref="A272:B272" si="6">#REF!</f>
        <v>#REF!</v>
      </c>
      <c r="B272" s="68" t="e">
        <f t="shared" si="6"/>
        <v>#REF!</v>
      </c>
      <c r="C272" s="99" t="e">
        <f t="shared" ref="C272:C273" si="7">IF(#REF! = "NESTED","",IF(#REF!&lt;&gt;"",#REF!+0.72,""))</f>
        <v>#REF!</v>
      </c>
      <c r="D272" s="99" t="e">
        <f t="shared" ref="D272:D273" si="8">IF(C272&lt;&gt;"", IF(#REF! = "NESTED","",#REF! + IF(C272&lt;&gt;"", 0.72,0)),"")</f>
        <v>#REF!</v>
      </c>
      <c r="E272" s="68" t="e">
        <f t="shared" ref="E272:K272" si="9">#REF!</f>
        <v>#REF!</v>
      </c>
      <c r="F272" s="68" t="e">
        <f t="shared" si="9"/>
        <v>#REF!</v>
      </c>
      <c r="G272" s="68" t="e">
        <f t="shared" si="9"/>
        <v>#REF!</v>
      </c>
      <c r="H272" s="68" t="e">
        <f t="shared" si="9"/>
        <v>#REF!</v>
      </c>
      <c r="I272" s="68" t="e">
        <f t="shared" si="9"/>
        <v>#REF!</v>
      </c>
      <c r="J272" s="68" t="e">
        <f t="shared" si="9"/>
        <v>#REF!</v>
      </c>
      <c r="K272" s="68" t="e">
        <f t="shared" si="9"/>
        <v>#REF!</v>
      </c>
    </row>
    <row r="273" spans="1:11" ht="12.75" x14ac:dyDescent="0.2">
      <c r="A273" s="68" t="e">
        <f t="shared" ref="A273:B273" si="10">#REF!</f>
        <v>#REF!</v>
      </c>
      <c r="B273" s="68" t="e">
        <f t="shared" si="10"/>
        <v>#REF!</v>
      </c>
      <c r="C273" s="99" t="e">
        <f t="shared" si="7"/>
        <v>#REF!</v>
      </c>
      <c r="D273" s="99" t="e">
        <f t="shared" si="8"/>
        <v>#REF!</v>
      </c>
      <c r="E273" s="68" t="e">
        <f t="shared" ref="E273:K273" si="11">#REF!</f>
        <v>#REF!</v>
      </c>
      <c r="F273" s="68" t="e">
        <f t="shared" si="11"/>
        <v>#REF!</v>
      </c>
      <c r="G273" s="68" t="e">
        <f t="shared" si="11"/>
        <v>#REF!</v>
      </c>
      <c r="H273" s="68" t="e">
        <f t="shared" si="11"/>
        <v>#REF!</v>
      </c>
      <c r="I273" s="68" t="e">
        <f t="shared" si="11"/>
        <v>#REF!</v>
      </c>
      <c r="J273" s="68" t="e">
        <f t="shared" si="11"/>
        <v>#REF!</v>
      </c>
      <c r="K273" s="68" t="e">
        <f t="shared" si="11"/>
        <v>#REF!</v>
      </c>
    </row>
    <row r="274" spans="1:11" ht="12.75" x14ac:dyDescent="0.2">
      <c r="A274" s="68" t="e">
        <f>'THE BOARD'!#REF!</f>
        <v>#REF!</v>
      </c>
      <c r="B274" s="68" t="e">
        <f>'THE BOARD'!#REF!</f>
        <v>#REF!</v>
      </c>
      <c r="C274" s="99" t="e">
        <f>IF('THE BOARD'!#REF! = "NESTED","",IF('THE BOARD'!#REF!&lt;&gt;"",'THE BOARD'!#REF!+0.72,""))</f>
        <v>#REF!</v>
      </c>
      <c r="D274" s="99" t="e">
        <f>IF(C274&lt;&gt;"", IF('THE BOARD'!#REF! = "NESTED","",'THE BOARD'!#REF! + IF(C274&lt;&gt;"", 0.72,0)),"")</f>
        <v>#REF!</v>
      </c>
      <c r="E274" s="68" t="e">
        <f>'THE BOARD'!#REF!</f>
        <v>#REF!</v>
      </c>
      <c r="F274" s="68" t="e">
        <f>'THE BOARD'!#REF!</f>
        <v>#REF!</v>
      </c>
      <c r="G274" s="68" t="e">
        <f>'THE BOARD'!#REF!</f>
        <v>#REF!</v>
      </c>
      <c r="H274" s="68" t="e">
        <f>'THE BOARD'!#REF!</f>
        <v>#REF!</v>
      </c>
      <c r="I274" s="68" t="e">
        <f>'THE BOARD'!#REF!</f>
        <v>#REF!</v>
      </c>
      <c r="J274" s="68" t="e">
        <f>'THE BOARD'!#REF!</f>
        <v>#REF!</v>
      </c>
      <c r="K274" s="99" t="e">
        <f>'THE BOARD'!#REF!</f>
        <v>#REF!</v>
      </c>
    </row>
    <row r="275" spans="1:11" ht="12.75" x14ac:dyDescent="0.2">
      <c r="A275" s="68" t="e">
        <f>'THE BOARD'!#REF!</f>
        <v>#REF!</v>
      </c>
      <c r="B275" s="68" t="e">
        <f>'THE BOARD'!#REF!</f>
        <v>#REF!</v>
      </c>
      <c r="C275" s="99" t="e">
        <f>IF('THE BOARD'!#REF! = "NESTED","",IF('THE BOARD'!#REF!&lt;&gt;"",'THE BOARD'!#REF!+0.72,""))</f>
        <v>#REF!</v>
      </c>
      <c r="D275" s="99" t="e">
        <f>IF(C275&lt;&gt;"", IF('THE BOARD'!#REF! = "NESTED","",'THE BOARD'!#REF! + IF(C275&lt;&gt;"", 0.72,0)),"")</f>
        <v>#REF!</v>
      </c>
      <c r="E275" s="68" t="e">
        <f>'THE BOARD'!#REF!</f>
        <v>#REF!</v>
      </c>
      <c r="F275" s="68" t="e">
        <f>'THE BOARD'!#REF!</f>
        <v>#REF!</v>
      </c>
      <c r="G275" s="68" t="e">
        <f>'THE BOARD'!#REF!</f>
        <v>#REF!</v>
      </c>
      <c r="H275" s="68" t="e">
        <f>'THE BOARD'!#REF!</f>
        <v>#REF!</v>
      </c>
      <c r="I275" s="68" t="e">
        <f>'THE BOARD'!#REF!</f>
        <v>#REF!</v>
      </c>
      <c r="J275" s="68" t="e">
        <f>'THE BOARD'!#REF!</f>
        <v>#REF!</v>
      </c>
      <c r="K275" s="99" t="e">
        <f>'THE BOARD'!#REF!</f>
        <v>#REF!</v>
      </c>
    </row>
    <row r="276" spans="1:11" ht="12.75" x14ac:dyDescent="0.2">
      <c r="A276" s="68" t="e">
        <f>'THE BOARD'!#REF!</f>
        <v>#REF!</v>
      </c>
      <c r="B276" s="68" t="e">
        <f>'THE BOARD'!#REF!</f>
        <v>#REF!</v>
      </c>
      <c r="C276" s="99" t="e">
        <f>IF('THE BOARD'!#REF! = "NESTED","",IF('THE BOARD'!#REF!&lt;&gt;"",'THE BOARD'!#REF!+0.72,""))</f>
        <v>#REF!</v>
      </c>
      <c r="D276" s="99" t="e">
        <f>IF(C276&lt;&gt;"", IF('THE BOARD'!#REF! = "NESTED","",'THE BOARD'!#REF! + IF(C276&lt;&gt;"", 0.72,0)),"")</f>
        <v>#REF!</v>
      </c>
      <c r="E276" s="68" t="e">
        <f>'THE BOARD'!#REF!</f>
        <v>#REF!</v>
      </c>
      <c r="F276" s="68" t="e">
        <f>'THE BOARD'!#REF!</f>
        <v>#REF!</v>
      </c>
      <c r="G276" s="68" t="e">
        <f>'THE BOARD'!#REF!</f>
        <v>#REF!</v>
      </c>
      <c r="H276" s="68" t="e">
        <f>'THE BOARD'!#REF!</f>
        <v>#REF!</v>
      </c>
      <c r="I276" s="68" t="e">
        <f>'THE BOARD'!#REF!</f>
        <v>#REF!</v>
      </c>
      <c r="J276" s="68" t="e">
        <f>'THE BOARD'!#REF!</f>
        <v>#REF!</v>
      </c>
      <c r="K276" s="99" t="e">
        <f>'THE BOARD'!#REF!</f>
        <v>#REF!</v>
      </c>
    </row>
    <row r="277" spans="1:11" ht="12.75" x14ac:dyDescent="0.2">
      <c r="A277" s="68" t="e">
        <f>'THE BOARD'!#REF!</f>
        <v>#REF!</v>
      </c>
      <c r="B277" s="68" t="e">
        <f>'THE BOARD'!#REF!</f>
        <v>#REF!</v>
      </c>
      <c r="C277" s="99" t="e">
        <f>IF('THE BOARD'!#REF! = "NESTED","",IF('THE BOARD'!#REF!&lt;&gt;"",'THE BOARD'!#REF!+0.72,""))</f>
        <v>#REF!</v>
      </c>
      <c r="D277" s="99" t="e">
        <f>IF(C277&lt;&gt;"", IF('THE BOARD'!#REF! = "NESTED","",'THE BOARD'!#REF! + IF(C277&lt;&gt;"", 0.72,0)),"")</f>
        <v>#REF!</v>
      </c>
      <c r="E277" s="68" t="e">
        <f>'THE BOARD'!#REF!</f>
        <v>#REF!</v>
      </c>
      <c r="F277" s="68" t="e">
        <f>'THE BOARD'!#REF!</f>
        <v>#REF!</v>
      </c>
      <c r="G277" s="68" t="e">
        <f>'THE BOARD'!#REF!</f>
        <v>#REF!</v>
      </c>
      <c r="H277" s="68" t="e">
        <f>'THE BOARD'!#REF!</f>
        <v>#REF!</v>
      </c>
      <c r="I277" s="68" t="e">
        <f>'THE BOARD'!#REF!</f>
        <v>#REF!</v>
      </c>
      <c r="J277" s="68" t="e">
        <f>'THE BOARD'!#REF!</f>
        <v>#REF!</v>
      </c>
      <c r="K277" s="99" t="e">
        <f>'THE BOARD'!#REF!</f>
        <v>#REF!</v>
      </c>
    </row>
    <row r="278" spans="1:11" ht="12.75" x14ac:dyDescent="0.2">
      <c r="A278" s="68" t="e">
        <f>'THE BOARD'!#REF!</f>
        <v>#REF!</v>
      </c>
      <c r="B278" s="68" t="e">
        <f>'THE BOARD'!#REF!</f>
        <v>#REF!</v>
      </c>
      <c r="C278" s="99" t="e">
        <f>IF('THE BOARD'!#REF! = "NESTED","",IF('THE BOARD'!#REF!&lt;&gt;"",'THE BOARD'!#REF!+0.72,""))</f>
        <v>#REF!</v>
      </c>
      <c r="D278" s="99" t="e">
        <f>IF(C278&lt;&gt;"", IF('THE BOARD'!#REF! = "NESTED","",'THE BOARD'!#REF! + IF(C278&lt;&gt;"", 0.72,0)),"")</f>
        <v>#REF!</v>
      </c>
      <c r="E278" s="68" t="e">
        <f>'THE BOARD'!#REF!</f>
        <v>#REF!</v>
      </c>
      <c r="F278" s="68" t="e">
        <f>'THE BOARD'!#REF!</f>
        <v>#REF!</v>
      </c>
      <c r="G278" s="68" t="e">
        <f>'THE BOARD'!#REF!</f>
        <v>#REF!</v>
      </c>
      <c r="H278" s="68" t="e">
        <f>'THE BOARD'!#REF!</f>
        <v>#REF!</v>
      </c>
      <c r="I278" s="68" t="e">
        <f>'THE BOARD'!#REF!</f>
        <v>#REF!</v>
      </c>
      <c r="J278" s="68" t="e">
        <f>'THE BOARD'!#REF!</f>
        <v>#REF!</v>
      </c>
      <c r="K278" s="99" t="e">
        <f>'THE BOARD'!#REF!</f>
        <v>#REF!</v>
      </c>
    </row>
    <row r="279" spans="1:11" ht="12.75" x14ac:dyDescent="0.2">
      <c r="A279" s="68" t="e">
        <f>'THE BOARD'!#REF!</f>
        <v>#REF!</v>
      </c>
      <c r="B279" s="68" t="e">
        <f>'THE BOARD'!#REF!</f>
        <v>#REF!</v>
      </c>
      <c r="C279" s="99" t="e">
        <f>IF('THE BOARD'!#REF! = "NESTED","",IF('THE BOARD'!#REF!&lt;&gt;"",'THE BOARD'!#REF!+0.72,""))</f>
        <v>#REF!</v>
      </c>
      <c r="D279" s="99" t="e">
        <f>IF(C279&lt;&gt;"", IF('THE BOARD'!#REF! = "NESTED","",'THE BOARD'!#REF! + IF(C279&lt;&gt;"", 0.72,0)),"")</f>
        <v>#REF!</v>
      </c>
      <c r="E279" s="68" t="e">
        <f>'THE BOARD'!#REF!</f>
        <v>#REF!</v>
      </c>
      <c r="F279" s="68" t="e">
        <f>'THE BOARD'!#REF!</f>
        <v>#REF!</v>
      </c>
      <c r="G279" s="68" t="e">
        <f>'THE BOARD'!#REF!</f>
        <v>#REF!</v>
      </c>
      <c r="H279" s="68" t="e">
        <f>'THE BOARD'!#REF!</f>
        <v>#REF!</v>
      </c>
      <c r="I279" s="68" t="e">
        <f>'THE BOARD'!#REF!</f>
        <v>#REF!</v>
      </c>
      <c r="J279" s="68" t="e">
        <f>'THE BOARD'!#REF!</f>
        <v>#REF!</v>
      </c>
      <c r="K279" s="99" t="e">
        <f>'THE BOARD'!#REF!</f>
        <v>#REF!</v>
      </c>
    </row>
    <row r="280" spans="1:11" ht="12.75" x14ac:dyDescent="0.2">
      <c r="A280" s="68" t="e">
        <f>'THE BOARD'!#REF!</f>
        <v>#REF!</v>
      </c>
      <c r="B280" s="68" t="e">
        <f>'THE BOARD'!#REF!</f>
        <v>#REF!</v>
      </c>
      <c r="C280" s="99" t="e">
        <f>IF('THE BOARD'!#REF! = "NESTED","",IF('THE BOARD'!#REF!&lt;&gt;"",'THE BOARD'!#REF!+0.72,""))</f>
        <v>#REF!</v>
      </c>
      <c r="D280" s="99" t="e">
        <f>IF(C280&lt;&gt;"", IF('THE BOARD'!#REF! = "NESTED","",'THE BOARD'!#REF! + IF(C280&lt;&gt;"", 0.72,0)),"")</f>
        <v>#REF!</v>
      </c>
      <c r="E280" s="68" t="e">
        <f>'THE BOARD'!#REF!</f>
        <v>#REF!</v>
      </c>
      <c r="F280" s="68" t="e">
        <f>'THE BOARD'!#REF!</f>
        <v>#REF!</v>
      </c>
      <c r="G280" s="68" t="e">
        <f>'THE BOARD'!#REF!</f>
        <v>#REF!</v>
      </c>
      <c r="H280" s="68" t="e">
        <f>'THE BOARD'!#REF!</f>
        <v>#REF!</v>
      </c>
      <c r="I280" s="68" t="e">
        <f>'THE BOARD'!#REF!</f>
        <v>#REF!</v>
      </c>
      <c r="J280" s="68" t="e">
        <f>'THE BOARD'!#REF!</f>
        <v>#REF!</v>
      </c>
      <c r="K280" s="99" t="e">
        <f>'THE BOARD'!#REF!</f>
        <v>#REF!</v>
      </c>
    </row>
    <row r="281" spans="1:11" ht="12.75" x14ac:dyDescent="0.2">
      <c r="A281" s="68" t="e">
        <f t="shared" ref="A281:B281" si="12">#REF!</f>
        <v>#REF!</v>
      </c>
      <c r="B281" s="68" t="e">
        <f t="shared" si="12"/>
        <v>#REF!</v>
      </c>
      <c r="C281" s="99" t="e">
        <f>IF(#REF! = "NESTED","",IF(#REF!&lt;&gt;"",#REF!+0.72,""))</f>
        <v>#REF!</v>
      </c>
      <c r="D281" s="99" t="e">
        <f>IF(C281&lt;&gt;"", IF(#REF! = "NESTED","",#REF! + IF(C281&lt;&gt;"", 0.72,0)),"")</f>
        <v>#REF!</v>
      </c>
      <c r="E281" s="68" t="e">
        <f t="shared" ref="E281:K281" si="13">#REF!</f>
        <v>#REF!</v>
      </c>
      <c r="F281" s="68" t="e">
        <f t="shared" si="13"/>
        <v>#REF!</v>
      </c>
      <c r="G281" s="68" t="e">
        <f t="shared" si="13"/>
        <v>#REF!</v>
      </c>
      <c r="H281" s="68" t="e">
        <f t="shared" si="13"/>
        <v>#REF!</v>
      </c>
      <c r="I281" s="68" t="e">
        <f t="shared" si="13"/>
        <v>#REF!</v>
      </c>
      <c r="J281" s="68" t="e">
        <f t="shared" si="13"/>
        <v>#REF!</v>
      </c>
      <c r="K281" s="68" t="e">
        <f t="shared" si="13"/>
        <v>#REF!</v>
      </c>
    </row>
    <row r="282" spans="1:11" ht="12.75" x14ac:dyDescent="0.2">
      <c r="A282" s="68" t="e">
        <f>'THE BOARD'!#REF!</f>
        <v>#REF!</v>
      </c>
      <c r="B282" s="68" t="e">
        <f>'THE BOARD'!#REF!</f>
        <v>#REF!</v>
      </c>
      <c r="C282" s="99" t="e">
        <f>IF('THE BOARD'!#REF! = "NESTED","",IF('THE BOARD'!#REF!&lt;&gt;"",'THE BOARD'!#REF!+0.72,""))</f>
        <v>#REF!</v>
      </c>
      <c r="D282" s="99" t="e">
        <f>IF(C282&lt;&gt;"", IF('THE BOARD'!#REF! = "NESTED","",'THE BOARD'!#REF! + IF(C282&lt;&gt;"", 0.72,0)),"")</f>
        <v>#REF!</v>
      </c>
      <c r="E282" s="68" t="e">
        <f>'THE BOARD'!#REF!</f>
        <v>#REF!</v>
      </c>
      <c r="F282" s="68" t="e">
        <f>'THE BOARD'!#REF!</f>
        <v>#REF!</v>
      </c>
      <c r="G282" s="68" t="e">
        <f>'THE BOARD'!#REF!</f>
        <v>#REF!</v>
      </c>
      <c r="H282" s="68" t="e">
        <f>'THE BOARD'!#REF!</f>
        <v>#REF!</v>
      </c>
      <c r="I282" s="68" t="e">
        <f>'THE BOARD'!#REF!</f>
        <v>#REF!</v>
      </c>
      <c r="J282" s="68" t="e">
        <f>'THE BOARD'!#REF!</f>
        <v>#REF!</v>
      </c>
      <c r="K282" s="99" t="e">
        <f>'THE BOARD'!#REF!</f>
        <v>#REF!</v>
      </c>
    </row>
    <row r="283" spans="1:11" ht="12.75" x14ac:dyDescent="0.2">
      <c r="A283" s="68" t="e">
        <f>'THE BOARD'!#REF!</f>
        <v>#REF!</v>
      </c>
      <c r="B283" s="68" t="e">
        <f>'THE BOARD'!#REF!</f>
        <v>#REF!</v>
      </c>
      <c r="C283" s="99" t="e">
        <f>IF('THE BOARD'!#REF! = "NESTED","",IF('THE BOARD'!#REF!&lt;&gt;"",'THE BOARD'!#REF!+0.72,""))</f>
        <v>#REF!</v>
      </c>
      <c r="D283" s="99" t="e">
        <f>IF(C283&lt;&gt;"", IF('THE BOARD'!#REF! = "NESTED","",'THE BOARD'!#REF! + IF(C283&lt;&gt;"", 0.72,0)),"")</f>
        <v>#REF!</v>
      </c>
      <c r="E283" s="68" t="e">
        <f>'THE BOARD'!#REF!</f>
        <v>#REF!</v>
      </c>
      <c r="F283" s="68" t="e">
        <f>'THE BOARD'!#REF!</f>
        <v>#REF!</v>
      </c>
      <c r="G283" s="68" t="e">
        <f>'THE BOARD'!#REF!</f>
        <v>#REF!</v>
      </c>
      <c r="H283" s="68" t="e">
        <f>'THE BOARD'!#REF!</f>
        <v>#REF!</v>
      </c>
      <c r="I283" s="68" t="e">
        <f>'THE BOARD'!#REF!</f>
        <v>#REF!</v>
      </c>
      <c r="J283" s="68" t="e">
        <f>'THE BOARD'!#REF!</f>
        <v>#REF!</v>
      </c>
      <c r="K283" s="99" t="e">
        <f>'THE BOARD'!#REF!</f>
        <v>#REF!</v>
      </c>
    </row>
    <row r="284" spans="1:11" ht="12.75" x14ac:dyDescent="0.2">
      <c r="A284" s="68" t="e">
        <f>'THE BOARD'!#REF!</f>
        <v>#REF!</v>
      </c>
      <c r="B284" s="68" t="e">
        <f>'THE BOARD'!#REF!</f>
        <v>#REF!</v>
      </c>
      <c r="C284" s="99" t="e">
        <f>IF('THE BOARD'!#REF! = "NESTED","",IF('THE BOARD'!#REF!&lt;&gt;"",'THE BOARD'!#REF!+0.72,""))</f>
        <v>#REF!</v>
      </c>
      <c r="D284" s="99" t="e">
        <f>IF(C284&lt;&gt;"", IF('THE BOARD'!#REF! = "NESTED","",'THE BOARD'!#REF! + IF(C284&lt;&gt;"", 0.72,0)),"")</f>
        <v>#REF!</v>
      </c>
      <c r="E284" s="68" t="e">
        <f>'THE BOARD'!#REF!</f>
        <v>#REF!</v>
      </c>
      <c r="F284" s="68" t="e">
        <f>'THE BOARD'!#REF!</f>
        <v>#REF!</v>
      </c>
      <c r="G284" s="68" t="e">
        <f>'THE BOARD'!#REF!</f>
        <v>#REF!</v>
      </c>
      <c r="H284" s="68" t="e">
        <f>'THE BOARD'!#REF!</f>
        <v>#REF!</v>
      </c>
      <c r="I284" s="68" t="e">
        <f>'THE BOARD'!#REF!</f>
        <v>#REF!</v>
      </c>
      <c r="J284" s="68" t="e">
        <f>'THE BOARD'!#REF!</f>
        <v>#REF!</v>
      </c>
      <c r="K284" s="99" t="e">
        <f>'THE BOARD'!#REF!</f>
        <v>#REF!</v>
      </c>
    </row>
    <row r="285" spans="1:11" ht="12.75" x14ac:dyDescent="0.2">
      <c r="A285" s="68" t="e">
        <f>'THE BOARD'!#REF!</f>
        <v>#REF!</v>
      </c>
      <c r="B285" s="68" t="e">
        <f>'THE BOARD'!#REF!</f>
        <v>#REF!</v>
      </c>
      <c r="C285" s="99" t="e">
        <f>IF('THE BOARD'!#REF! = "NESTED","",IF('THE BOARD'!#REF!&lt;&gt;"",'THE BOARD'!#REF!+0.72,""))</f>
        <v>#REF!</v>
      </c>
      <c r="D285" s="99" t="e">
        <f>IF(C285&lt;&gt;"", IF('THE BOARD'!#REF! = "NESTED","",'THE BOARD'!#REF! + IF(C285&lt;&gt;"", 0.72,0)),"")</f>
        <v>#REF!</v>
      </c>
      <c r="E285" s="68" t="e">
        <f>'THE BOARD'!#REF!</f>
        <v>#REF!</v>
      </c>
      <c r="F285" s="68" t="e">
        <f>'THE BOARD'!#REF!</f>
        <v>#REF!</v>
      </c>
      <c r="G285" s="68" t="e">
        <f>'THE BOARD'!#REF!</f>
        <v>#REF!</v>
      </c>
      <c r="H285" s="68" t="e">
        <f>'THE BOARD'!#REF!</f>
        <v>#REF!</v>
      </c>
      <c r="I285" s="68" t="e">
        <f>'THE BOARD'!#REF!</f>
        <v>#REF!</v>
      </c>
      <c r="J285" s="68" t="e">
        <f>'THE BOARD'!#REF!</f>
        <v>#REF!</v>
      </c>
      <c r="K285" s="99" t="e">
        <f>'THE BOARD'!#REF!</f>
        <v>#REF!</v>
      </c>
    </row>
    <row r="286" spans="1:11" ht="12.75" x14ac:dyDescent="0.2">
      <c r="A286" s="68" t="e">
        <f>'THE BOARD'!#REF!</f>
        <v>#REF!</v>
      </c>
      <c r="B286" s="68" t="e">
        <f>'THE BOARD'!#REF!</f>
        <v>#REF!</v>
      </c>
      <c r="C286" s="99" t="e">
        <f>IF('THE BOARD'!#REF! = "NESTED","",IF('THE BOARD'!#REF!&lt;&gt;"",'THE BOARD'!#REF!+0.72,""))</f>
        <v>#REF!</v>
      </c>
      <c r="D286" s="99" t="e">
        <f>IF(C286&lt;&gt;"", IF('THE BOARD'!#REF! = "NESTED","",'THE BOARD'!#REF! + IF(C286&lt;&gt;"", 0.72,0)),"")</f>
        <v>#REF!</v>
      </c>
      <c r="E286" s="68" t="e">
        <f>'THE BOARD'!#REF!</f>
        <v>#REF!</v>
      </c>
      <c r="F286" s="68" t="e">
        <f>'THE BOARD'!#REF!</f>
        <v>#REF!</v>
      </c>
      <c r="G286" s="68" t="e">
        <f>'THE BOARD'!#REF!</f>
        <v>#REF!</v>
      </c>
      <c r="H286" s="68" t="e">
        <f>'THE BOARD'!#REF!</f>
        <v>#REF!</v>
      </c>
      <c r="I286" s="68" t="e">
        <f>'THE BOARD'!#REF!</f>
        <v>#REF!</v>
      </c>
      <c r="J286" s="68" t="e">
        <f>'THE BOARD'!#REF!</f>
        <v>#REF!</v>
      </c>
      <c r="K286" s="99" t="e">
        <f>'THE BOARD'!#REF!</f>
        <v>#REF!</v>
      </c>
    </row>
    <row r="287" spans="1:11" ht="12.75" x14ac:dyDescent="0.2">
      <c r="A287" s="68" t="e">
        <f t="shared" ref="A287:B287" si="14">#REF!</f>
        <v>#REF!</v>
      </c>
      <c r="B287" s="68" t="e">
        <f t="shared" si="14"/>
        <v>#REF!</v>
      </c>
      <c r="C287" s="99" t="e">
        <f>IF(#REF! = "NESTED","",IF(#REF!&lt;&gt;"",#REF!+0.72,""))</f>
        <v>#REF!</v>
      </c>
      <c r="D287" s="99" t="e">
        <f>IF(C287&lt;&gt;"", IF(#REF! = "NESTED","",#REF! + IF(C287&lt;&gt;"", 0.72,0)),"")</f>
        <v>#REF!</v>
      </c>
      <c r="E287" s="68" t="e">
        <f t="shared" ref="E287:K287" si="15">#REF!</f>
        <v>#REF!</v>
      </c>
      <c r="F287" s="68" t="e">
        <f t="shared" si="15"/>
        <v>#REF!</v>
      </c>
      <c r="G287" s="68" t="e">
        <f t="shared" si="15"/>
        <v>#REF!</v>
      </c>
      <c r="H287" s="68" t="e">
        <f t="shared" si="15"/>
        <v>#REF!</v>
      </c>
      <c r="I287" s="68" t="e">
        <f t="shared" si="15"/>
        <v>#REF!</v>
      </c>
      <c r="J287" s="68" t="e">
        <f t="shared" si="15"/>
        <v>#REF!</v>
      </c>
      <c r="K287" s="68" t="e">
        <f t="shared" si="15"/>
        <v>#REF!</v>
      </c>
    </row>
    <row r="288" spans="1:11" ht="12.75" x14ac:dyDescent="0.2">
      <c r="A288" s="68" t="e">
        <f>'THE BOARD'!#REF!</f>
        <v>#REF!</v>
      </c>
      <c r="B288" s="68" t="e">
        <f>'THE BOARD'!#REF!</f>
        <v>#REF!</v>
      </c>
      <c r="C288" s="99" t="e">
        <f>IF('THE BOARD'!#REF! = "NESTED","",IF('THE BOARD'!#REF!&lt;&gt;"",'THE BOARD'!#REF!+0.72,""))</f>
        <v>#REF!</v>
      </c>
      <c r="D288" s="99" t="e">
        <f>IF(C288&lt;&gt;"", IF('THE BOARD'!#REF! = "NESTED","",'THE BOARD'!#REF! + IF(C288&lt;&gt;"", 0.72,0)),"")</f>
        <v>#REF!</v>
      </c>
      <c r="E288" s="68" t="e">
        <f>'THE BOARD'!#REF!</f>
        <v>#REF!</v>
      </c>
      <c r="F288" s="68" t="e">
        <f>'THE BOARD'!#REF!</f>
        <v>#REF!</v>
      </c>
      <c r="G288" s="68" t="e">
        <f>'THE BOARD'!#REF!</f>
        <v>#REF!</v>
      </c>
      <c r="H288" s="68" t="e">
        <f>'THE BOARD'!#REF!</f>
        <v>#REF!</v>
      </c>
      <c r="I288" s="68" t="e">
        <f>'THE BOARD'!#REF!</f>
        <v>#REF!</v>
      </c>
      <c r="J288" s="68" t="e">
        <f>'THE BOARD'!#REF!</f>
        <v>#REF!</v>
      </c>
      <c r="K288" s="99" t="e">
        <f>'THE BOARD'!#REF!</f>
        <v>#REF!</v>
      </c>
    </row>
    <row r="289" spans="1:11" ht="12.75" x14ac:dyDescent="0.2">
      <c r="A289" s="68" t="e">
        <f>'THE BOARD'!#REF!</f>
        <v>#REF!</v>
      </c>
      <c r="B289" s="68" t="e">
        <f>'THE BOARD'!#REF!</f>
        <v>#REF!</v>
      </c>
      <c r="C289" s="99" t="e">
        <f>IF('THE BOARD'!#REF! = "NESTED","",IF('THE BOARD'!#REF!&lt;&gt;"",'THE BOARD'!#REF!+0.72,""))</f>
        <v>#REF!</v>
      </c>
      <c r="D289" s="99" t="e">
        <f>IF(C289&lt;&gt;"", IF('THE BOARD'!#REF! = "NESTED","",'THE BOARD'!#REF! + IF(C289&lt;&gt;"", 0.72,0)),"")</f>
        <v>#REF!</v>
      </c>
      <c r="E289" s="68" t="e">
        <f>'THE BOARD'!#REF!</f>
        <v>#REF!</v>
      </c>
      <c r="F289" s="68" t="e">
        <f>'THE BOARD'!#REF!</f>
        <v>#REF!</v>
      </c>
      <c r="G289" s="68" t="e">
        <f>'THE BOARD'!#REF!</f>
        <v>#REF!</v>
      </c>
      <c r="H289" s="68" t="e">
        <f>'THE BOARD'!#REF!</f>
        <v>#REF!</v>
      </c>
      <c r="I289" s="68" t="e">
        <f>'THE BOARD'!#REF!</f>
        <v>#REF!</v>
      </c>
      <c r="J289" s="68" t="e">
        <f>'THE BOARD'!#REF!</f>
        <v>#REF!</v>
      </c>
      <c r="K289" s="99" t="e">
        <f>'THE BOARD'!#REF!</f>
        <v>#REF!</v>
      </c>
    </row>
    <row r="290" spans="1:11" ht="12.75" x14ac:dyDescent="0.2">
      <c r="A290" s="68" t="e">
        <f>'THE BOARD'!#REF!</f>
        <v>#REF!</v>
      </c>
      <c r="B290" s="68" t="e">
        <f>'THE BOARD'!#REF!</f>
        <v>#REF!</v>
      </c>
      <c r="C290" s="99" t="e">
        <f>IF('THE BOARD'!#REF! = "NESTED","",IF('THE BOARD'!#REF!&lt;&gt;"",'THE BOARD'!#REF!+0.72,""))</f>
        <v>#REF!</v>
      </c>
      <c r="D290" s="99" t="e">
        <f>IF(C290&lt;&gt;"", IF('THE BOARD'!#REF! = "NESTED","",'THE BOARD'!#REF! + IF(C290&lt;&gt;"", 0.72,0)),"")</f>
        <v>#REF!</v>
      </c>
      <c r="E290" s="68" t="e">
        <f>'THE BOARD'!#REF!</f>
        <v>#REF!</v>
      </c>
      <c r="F290" s="68" t="e">
        <f>'THE BOARD'!#REF!</f>
        <v>#REF!</v>
      </c>
      <c r="G290" s="68" t="e">
        <f>'THE BOARD'!#REF!</f>
        <v>#REF!</v>
      </c>
      <c r="H290" s="68" t="e">
        <f>'THE BOARD'!#REF!</f>
        <v>#REF!</v>
      </c>
      <c r="I290" s="68" t="e">
        <f>'THE BOARD'!#REF!</f>
        <v>#REF!</v>
      </c>
      <c r="J290" s="68" t="e">
        <f>'THE BOARD'!#REF!</f>
        <v>#REF!</v>
      </c>
      <c r="K290" s="99" t="e">
        <f>'THE BOARD'!#REF!</f>
        <v>#REF!</v>
      </c>
    </row>
    <row r="291" spans="1:11" ht="12.75" x14ac:dyDescent="0.2">
      <c r="A291" s="68" t="e">
        <f>'THE BOARD'!#REF!</f>
        <v>#REF!</v>
      </c>
      <c r="B291" s="68" t="e">
        <f>'THE BOARD'!#REF!</f>
        <v>#REF!</v>
      </c>
      <c r="C291" s="99" t="e">
        <f>IF('THE BOARD'!#REF! = "NESTED","",IF('THE BOARD'!#REF!&lt;&gt;"",'THE BOARD'!#REF!+0.72,""))</f>
        <v>#REF!</v>
      </c>
      <c r="D291" s="99" t="e">
        <f>IF(C291&lt;&gt;"", IF('THE BOARD'!#REF! = "NESTED","",'THE BOARD'!#REF! + IF(C291&lt;&gt;"", 0.72,0)),"")</f>
        <v>#REF!</v>
      </c>
      <c r="E291" s="68" t="e">
        <f>'THE BOARD'!#REF!</f>
        <v>#REF!</v>
      </c>
      <c r="F291" s="68" t="e">
        <f>'THE BOARD'!#REF!</f>
        <v>#REF!</v>
      </c>
      <c r="G291" s="68" t="e">
        <f>'THE BOARD'!#REF!</f>
        <v>#REF!</v>
      </c>
      <c r="H291" s="68" t="e">
        <f>'THE BOARD'!#REF!</f>
        <v>#REF!</v>
      </c>
      <c r="I291" s="68" t="e">
        <f>'THE BOARD'!#REF!</f>
        <v>#REF!</v>
      </c>
      <c r="J291" s="68" t="e">
        <f>'THE BOARD'!#REF!</f>
        <v>#REF!</v>
      </c>
      <c r="K291" s="99" t="e">
        <f>'THE BOARD'!#REF!</f>
        <v>#REF!</v>
      </c>
    </row>
    <row r="292" spans="1:11" ht="12.75" x14ac:dyDescent="0.2">
      <c r="A292" s="68" t="e">
        <f>'THE BOARD'!#REF!</f>
        <v>#REF!</v>
      </c>
      <c r="B292" s="68" t="e">
        <f>'THE BOARD'!#REF!</f>
        <v>#REF!</v>
      </c>
      <c r="C292" s="99" t="e">
        <f>IF('THE BOARD'!#REF! = "NESTED","",IF('THE BOARD'!#REF!&lt;&gt;"",'THE BOARD'!#REF!+0.72,""))</f>
        <v>#REF!</v>
      </c>
      <c r="D292" s="99" t="e">
        <f>IF(C292&lt;&gt;"", IF('THE BOARD'!#REF! = "NESTED","",'THE BOARD'!#REF! + IF(C292&lt;&gt;"", 0.72,0)),"")</f>
        <v>#REF!</v>
      </c>
      <c r="E292" s="68" t="e">
        <f>'THE BOARD'!#REF!</f>
        <v>#REF!</v>
      </c>
      <c r="F292" s="68" t="e">
        <f>'THE BOARD'!#REF!</f>
        <v>#REF!</v>
      </c>
      <c r="G292" s="68" t="e">
        <f>'THE BOARD'!#REF!</f>
        <v>#REF!</v>
      </c>
      <c r="H292" s="68" t="e">
        <f>'THE BOARD'!#REF!</f>
        <v>#REF!</v>
      </c>
      <c r="I292" s="68" t="e">
        <f>'THE BOARD'!#REF!</f>
        <v>#REF!</v>
      </c>
      <c r="J292" s="68" t="e">
        <f>'THE BOARD'!#REF!</f>
        <v>#REF!</v>
      </c>
      <c r="K292" s="99" t="e">
        <f>'THE BOARD'!#REF!</f>
        <v>#REF!</v>
      </c>
    </row>
    <row r="293" spans="1:11" ht="12.75" x14ac:dyDescent="0.2">
      <c r="A293" s="68" t="e">
        <f>'THE BOARD'!#REF!</f>
        <v>#REF!</v>
      </c>
      <c r="B293" s="68" t="e">
        <f>'THE BOARD'!#REF!</f>
        <v>#REF!</v>
      </c>
      <c r="C293" s="99" t="e">
        <f>IF('THE BOARD'!#REF! = "NESTED","",IF('THE BOARD'!#REF!&lt;&gt;"",'THE BOARD'!#REF!+0.72,""))</f>
        <v>#REF!</v>
      </c>
      <c r="D293" s="99" t="e">
        <f>IF(C293&lt;&gt;"", IF('THE BOARD'!#REF! = "NESTED","",'THE BOARD'!#REF! + IF(C293&lt;&gt;"", 0.72,0)),"")</f>
        <v>#REF!</v>
      </c>
      <c r="E293" s="68" t="e">
        <f>'THE BOARD'!#REF!</f>
        <v>#REF!</v>
      </c>
      <c r="F293" s="68" t="e">
        <f>'THE BOARD'!#REF!</f>
        <v>#REF!</v>
      </c>
      <c r="G293" s="68" t="e">
        <f>'THE BOARD'!#REF!</f>
        <v>#REF!</v>
      </c>
      <c r="H293" s="68" t="e">
        <f>'THE BOARD'!#REF!</f>
        <v>#REF!</v>
      </c>
      <c r="I293" s="68" t="e">
        <f>'THE BOARD'!#REF!</f>
        <v>#REF!</v>
      </c>
      <c r="J293" s="68" t="e">
        <f>'THE BOARD'!#REF!</f>
        <v>#REF!</v>
      </c>
      <c r="K293" s="99" t="e">
        <f>'THE BOARD'!#REF!</f>
        <v>#REF!</v>
      </c>
    </row>
    <row r="294" spans="1:11" ht="12.75" x14ac:dyDescent="0.2">
      <c r="A294" s="68" t="e">
        <f>'THE BOARD'!#REF!</f>
        <v>#REF!</v>
      </c>
      <c r="B294" s="68" t="e">
        <f>'THE BOARD'!#REF!</f>
        <v>#REF!</v>
      </c>
      <c r="C294" s="99" t="e">
        <f>IF('THE BOARD'!#REF! = "NESTED","",IF('THE BOARD'!#REF!&lt;&gt;"",'THE BOARD'!#REF!+0.72,""))</f>
        <v>#REF!</v>
      </c>
      <c r="D294" s="99" t="e">
        <f>IF(C294&lt;&gt;"", IF('THE BOARD'!#REF! = "NESTED","",'THE BOARD'!#REF! + IF(C294&lt;&gt;"", 0.72,0)),"")</f>
        <v>#REF!</v>
      </c>
      <c r="E294" s="68" t="e">
        <f>'THE BOARD'!#REF!</f>
        <v>#REF!</v>
      </c>
      <c r="F294" s="68" t="e">
        <f>'THE BOARD'!#REF!</f>
        <v>#REF!</v>
      </c>
      <c r="G294" s="68" t="e">
        <f>'THE BOARD'!#REF!</f>
        <v>#REF!</v>
      </c>
      <c r="H294" s="68" t="e">
        <f>'THE BOARD'!#REF!</f>
        <v>#REF!</v>
      </c>
      <c r="I294" s="68" t="e">
        <f>'THE BOARD'!#REF!</f>
        <v>#REF!</v>
      </c>
      <c r="J294" s="68" t="e">
        <f>'THE BOARD'!#REF!</f>
        <v>#REF!</v>
      </c>
      <c r="K294" s="99" t="e">
        <f>'THE BOARD'!#REF!</f>
        <v>#REF!</v>
      </c>
    </row>
    <row r="295" spans="1:11" ht="12.75" x14ac:dyDescent="0.2">
      <c r="A295" s="68" t="e">
        <f>'THE BOARD'!#REF!</f>
        <v>#REF!</v>
      </c>
      <c r="B295" s="68" t="e">
        <f>'THE BOARD'!#REF!</f>
        <v>#REF!</v>
      </c>
      <c r="C295" s="99" t="e">
        <f>IF('THE BOARD'!#REF! = "NESTED","",IF('THE BOARD'!#REF!&lt;&gt;"",'THE BOARD'!#REF!+0.72,""))</f>
        <v>#REF!</v>
      </c>
      <c r="D295" s="99" t="e">
        <f>IF(C295&lt;&gt;"", IF('THE BOARD'!#REF! = "NESTED","",'THE BOARD'!#REF! + IF(C295&lt;&gt;"", 0.72,0)),"")</f>
        <v>#REF!</v>
      </c>
      <c r="E295" s="68" t="e">
        <f>'THE BOARD'!#REF!</f>
        <v>#REF!</v>
      </c>
      <c r="F295" s="68" t="e">
        <f>'THE BOARD'!#REF!</f>
        <v>#REF!</v>
      </c>
      <c r="G295" s="68" t="e">
        <f>'THE BOARD'!#REF!</f>
        <v>#REF!</v>
      </c>
      <c r="H295" s="68" t="e">
        <f>'THE BOARD'!#REF!</f>
        <v>#REF!</v>
      </c>
      <c r="I295" s="68" t="e">
        <f>'THE BOARD'!#REF!</f>
        <v>#REF!</v>
      </c>
      <c r="J295" s="68" t="e">
        <f>'THE BOARD'!#REF!</f>
        <v>#REF!</v>
      </c>
      <c r="K295" s="99" t="e">
        <f>'THE BOARD'!#REF!</f>
        <v>#REF!</v>
      </c>
    </row>
    <row r="296" spans="1:11" ht="12.75" x14ac:dyDescent="0.2">
      <c r="A296" s="68" t="e">
        <f>'THE BOARD'!#REF!</f>
        <v>#REF!</v>
      </c>
      <c r="B296" s="68" t="e">
        <f>'THE BOARD'!#REF!</f>
        <v>#REF!</v>
      </c>
      <c r="C296" s="99" t="e">
        <f>IF('THE BOARD'!#REF! = "NESTED","",IF('THE BOARD'!#REF!&lt;&gt;"",'THE BOARD'!#REF!+0.72,""))</f>
        <v>#REF!</v>
      </c>
      <c r="D296" s="99" t="e">
        <f>IF(C296&lt;&gt;"", IF('THE BOARD'!#REF! = "NESTED","",'THE BOARD'!#REF! + IF(C296&lt;&gt;"", 0.72,0)),"")</f>
        <v>#REF!</v>
      </c>
      <c r="E296" s="68" t="e">
        <f>'THE BOARD'!#REF!</f>
        <v>#REF!</v>
      </c>
      <c r="F296" s="68" t="e">
        <f>'THE BOARD'!#REF!</f>
        <v>#REF!</v>
      </c>
      <c r="G296" s="68" t="e">
        <f>'THE BOARD'!#REF!</f>
        <v>#REF!</v>
      </c>
      <c r="H296" s="68" t="e">
        <f>'THE BOARD'!#REF!</f>
        <v>#REF!</v>
      </c>
      <c r="I296" s="68" t="e">
        <f>'THE BOARD'!#REF!</f>
        <v>#REF!</v>
      </c>
      <c r="J296" s="68" t="e">
        <f>'THE BOARD'!#REF!</f>
        <v>#REF!</v>
      </c>
      <c r="K296" s="99" t="e">
        <f>'THE BOARD'!#REF!</f>
        <v>#REF!</v>
      </c>
    </row>
    <row r="297" spans="1:11" ht="12.75" x14ac:dyDescent="0.2">
      <c r="A297" s="68" t="e">
        <f>'THE BOARD'!#REF!</f>
        <v>#REF!</v>
      </c>
      <c r="B297" s="68" t="e">
        <f>'THE BOARD'!#REF!</f>
        <v>#REF!</v>
      </c>
      <c r="C297" s="99" t="e">
        <f>IF('THE BOARD'!#REF! = "NESTED","",IF('THE BOARD'!#REF!&lt;&gt;"",'THE BOARD'!#REF!+0.72,""))</f>
        <v>#REF!</v>
      </c>
      <c r="D297" s="99" t="e">
        <f>IF(C297&lt;&gt;"", IF('THE BOARD'!#REF! = "NESTED","",'THE BOARD'!#REF! + IF(C297&lt;&gt;"", 0.72,0)),"")</f>
        <v>#REF!</v>
      </c>
      <c r="E297" s="68" t="e">
        <f>'THE BOARD'!#REF!</f>
        <v>#REF!</v>
      </c>
      <c r="F297" s="68" t="e">
        <f>'THE BOARD'!#REF!</f>
        <v>#REF!</v>
      </c>
      <c r="G297" s="68" t="e">
        <f>'THE BOARD'!#REF!</f>
        <v>#REF!</v>
      </c>
      <c r="H297" s="68" t="e">
        <f>'THE BOARD'!#REF!</f>
        <v>#REF!</v>
      </c>
      <c r="I297" s="68" t="e">
        <f>'THE BOARD'!#REF!</f>
        <v>#REF!</v>
      </c>
      <c r="J297" s="68" t="e">
        <f>'THE BOARD'!#REF!</f>
        <v>#REF!</v>
      </c>
      <c r="K297" s="99" t="e">
        <f>'THE BOARD'!#REF!</f>
        <v>#REF!</v>
      </c>
    </row>
    <row r="298" spans="1:11" ht="12.75" x14ac:dyDescent="0.2">
      <c r="A298" s="68" t="e">
        <f>'THE BOARD'!#REF!</f>
        <v>#REF!</v>
      </c>
      <c r="B298" s="68" t="e">
        <f>'THE BOARD'!#REF!</f>
        <v>#REF!</v>
      </c>
      <c r="C298" s="99" t="e">
        <f>IF('THE BOARD'!#REF! = "NESTED","",IF('THE BOARD'!#REF!&lt;&gt;"",'THE BOARD'!#REF!+0.72,""))</f>
        <v>#REF!</v>
      </c>
      <c r="D298" s="99" t="e">
        <f>IF(C298&lt;&gt;"", IF('THE BOARD'!#REF! = "NESTED","",'THE BOARD'!#REF! + IF(C298&lt;&gt;"", 0.72,0)),"")</f>
        <v>#REF!</v>
      </c>
      <c r="E298" s="68" t="e">
        <f>'THE BOARD'!#REF!</f>
        <v>#REF!</v>
      </c>
      <c r="F298" s="68" t="e">
        <f>'THE BOARD'!#REF!</f>
        <v>#REF!</v>
      </c>
      <c r="G298" s="68" t="e">
        <f>'THE BOARD'!#REF!</f>
        <v>#REF!</v>
      </c>
      <c r="H298" s="68" t="e">
        <f>'THE BOARD'!#REF!</f>
        <v>#REF!</v>
      </c>
      <c r="I298" s="68" t="e">
        <f>'THE BOARD'!#REF!</f>
        <v>#REF!</v>
      </c>
      <c r="J298" s="68" t="e">
        <f>'THE BOARD'!#REF!</f>
        <v>#REF!</v>
      </c>
      <c r="K298" s="99" t="e">
        <f>'THE BOARD'!#REF!</f>
        <v>#REF!</v>
      </c>
    </row>
    <row r="299" spans="1:11" ht="12.75" x14ac:dyDescent="0.2">
      <c r="A299" s="68" t="e">
        <f>'THE BOARD'!#REF!</f>
        <v>#REF!</v>
      </c>
      <c r="B299" s="68" t="e">
        <f>'THE BOARD'!#REF!</f>
        <v>#REF!</v>
      </c>
      <c r="C299" s="99" t="e">
        <f>IF('THE BOARD'!#REF! = "NESTED","",IF('THE BOARD'!#REF!&lt;&gt;"",'THE BOARD'!#REF!+0.72,""))</f>
        <v>#REF!</v>
      </c>
      <c r="D299" s="99" t="e">
        <f>IF(C299&lt;&gt;"", IF('THE BOARD'!#REF! = "NESTED","",'THE BOARD'!#REF! + IF(C299&lt;&gt;"", 0.72,0)),"")</f>
        <v>#REF!</v>
      </c>
      <c r="E299" s="68" t="e">
        <f>'THE BOARD'!#REF!</f>
        <v>#REF!</v>
      </c>
      <c r="F299" s="68" t="e">
        <f>'THE BOARD'!#REF!</f>
        <v>#REF!</v>
      </c>
      <c r="G299" s="68" t="e">
        <f>'THE BOARD'!#REF!</f>
        <v>#REF!</v>
      </c>
      <c r="H299" s="68" t="e">
        <f>'THE BOARD'!#REF!</f>
        <v>#REF!</v>
      </c>
      <c r="I299" s="68" t="e">
        <f>'THE BOARD'!#REF!</f>
        <v>#REF!</v>
      </c>
      <c r="J299" s="68" t="e">
        <f>'THE BOARD'!#REF!</f>
        <v>#REF!</v>
      </c>
      <c r="K299" s="68" t="e">
        <f>'THE BOARD'!#REF!</f>
        <v>#REF!</v>
      </c>
    </row>
    <row r="300" spans="1:11" ht="12.75" x14ac:dyDescent="0.2">
      <c r="A300" s="68" t="e">
        <f>'THE BOARD'!#REF!</f>
        <v>#REF!</v>
      </c>
      <c r="B300" s="68" t="e">
        <f>'THE BOARD'!#REF!</f>
        <v>#REF!</v>
      </c>
      <c r="C300" s="99" t="e">
        <f>IF('THE BOARD'!#REF! = "NESTED","",IF('THE BOARD'!#REF!&lt;&gt;"",'THE BOARD'!#REF!+0.72,""))</f>
        <v>#REF!</v>
      </c>
      <c r="D300" s="99" t="e">
        <f>IF(C300&lt;&gt;"", IF('THE BOARD'!#REF! = "NESTED","",'THE BOARD'!#REF! + IF(C300&lt;&gt;"", 0.72,0)),"")</f>
        <v>#REF!</v>
      </c>
      <c r="E300" s="68" t="e">
        <f>'THE BOARD'!#REF!</f>
        <v>#REF!</v>
      </c>
      <c r="F300" s="68" t="e">
        <f>'THE BOARD'!#REF!</f>
        <v>#REF!</v>
      </c>
      <c r="G300" s="68" t="e">
        <f>'THE BOARD'!#REF!</f>
        <v>#REF!</v>
      </c>
      <c r="H300" s="68" t="e">
        <f>'THE BOARD'!#REF!</f>
        <v>#REF!</v>
      </c>
      <c r="I300" s="68" t="e">
        <f>'THE BOARD'!#REF!</f>
        <v>#REF!</v>
      </c>
      <c r="J300" s="68" t="e">
        <f>'THE BOARD'!#REF!</f>
        <v>#REF!</v>
      </c>
      <c r="K300" s="99" t="e">
        <f>'THE BOARD'!#REF!</f>
        <v>#REF!</v>
      </c>
    </row>
    <row r="301" spans="1:11" ht="12.75" x14ac:dyDescent="0.2">
      <c r="A301" s="68" t="e">
        <f>'THE BOARD'!#REF!</f>
        <v>#REF!</v>
      </c>
      <c r="B301" s="68" t="e">
        <f>'THE BOARD'!#REF!</f>
        <v>#REF!</v>
      </c>
      <c r="C301" s="99">
        <v>45341.72</v>
      </c>
      <c r="D301" s="99">
        <v>45341.72</v>
      </c>
      <c r="E301" s="68" t="e">
        <f>'THE BOARD'!#REF!</f>
        <v>#REF!</v>
      </c>
      <c r="F301" s="68" t="e">
        <f>'THE BOARD'!#REF!</f>
        <v>#REF!</v>
      </c>
      <c r="G301" s="68" t="e">
        <f>'THE BOARD'!#REF!</f>
        <v>#REF!</v>
      </c>
      <c r="H301" s="68" t="e">
        <f>'THE BOARD'!#REF!</f>
        <v>#REF!</v>
      </c>
      <c r="I301" s="68" t="e">
        <f>'THE BOARD'!#REF!</f>
        <v>#REF!</v>
      </c>
      <c r="J301" s="68" t="e">
        <f>'THE BOARD'!#REF!</f>
        <v>#REF!</v>
      </c>
      <c r="K301" s="99" t="e">
        <f>'THE BOARD'!#REF!</f>
        <v>#REF!</v>
      </c>
    </row>
    <row r="302" spans="1:11" ht="12.75" x14ac:dyDescent="0.2">
      <c r="A302" s="68" t="e">
        <f>'THE BOARD'!#REF!</f>
        <v>#REF!</v>
      </c>
      <c r="B302" s="68" t="e">
        <f>'THE BOARD'!#REF!</f>
        <v>#REF!</v>
      </c>
      <c r="C302" s="99">
        <v>45341.72</v>
      </c>
      <c r="D302" s="99">
        <v>45341.72</v>
      </c>
      <c r="E302" s="68" t="e">
        <f>'THE BOARD'!#REF!</f>
        <v>#REF!</v>
      </c>
      <c r="F302" s="68" t="e">
        <f>'THE BOARD'!#REF!</f>
        <v>#REF!</v>
      </c>
      <c r="G302" s="68" t="e">
        <f>'THE BOARD'!#REF!</f>
        <v>#REF!</v>
      </c>
      <c r="H302" s="68" t="e">
        <f>'THE BOARD'!#REF!</f>
        <v>#REF!</v>
      </c>
      <c r="I302" s="68" t="e">
        <f>'THE BOARD'!#REF!</f>
        <v>#REF!</v>
      </c>
      <c r="J302" s="68" t="e">
        <f>'THE BOARD'!#REF!</f>
        <v>#REF!</v>
      </c>
      <c r="K302" s="99" t="e">
        <f>'THE BOARD'!#REF!</f>
        <v>#REF!</v>
      </c>
    </row>
    <row r="303" spans="1:11" ht="12.75" x14ac:dyDescent="0.2">
      <c r="A303" s="68" t="e">
        <f>'THE BOARD'!#REF!</f>
        <v>#REF!</v>
      </c>
      <c r="B303" s="68" t="e">
        <f>'THE BOARD'!#REF!</f>
        <v>#REF!</v>
      </c>
      <c r="C303" s="99">
        <v>45341.72</v>
      </c>
      <c r="D303" s="99">
        <v>45341.72</v>
      </c>
      <c r="E303" s="68" t="e">
        <f>'THE BOARD'!#REF!</f>
        <v>#REF!</v>
      </c>
      <c r="F303" s="68" t="e">
        <f>'THE BOARD'!#REF!</f>
        <v>#REF!</v>
      </c>
      <c r="G303" s="68" t="e">
        <f>'THE BOARD'!#REF!</f>
        <v>#REF!</v>
      </c>
      <c r="H303" s="68" t="e">
        <f>'THE BOARD'!#REF!</f>
        <v>#REF!</v>
      </c>
      <c r="I303" s="68" t="e">
        <f>'THE BOARD'!#REF!</f>
        <v>#REF!</v>
      </c>
      <c r="J303" s="68" t="e">
        <f>'THE BOARD'!#REF!</f>
        <v>#REF!</v>
      </c>
      <c r="K303" s="99" t="e">
        <f>'THE BOARD'!#REF!</f>
        <v>#REF!</v>
      </c>
    </row>
    <row r="304" spans="1:11" ht="12.75" x14ac:dyDescent="0.2">
      <c r="A304" s="68" t="e">
        <f>'THE BOARD'!#REF!</f>
        <v>#REF!</v>
      </c>
      <c r="B304" s="68" t="e">
        <f>'THE BOARD'!#REF!</f>
        <v>#REF!</v>
      </c>
      <c r="C304" s="99">
        <v>45341.72</v>
      </c>
      <c r="D304" s="99">
        <v>45341.72</v>
      </c>
      <c r="E304" s="68" t="e">
        <f>'THE BOARD'!#REF!</f>
        <v>#REF!</v>
      </c>
      <c r="F304" s="68" t="e">
        <f>'THE BOARD'!#REF!</f>
        <v>#REF!</v>
      </c>
      <c r="G304" s="68" t="e">
        <f>'THE BOARD'!#REF!</f>
        <v>#REF!</v>
      </c>
      <c r="H304" s="68" t="e">
        <f>'THE BOARD'!#REF!</f>
        <v>#REF!</v>
      </c>
      <c r="I304" s="68" t="e">
        <f>'THE BOARD'!#REF!</f>
        <v>#REF!</v>
      </c>
      <c r="J304" s="68" t="e">
        <f>'THE BOARD'!#REF!</f>
        <v>#REF!</v>
      </c>
      <c r="K304" s="99" t="e">
        <f>'THE BOARD'!#REF!</f>
        <v>#REF!</v>
      </c>
    </row>
    <row r="305" spans="1:11" ht="12.75" x14ac:dyDescent="0.2">
      <c r="A305" s="68" t="e">
        <f>'THE BOARD'!#REF!</f>
        <v>#REF!</v>
      </c>
      <c r="B305" s="68" t="e">
        <f>'THE BOARD'!#REF!</f>
        <v>#REF!</v>
      </c>
      <c r="C305" s="99">
        <v>45341.72</v>
      </c>
      <c r="D305" s="99">
        <v>45341.72</v>
      </c>
      <c r="E305" s="68" t="e">
        <f>'THE BOARD'!#REF!</f>
        <v>#REF!</v>
      </c>
      <c r="F305" s="68" t="e">
        <f>'THE BOARD'!#REF!</f>
        <v>#REF!</v>
      </c>
      <c r="G305" s="68" t="e">
        <f>'THE BOARD'!#REF!</f>
        <v>#REF!</v>
      </c>
      <c r="H305" s="68" t="e">
        <f>'THE BOARD'!#REF!</f>
        <v>#REF!</v>
      </c>
      <c r="I305" s="68" t="e">
        <f>'THE BOARD'!#REF!</f>
        <v>#REF!</v>
      </c>
      <c r="J305" s="68" t="e">
        <f>'THE BOARD'!#REF!</f>
        <v>#REF!</v>
      </c>
      <c r="K305" s="99" t="e">
        <f>'THE BOARD'!#REF!</f>
        <v>#REF!</v>
      </c>
    </row>
    <row r="306" spans="1:11" ht="12.75" x14ac:dyDescent="0.2">
      <c r="A306" s="68" t="e">
        <f>'THE BOARD'!#REF!</f>
        <v>#REF!</v>
      </c>
      <c r="B306" s="68" t="e">
        <f>'THE BOARD'!#REF!</f>
        <v>#REF!</v>
      </c>
      <c r="C306" s="99">
        <v>45341.72</v>
      </c>
      <c r="D306" s="99">
        <v>45341.72</v>
      </c>
      <c r="E306" s="68" t="e">
        <f>'THE BOARD'!#REF!</f>
        <v>#REF!</v>
      </c>
      <c r="F306" s="68" t="e">
        <f>'THE BOARD'!#REF!</f>
        <v>#REF!</v>
      </c>
      <c r="G306" s="68" t="e">
        <f>'THE BOARD'!#REF!</f>
        <v>#REF!</v>
      </c>
      <c r="H306" s="68" t="e">
        <f>'THE BOARD'!#REF!</f>
        <v>#REF!</v>
      </c>
      <c r="I306" s="68" t="e">
        <f>'THE BOARD'!#REF!</f>
        <v>#REF!</v>
      </c>
      <c r="J306" s="68" t="e">
        <f>'THE BOARD'!#REF!</f>
        <v>#REF!</v>
      </c>
      <c r="K306" s="99" t="e">
        <f>'THE BOARD'!#REF!</f>
        <v>#REF!</v>
      </c>
    </row>
    <row r="307" spans="1:11" ht="12.75" x14ac:dyDescent="0.2">
      <c r="A307" s="68" t="e">
        <f t="shared" ref="A307:B307" si="16">#REF!</f>
        <v>#REF!</v>
      </c>
      <c r="B307" s="68" t="e">
        <f t="shared" si="16"/>
        <v>#REF!</v>
      </c>
      <c r="C307" s="99">
        <v>45341.72</v>
      </c>
      <c r="D307" s="99">
        <v>45341.72</v>
      </c>
      <c r="E307" s="68" t="e">
        <f t="shared" ref="E307:K307" si="17">#REF!</f>
        <v>#REF!</v>
      </c>
      <c r="F307" s="68" t="e">
        <f t="shared" si="17"/>
        <v>#REF!</v>
      </c>
      <c r="G307" s="68" t="e">
        <f t="shared" si="17"/>
        <v>#REF!</v>
      </c>
      <c r="H307" s="68" t="e">
        <f t="shared" si="17"/>
        <v>#REF!</v>
      </c>
      <c r="I307" s="68" t="e">
        <f t="shared" si="17"/>
        <v>#REF!</v>
      </c>
      <c r="J307" s="68" t="e">
        <f t="shared" si="17"/>
        <v>#REF!</v>
      </c>
      <c r="K307" s="68" t="e">
        <f t="shared" si="17"/>
        <v>#REF!</v>
      </c>
    </row>
    <row r="308" spans="1:11" ht="12.75" x14ac:dyDescent="0.2">
      <c r="A308" s="68" t="e">
        <f t="shared" ref="A308:B308" si="18">#REF!</f>
        <v>#REF!</v>
      </c>
      <c r="B308" s="68" t="e">
        <f t="shared" si="18"/>
        <v>#REF!</v>
      </c>
      <c r="C308" s="99">
        <v>45341.72</v>
      </c>
      <c r="D308" s="99">
        <v>45341.72</v>
      </c>
      <c r="E308" s="68" t="e">
        <f t="shared" ref="E308:K308" si="19">#REF!</f>
        <v>#REF!</v>
      </c>
      <c r="F308" s="68" t="e">
        <f t="shared" si="19"/>
        <v>#REF!</v>
      </c>
      <c r="G308" s="68" t="e">
        <f t="shared" si="19"/>
        <v>#REF!</v>
      </c>
      <c r="H308" s="68" t="e">
        <f t="shared" si="19"/>
        <v>#REF!</v>
      </c>
      <c r="I308" s="68" t="e">
        <f t="shared" si="19"/>
        <v>#REF!</v>
      </c>
      <c r="J308" s="68" t="e">
        <f t="shared" si="19"/>
        <v>#REF!</v>
      </c>
      <c r="K308" s="68" t="e">
        <f t="shared" si="19"/>
        <v>#REF!</v>
      </c>
    </row>
    <row r="309" spans="1:11" ht="12.75" x14ac:dyDescent="0.2">
      <c r="A309" s="68" t="e">
        <f>'THE BOARD'!#REF!</f>
        <v>#REF!</v>
      </c>
      <c r="B309" s="68" t="e">
        <f>'THE BOARD'!#REF!</f>
        <v>#REF!</v>
      </c>
      <c r="C309" s="99" t="e">
        <f>IF('THE BOARD'!#REF! = "NESTED","",IF('THE BOARD'!#REF!&lt;&gt;"",'THE BOARD'!#REF!+0.72,""))</f>
        <v>#REF!</v>
      </c>
      <c r="D309" s="99" t="e">
        <f>IF(C309&lt;&gt;"", IF('THE BOARD'!#REF! = "NESTED","",'THE BOARD'!#REF! + IF(C309&lt;&gt;"", 0.72,0)),"")</f>
        <v>#REF!</v>
      </c>
      <c r="E309" s="68" t="e">
        <f>'THE BOARD'!#REF!</f>
        <v>#REF!</v>
      </c>
      <c r="F309" s="68" t="e">
        <f>'THE BOARD'!#REF!</f>
        <v>#REF!</v>
      </c>
      <c r="G309" s="68" t="e">
        <f>'THE BOARD'!#REF!</f>
        <v>#REF!</v>
      </c>
      <c r="H309" s="68" t="e">
        <f>'THE BOARD'!#REF!</f>
        <v>#REF!</v>
      </c>
      <c r="I309" s="68" t="e">
        <f>'THE BOARD'!#REF!</f>
        <v>#REF!</v>
      </c>
      <c r="J309" s="68" t="e">
        <f>'THE BOARD'!#REF!</f>
        <v>#REF!</v>
      </c>
      <c r="K309" s="99" t="e">
        <f>'THE BOARD'!#REF!</f>
        <v>#REF!</v>
      </c>
    </row>
    <row r="310" spans="1:11" ht="12.75" x14ac:dyDescent="0.2">
      <c r="A310" s="68" t="e">
        <f>'THE BOARD'!#REF!</f>
        <v>#REF!</v>
      </c>
      <c r="B310" s="68" t="e">
        <f>'THE BOARD'!#REF!</f>
        <v>#REF!</v>
      </c>
      <c r="C310" s="99" t="e">
        <f>IF('THE BOARD'!#REF! = "NESTED","",IF('THE BOARD'!#REF!&lt;&gt;"",'THE BOARD'!#REF!+0.72,""))</f>
        <v>#REF!</v>
      </c>
      <c r="D310" s="99" t="e">
        <f>IF(C310&lt;&gt;"", IF('THE BOARD'!#REF! = "NESTED","",'THE BOARD'!#REF! + IF(C310&lt;&gt;"", 0.72,0)),"")</f>
        <v>#REF!</v>
      </c>
      <c r="E310" s="68" t="e">
        <f>'THE BOARD'!#REF!</f>
        <v>#REF!</v>
      </c>
      <c r="F310" s="68" t="e">
        <f>'THE BOARD'!#REF!</f>
        <v>#REF!</v>
      </c>
      <c r="G310" s="68" t="e">
        <f>'THE BOARD'!#REF!</f>
        <v>#REF!</v>
      </c>
      <c r="H310" s="68" t="e">
        <f>'THE BOARD'!#REF!</f>
        <v>#REF!</v>
      </c>
      <c r="I310" s="68" t="e">
        <f>'THE BOARD'!#REF!</f>
        <v>#REF!</v>
      </c>
      <c r="J310" s="68" t="e">
        <f>'THE BOARD'!#REF!</f>
        <v>#REF!</v>
      </c>
      <c r="K310" s="99" t="e">
        <f>'THE BOARD'!#REF!</f>
        <v>#REF!</v>
      </c>
    </row>
    <row r="311" spans="1:11" ht="12.75" x14ac:dyDescent="0.2">
      <c r="A311" s="68" t="e">
        <f>'THE BOARD'!#REF!</f>
        <v>#REF!</v>
      </c>
      <c r="B311" s="68" t="e">
        <f>'THE BOARD'!#REF!</f>
        <v>#REF!</v>
      </c>
      <c r="C311" s="99" t="e">
        <f>IF('THE BOARD'!#REF! = "NESTED","",IF('THE BOARD'!#REF!&lt;&gt;"",'THE BOARD'!#REF!+0.72,""))</f>
        <v>#REF!</v>
      </c>
      <c r="D311" s="99" t="e">
        <f>IF(C311&lt;&gt;"", IF('THE BOARD'!#REF! = "NESTED","",'THE BOARD'!#REF! + IF(C311&lt;&gt;"", 0.72,0)),"")</f>
        <v>#REF!</v>
      </c>
      <c r="E311" s="68" t="e">
        <f>'THE BOARD'!#REF!</f>
        <v>#REF!</v>
      </c>
      <c r="F311" s="68" t="e">
        <f>'THE BOARD'!#REF!</f>
        <v>#REF!</v>
      </c>
      <c r="G311" s="68" t="e">
        <f>'THE BOARD'!#REF!</f>
        <v>#REF!</v>
      </c>
      <c r="H311" s="68" t="e">
        <f>'THE BOARD'!#REF!</f>
        <v>#REF!</v>
      </c>
      <c r="I311" s="68" t="e">
        <f>'THE BOARD'!#REF!</f>
        <v>#REF!</v>
      </c>
      <c r="J311" s="68" t="e">
        <f>'THE BOARD'!#REF!</f>
        <v>#REF!</v>
      </c>
      <c r="K311" s="99" t="e">
        <f>'THE BOARD'!#REF!</f>
        <v>#REF!</v>
      </c>
    </row>
    <row r="312" spans="1:11" ht="12.75" x14ac:dyDescent="0.2">
      <c r="A312" s="68" t="e">
        <f>'THE BOARD'!#REF!</f>
        <v>#REF!</v>
      </c>
      <c r="B312" s="68" t="e">
        <f>'THE BOARD'!#REF!</f>
        <v>#REF!</v>
      </c>
      <c r="C312" s="99" t="e">
        <f>IF('THE BOARD'!#REF! = "NESTED","",IF('THE BOARD'!#REF!&lt;&gt;"",'THE BOARD'!#REF!+0.72,""))</f>
        <v>#REF!</v>
      </c>
      <c r="D312" s="99" t="e">
        <f>IF(C312&lt;&gt;"", IF('THE BOARD'!#REF! = "NESTED","",'THE BOARD'!#REF! + IF(C312&lt;&gt;"", 0.72,0)),"")</f>
        <v>#REF!</v>
      </c>
      <c r="E312" s="68" t="e">
        <f>'THE BOARD'!#REF!</f>
        <v>#REF!</v>
      </c>
      <c r="F312" s="68" t="e">
        <f>'THE BOARD'!#REF!</f>
        <v>#REF!</v>
      </c>
      <c r="G312" s="68" t="e">
        <f>'THE BOARD'!#REF!</f>
        <v>#REF!</v>
      </c>
      <c r="H312" s="68" t="e">
        <f>'THE BOARD'!#REF!</f>
        <v>#REF!</v>
      </c>
      <c r="I312" s="68" t="e">
        <f>'THE BOARD'!#REF!</f>
        <v>#REF!</v>
      </c>
      <c r="J312" s="68" t="e">
        <f>'THE BOARD'!#REF!</f>
        <v>#REF!</v>
      </c>
      <c r="K312" s="99" t="e">
        <f>'THE BOARD'!#REF!</f>
        <v>#REF!</v>
      </c>
    </row>
    <row r="313" spans="1:11" ht="12.75" x14ac:dyDescent="0.2">
      <c r="A313" s="68" t="e">
        <f>'THE BOARD'!#REF!</f>
        <v>#REF!</v>
      </c>
      <c r="B313" s="68" t="e">
        <f>'THE BOARD'!#REF!</f>
        <v>#REF!</v>
      </c>
      <c r="C313" s="99" t="e">
        <f>IF('THE BOARD'!#REF! = "NESTED","",IF('THE BOARD'!#REF!&lt;&gt;"",'THE BOARD'!#REF!+0.72,""))</f>
        <v>#REF!</v>
      </c>
      <c r="D313" s="99" t="e">
        <f>IF(C313&lt;&gt;"", IF('THE BOARD'!#REF! = "NESTED","",'THE BOARD'!#REF! + IF(C313&lt;&gt;"", 0.72,0)),"")</f>
        <v>#REF!</v>
      </c>
      <c r="E313" s="68" t="e">
        <f>'THE BOARD'!#REF!</f>
        <v>#REF!</v>
      </c>
      <c r="F313" s="68" t="e">
        <f>'THE BOARD'!#REF!</f>
        <v>#REF!</v>
      </c>
      <c r="G313" s="68" t="e">
        <f>'THE BOARD'!#REF!</f>
        <v>#REF!</v>
      </c>
      <c r="H313" s="68" t="e">
        <f>'THE BOARD'!#REF!</f>
        <v>#REF!</v>
      </c>
      <c r="I313" s="68" t="e">
        <f>'THE BOARD'!#REF!</f>
        <v>#REF!</v>
      </c>
      <c r="J313" s="68" t="e">
        <f>'THE BOARD'!#REF!</f>
        <v>#REF!</v>
      </c>
      <c r="K313" s="99" t="e">
        <f>'THE BOARD'!#REF!</f>
        <v>#REF!</v>
      </c>
    </row>
    <row r="314" spans="1:11" ht="12.75" x14ac:dyDescent="0.2">
      <c r="A314" s="68" t="e">
        <f>'THE BOARD'!#REF!</f>
        <v>#REF!</v>
      </c>
      <c r="B314" s="68" t="e">
        <f>'THE BOARD'!#REF!</f>
        <v>#REF!</v>
      </c>
      <c r="C314" s="99" t="e">
        <f>IF('THE BOARD'!#REF! = "NESTED","",IF('THE BOARD'!#REF!&lt;&gt;"",'THE BOARD'!#REF!+0.72,""))</f>
        <v>#REF!</v>
      </c>
      <c r="D314" s="99" t="e">
        <f>IF(C314&lt;&gt;"", IF('THE BOARD'!#REF! = "NESTED","",'THE BOARD'!#REF! + IF(C314&lt;&gt;"", 0.72,0)),"")</f>
        <v>#REF!</v>
      </c>
      <c r="E314" s="68" t="e">
        <f>'THE BOARD'!#REF!</f>
        <v>#REF!</v>
      </c>
      <c r="F314" s="68" t="e">
        <f>'THE BOARD'!#REF!</f>
        <v>#REF!</v>
      </c>
      <c r="G314" s="68" t="e">
        <f>'THE BOARD'!#REF!</f>
        <v>#REF!</v>
      </c>
      <c r="H314" s="68" t="e">
        <f>'THE BOARD'!#REF!</f>
        <v>#REF!</v>
      </c>
      <c r="I314" s="68" t="e">
        <f>'THE BOARD'!#REF!</f>
        <v>#REF!</v>
      </c>
      <c r="J314" s="68" t="e">
        <f>'THE BOARD'!#REF!</f>
        <v>#REF!</v>
      </c>
      <c r="K314" s="99" t="e">
        <f>'THE BOARD'!#REF!</f>
        <v>#REF!</v>
      </c>
    </row>
    <row r="315" spans="1:11" ht="12.75" x14ac:dyDescent="0.2">
      <c r="A315" s="68" t="e">
        <f>'THE BOARD'!#REF!</f>
        <v>#REF!</v>
      </c>
      <c r="B315" s="68" t="e">
        <f>'THE BOARD'!#REF!</f>
        <v>#REF!</v>
      </c>
      <c r="C315" s="99" t="e">
        <f>IF('THE BOARD'!#REF! = "NESTED","",IF('THE BOARD'!#REF!&lt;&gt;"",'THE BOARD'!#REF!+0.72,""))</f>
        <v>#REF!</v>
      </c>
      <c r="D315" s="99" t="e">
        <f>IF(C315&lt;&gt;"", IF('THE BOARD'!#REF! = "NESTED","",'THE BOARD'!#REF! + IF(C315&lt;&gt;"", 0.72,0)),"")</f>
        <v>#REF!</v>
      </c>
      <c r="E315" s="68" t="e">
        <f>'THE BOARD'!#REF!</f>
        <v>#REF!</v>
      </c>
      <c r="F315" s="68" t="e">
        <f>'THE BOARD'!#REF!</f>
        <v>#REF!</v>
      </c>
      <c r="G315" s="68" t="e">
        <f>'THE BOARD'!#REF!</f>
        <v>#REF!</v>
      </c>
      <c r="H315" s="68" t="e">
        <f>'THE BOARD'!#REF!</f>
        <v>#REF!</v>
      </c>
      <c r="I315" s="68" t="e">
        <f>'THE BOARD'!#REF!</f>
        <v>#REF!</v>
      </c>
      <c r="J315" s="68" t="e">
        <f>'THE BOARD'!#REF!</f>
        <v>#REF!</v>
      </c>
      <c r="K315" s="99" t="e">
        <f>'THE BOARD'!#REF!</f>
        <v>#REF!</v>
      </c>
    </row>
    <row r="316" spans="1:11" ht="12.75" x14ac:dyDescent="0.2">
      <c r="A316" s="68" t="e">
        <f>'THE BOARD'!#REF!</f>
        <v>#REF!</v>
      </c>
      <c r="B316" s="68" t="e">
        <f>'THE BOARD'!#REF!</f>
        <v>#REF!</v>
      </c>
      <c r="C316" s="99" t="e">
        <f>IF('THE BOARD'!#REF! = "NESTED","",IF('THE BOARD'!#REF!&lt;&gt;"",'THE BOARD'!#REF!+0.72,""))</f>
        <v>#REF!</v>
      </c>
      <c r="D316" s="99" t="e">
        <f>IF(C316&lt;&gt;"", IF('THE BOARD'!#REF! = "NESTED","",'THE BOARD'!#REF! + IF(C316&lt;&gt;"", 0.72,0)),"")</f>
        <v>#REF!</v>
      </c>
      <c r="E316" s="68" t="e">
        <f>'THE BOARD'!#REF!</f>
        <v>#REF!</v>
      </c>
      <c r="F316" s="68" t="e">
        <f>'THE BOARD'!#REF!</f>
        <v>#REF!</v>
      </c>
      <c r="G316" s="68" t="e">
        <f>'THE BOARD'!#REF!</f>
        <v>#REF!</v>
      </c>
      <c r="H316" s="68" t="e">
        <f>'THE BOARD'!#REF!</f>
        <v>#REF!</v>
      </c>
      <c r="I316" s="68" t="e">
        <f>'THE BOARD'!#REF!</f>
        <v>#REF!</v>
      </c>
      <c r="J316" s="68" t="e">
        <f>'THE BOARD'!#REF!</f>
        <v>#REF!</v>
      </c>
      <c r="K316" s="99" t="e">
        <f>'THE BOARD'!#REF!</f>
        <v>#REF!</v>
      </c>
    </row>
    <row r="317" spans="1:11" ht="12.75" x14ac:dyDescent="0.2">
      <c r="A317" s="68" t="e">
        <f>'THE BOARD'!#REF!</f>
        <v>#REF!</v>
      </c>
      <c r="B317" s="68" t="e">
        <f>'THE BOARD'!#REF!</f>
        <v>#REF!</v>
      </c>
      <c r="C317" s="99" t="e">
        <f>IF('THE BOARD'!#REF! = "NESTED","",IF('THE BOARD'!#REF!&lt;&gt;"",'THE BOARD'!#REF!+0.72,""))</f>
        <v>#REF!</v>
      </c>
      <c r="D317" s="99" t="e">
        <f>IF(C317&lt;&gt;"", IF('THE BOARD'!#REF! = "NESTED","",'THE BOARD'!#REF! + IF(C317&lt;&gt;"", 0.72,0)),"")</f>
        <v>#REF!</v>
      </c>
      <c r="E317" s="68" t="e">
        <f>'THE BOARD'!#REF!</f>
        <v>#REF!</v>
      </c>
      <c r="F317" s="68" t="e">
        <f>'THE BOARD'!#REF!</f>
        <v>#REF!</v>
      </c>
      <c r="G317" s="68" t="e">
        <f>'THE BOARD'!#REF!</f>
        <v>#REF!</v>
      </c>
      <c r="H317" s="68" t="e">
        <f>'THE BOARD'!#REF!</f>
        <v>#REF!</v>
      </c>
      <c r="I317" s="68" t="e">
        <f>'THE BOARD'!#REF!</f>
        <v>#REF!</v>
      </c>
      <c r="J317" s="68" t="e">
        <f>'THE BOARD'!#REF!</f>
        <v>#REF!</v>
      </c>
      <c r="K317" s="99" t="e">
        <f>'THE BOARD'!#REF!</f>
        <v>#REF!</v>
      </c>
    </row>
    <row r="318" spans="1:11" ht="12.75" x14ac:dyDescent="0.2">
      <c r="A318" s="68" t="e">
        <f>'THE BOARD'!#REF!</f>
        <v>#REF!</v>
      </c>
      <c r="B318" s="68" t="e">
        <f>'THE BOARD'!#REF!</f>
        <v>#REF!</v>
      </c>
      <c r="C318" s="99" t="e">
        <f>IF('THE BOARD'!#REF! = "NESTED","",IF('THE BOARD'!#REF!&lt;&gt;"",'THE BOARD'!#REF!+0.72,""))</f>
        <v>#REF!</v>
      </c>
      <c r="D318" s="99" t="e">
        <f>IF(C318&lt;&gt;"", IF('THE BOARD'!#REF! = "NESTED","",'THE BOARD'!#REF! + IF(C318&lt;&gt;"", 0.72,0)),"")</f>
        <v>#REF!</v>
      </c>
      <c r="E318" s="68" t="e">
        <f>'THE BOARD'!#REF!</f>
        <v>#REF!</v>
      </c>
      <c r="F318" s="68" t="e">
        <f>'THE BOARD'!#REF!</f>
        <v>#REF!</v>
      </c>
      <c r="G318" s="68" t="e">
        <f>'THE BOARD'!#REF!</f>
        <v>#REF!</v>
      </c>
      <c r="H318" s="68" t="e">
        <f>'THE BOARD'!#REF!</f>
        <v>#REF!</v>
      </c>
      <c r="I318" s="68" t="e">
        <f>'THE BOARD'!#REF!</f>
        <v>#REF!</v>
      </c>
      <c r="J318" s="68" t="e">
        <f>'THE BOARD'!#REF!</f>
        <v>#REF!</v>
      </c>
      <c r="K318" s="99" t="e">
        <f>'THE BOARD'!#REF!</f>
        <v>#REF!</v>
      </c>
    </row>
    <row r="319" spans="1:11" ht="12.75" x14ac:dyDescent="0.2">
      <c r="A319" s="68" t="e">
        <f>'THE BOARD'!#REF!</f>
        <v>#REF!</v>
      </c>
      <c r="B319" s="68" t="e">
        <f>'THE BOARD'!#REF!</f>
        <v>#REF!</v>
      </c>
      <c r="C319" s="99" t="e">
        <f>IF('THE BOARD'!#REF! = "NESTED","",IF('THE BOARD'!#REF!&lt;&gt;"",'THE BOARD'!#REF!+0.72,""))</f>
        <v>#REF!</v>
      </c>
      <c r="D319" s="99" t="e">
        <f>IF(C319&lt;&gt;"", IF('THE BOARD'!#REF! = "NESTED","",'THE BOARD'!#REF! + IF(C319&lt;&gt;"", 0.72,0)),"")</f>
        <v>#REF!</v>
      </c>
      <c r="E319" s="68" t="e">
        <f>'THE BOARD'!#REF!</f>
        <v>#REF!</v>
      </c>
      <c r="F319" s="68" t="e">
        <f>'THE BOARD'!#REF!</f>
        <v>#REF!</v>
      </c>
      <c r="G319" s="68" t="e">
        <f>'THE BOARD'!#REF!</f>
        <v>#REF!</v>
      </c>
      <c r="H319" s="68" t="e">
        <f>'THE BOARD'!#REF!</f>
        <v>#REF!</v>
      </c>
      <c r="I319" s="68" t="e">
        <f>'THE BOARD'!#REF!</f>
        <v>#REF!</v>
      </c>
      <c r="J319" s="68" t="e">
        <f>'THE BOARD'!#REF!</f>
        <v>#REF!</v>
      </c>
      <c r="K319" s="99" t="e">
        <f>'THE BOARD'!#REF!</f>
        <v>#REF!</v>
      </c>
    </row>
    <row r="320" spans="1:11" ht="12.75" x14ac:dyDescent="0.2">
      <c r="A320" s="68" t="e">
        <f>'THE BOARD'!#REF!</f>
        <v>#REF!</v>
      </c>
      <c r="B320" s="68" t="e">
        <f>'THE BOARD'!#REF!</f>
        <v>#REF!</v>
      </c>
      <c r="C320" s="99" t="e">
        <f>IF('THE BOARD'!#REF! = "NESTED","",IF('THE BOARD'!#REF!&lt;&gt;"",'THE BOARD'!#REF!+0.72,""))</f>
        <v>#REF!</v>
      </c>
      <c r="D320" s="99" t="e">
        <f>IF(C320&lt;&gt;"", IF('THE BOARD'!#REF! = "NESTED","",'THE BOARD'!#REF! + IF(C320&lt;&gt;"", 0.72,0)),"")</f>
        <v>#REF!</v>
      </c>
      <c r="E320" s="68" t="e">
        <f>'THE BOARD'!#REF!</f>
        <v>#REF!</v>
      </c>
      <c r="F320" s="68" t="e">
        <f>'THE BOARD'!#REF!</f>
        <v>#REF!</v>
      </c>
      <c r="G320" s="68" t="e">
        <f>'THE BOARD'!#REF!</f>
        <v>#REF!</v>
      </c>
      <c r="H320" s="68" t="e">
        <f>'THE BOARD'!#REF!</f>
        <v>#REF!</v>
      </c>
      <c r="I320" s="68" t="e">
        <f>'THE BOARD'!#REF!</f>
        <v>#REF!</v>
      </c>
      <c r="J320" s="68" t="e">
        <f>'THE BOARD'!#REF!</f>
        <v>#REF!</v>
      </c>
      <c r="K320" s="99" t="e">
        <f>'THE BOARD'!#REF!</f>
        <v>#REF!</v>
      </c>
    </row>
    <row r="321" spans="1:11" ht="12.75" x14ac:dyDescent="0.2">
      <c r="A321" s="68" t="e">
        <f>'THE BOARD'!#REF!</f>
        <v>#REF!</v>
      </c>
      <c r="B321" s="68" t="e">
        <f>'THE BOARD'!#REF!</f>
        <v>#REF!</v>
      </c>
      <c r="C321" s="99" t="e">
        <f>IF('THE BOARD'!#REF! = "NESTED","",IF('THE BOARD'!#REF!&lt;&gt;"",'THE BOARD'!#REF!+0.72,""))</f>
        <v>#REF!</v>
      </c>
      <c r="D321" s="99" t="e">
        <f>IF(C321&lt;&gt;"", IF('THE BOARD'!#REF! = "NESTED","",'THE BOARD'!#REF! + IF(C321&lt;&gt;"", 0.72,0)),"")</f>
        <v>#REF!</v>
      </c>
      <c r="E321" s="68" t="e">
        <f>'THE BOARD'!#REF!</f>
        <v>#REF!</v>
      </c>
      <c r="F321" s="68" t="e">
        <f>'THE BOARD'!#REF!</f>
        <v>#REF!</v>
      </c>
      <c r="G321" s="68" t="e">
        <f>'THE BOARD'!#REF!</f>
        <v>#REF!</v>
      </c>
      <c r="H321" s="68" t="e">
        <f>'THE BOARD'!#REF!</f>
        <v>#REF!</v>
      </c>
      <c r="I321" s="68" t="e">
        <f>'THE BOARD'!#REF!</f>
        <v>#REF!</v>
      </c>
      <c r="J321" s="68" t="e">
        <f>'THE BOARD'!#REF!</f>
        <v>#REF!</v>
      </c>
      <c r="K321" s="99" t="e">
        <f>'THE BOARD'!#REF!</f>
        <v>#REF!</v>
      </c>
    </row>
    <row r="322" spans="1:11" ht="12.75" x14ac:dyDescent="0.2">
      <c r="A322" s="68" t="e">
        <f>'THE BOARD'!#REF!</f>
        <v>#REF!</v>
      </c>
      <c r="B322" s="68" t="e">
        <f>'THE BOARD'!#REF!</f>
        <v>#REF!</v>
      </c>
      <c r="C322" s="99" t="e">
        <f>IF('THE BOARD'!#REF! = "NESTED","",IF('THE BOARD'!#REF!&lt;&gt;"",'THE BOARD'!#REF!+0.72,""))</f>
        <v>#REF!</v>
      </c>
      <c r="D322" s="99" t="e">
        <f>IF(C322&lt;&gt;"", IF('THE BOARD'!#REF! = "NESTED","",'THE BOARD'!#REF! + IF(C322&lt;&gt;"", 0.72,0)),"")</f>
        <v>#REF!</v>
      </c>
      <c r="E322" s="68" t="e">
        <f>'THE BOARD'!#REF!</f>
        <v>#REF!</v>
      </c>
      <c r="F322" s="68" t="e">
        <f>'THE BOARD'!#REF!</f>
        <v>#REF!</v>
      </c>
      <c r="G322" s="68" t="e">
        <f>'THE BOARD'!#REF!</f>
        <v>#REF!</v>
      </c>
      <c r="H322" s="68" t="e">
        <f>'THE BOARD'!#REF!</f>
        <v>#REF!</v>
      </c>
      <c r="I322" s="68" t="e">
        <f>'THE BOARD'!#REF!</f>
        <v>#REF!</v>
      </c>
      <c r="J322" s="68" t="e">
        <f>'THE BOARD'!#REF!</f>
        <v>#REF!</v>
      </c>
      <c r="K322" s="99" t="e">
        <f>'THE BOARD'!#REF!</f>
        <v>#REF!</v>
      </c>
    </row>
    <row r="323" spans="1:11" ht="12.75" x14ac:dyDescent="0.2">
      <c r="A323" s="68" t="e">
        <f>'THE BOARD'!#REF!</f>
        <v>#REF!</v>
      </c>
      <c r="B323" s="68" t="e">
        <f>'THE BOARD'!#REF!</f>
        <v>#REF!</v>
      </c>
      <c r="C323" s="99" t="e">
        <f>IF('THE BOARD'!#REF! = "NESTED","",IF('THE BOARD'!#REF!&lt;&gt;"",'THE BOARD'!#REF!+0.72,""))</f>
        <v>#REF!</v>
      </c>
      <c r="D323" s="99" t="e">
        <f>IF(C323&lt;&gt;"", IF('THE BOARD'!#REF! = "NESTED","",'THE BOARD'!#REF! + IF(C323&lt;&gt;"", 0.72,0)),"")</f>
        <v>#REF!</v>
      </c>
      <c r="E323" s="68" t="e">
        <f>'THE BOARD'!#REF!</f>
        <v>#REF!</v>
      </c>
      <c r="F323" s="68" t="e">
        <f>'THE BOARD'!#REF!</f>
        <v>#REF!</v>
      </c>
      <c r="G323" s="68" t="e">
        <f>'THE BOARD'!#REF!</f>
        <v>#REF!</v>
      </c>
      <c r="H323" s="68" t="e">
        <f>'THE BOARD'!#REF!</f>
        <v>#REF!</v>
      </c>
      <c r="I323" s="68" t="e">
        <f>'THE BOARD'!#REF!</f>
        <v>#REF!</v>
      </c>
      <c r="J323" s="68" t="e">
        <f>'THE BOARD'!#REF!</f>
        <v>#REF!</v>
      </c>
      <c r="K323" s="99" t="e">
        <f>'THE BOARD'!#REF!</f>
        <v>#REF!</v>
      </c>
    </row>
    <row r="324" spans="1:11" ht="12.75" x14ac:dyDescent="0.2">
      <c r="A324" s="68" t="e">
        <f>'THE BOARD'!#REF!</f>
        <v>#REF!</v>
      </c>
      <c r="B324" s="68" t="e">
        <f>'THE BOARD'!#REF!</f>
        <v>#REF!</v>
      </c>
      <c r="C324" s="99" t="e">
        <f>IF('THE BOARD'!#REF! = "NESTED","",IF('THE BOARD'!#REF!&lt;&gt;"",'THE BOARD'!#REF!+0.72,""))</f>
        <v>#REF!</v>
      </c>
      <c r="D324" s="99" t="e">
        <f>IF(C324&lt;&gt;"", IF('THE BOARD'!#REF! = "NESTED","",'THE BOARD'!#REF! + IF(C324&lt;&gt;"", 0.72,0)),"")</f>
        <v>#REF!</v>
      </c>
      <c r="E324" s="68" t="e">
        <f>'THE BOARD'!#REF!</f>
        <v>#REF!</v>
      </c>
      <c r="F324" s="68" t="e">
        <f>'THE BOARD'!#REF!</f>
        <v>#REF!</v>
      </c>
      <c r="G324" s="68" t="e">
        <f>'THE BOARD'!#REF!</f>
        <v>#REF!</v>
      </c>
      <c r="H324" s="68" t="e">
        <f>'THE BOARD'!#REF!</f>
        <v>#REF!</v>
      </c>
      <c r="I324" s="68" t="e">
        <f>'THE BOARD'!#REF!</f>
        <v>#REF!</v>
      </c>
      <c r="J324" s="68" t="e">
        <f>'THE BOARD'!#REF!</f>
        <v>#REF!</v>
      </c>
      <c r="K324" s="99" t="e">
        <f>'THE BOARD'!#REF!</f>
        <v>#REF!</v>
      </c>
    </row>
    <row r="325" spans="1:11" ht="12.75" x14ac:dyDescent="0.2">
      <c r="A325" s="68" t="e">
        <f>'THE BOARD'!#REF!</f>
        <v>#REF!</v>
      </c>
      <c r="B325" s="68" t="e">
        <f>'THE BOARD'!#REF!</f>
        <v>#REF!</v>
      </c>
      <c r="C325" s="99" t="e">
        <f>IF('THE BOARD'!#REF! = "NESTED","",IF('THE BOARD'!#REF!&lt;&gt;"",'THE BOARD'!#REF!+0.72,""))</f>
        <v>#REF!</v>
      </c>
      <c r="D325" s="99" t="e">
        <f>IF(C325&lt;&gt;"", IF('THE BOARD'!#REF! = "NESTED","",'THE BOARD'!#REF! + IF(C325&lt;&gt;"", 0.72,0)),"")</f>
        <v>#REF!</v>
      </c>
      <c r="E325" s="68" t="e">
        <f>'THE BOARD'!#REF!</f>
        <v>#REF!</v>
      </c>
      <c r="F325" s="68" t="e">
        <f>'THE BOARD'!#REF!</f>
        <v>#REF!</v>
      </c>
      <c r="G325" s="68" t="e">
        <f>'THE BOARD'!#REF!</f>
        <v>#REF!</v>
      </c>
      <c r="H325" s="68" t="e">
        <f>'THE BOARD'!#REF!</f>
        <v>#REF!</v>
      </c>
      <c r="I325" s="68" t="e">
        <f>'THE BOARD'!#REF!</f>
        <v>#REF!</v>
      </c>
      <c r="J325" s="68" t="e">
        <f>'THE BOARD'!#REF!</f>
        <v>#REF!</v>
      </c>
      <c r="K325" s="99" t="e">
        <f>'THE BOARD'!#REF!</f>
        <v>#REF!</v>
      </c>
    </row>
    <row r="326" spans="1:11" ht="12.75" x14ac:dyDescent="0.2">
      <c r="A326" s="68" t="e">
        <f>'THE BOARD'!#REF!</f>
        <v>#REF!</v>
      </c>
      <c r="B326" s="68" t="e">
        <f>'THE BOARD'!#REF!</f>
        <v>#REF!</v>
      </c>
      <c r="C326" s="99" t="e">
        <f>IF('THE BOARD'!#REF! = "NESTED","",IF('THE BOARD'!#REF!&lt;&gt;"",'THE BOARD'!#REF!+0.72,""))</f>
        <v>#REF!</v>
      </c>
      <c r="D326" s="99" t="e">
        <f>IF(C326&lt;&gt;"", IF('THE BOARD'!#REF! = "NESTED","",'THE BOARD'!#REF! + IF(C326&lt;&gt;"", 0.72,0)),"")</f>
        <v>#REF!</v>
      </c>
      <c r="E326" s="68" t="e">
        <f>'THE BOARD'!#REF!</f>
        <v>#REF!</v>
      </c>
      <c r="F326" s="68" t="e">
        <f>'THE BOARD'!#REF!</f>
        <v>#REF!</v>
      </c>
      <c r="G326" s="68" t="e">
        <f>'THE BOARD'!#REF!</f>
        <v>#REF!</v>
      </c>
      <c r="H326" s="68" t="e">
        <f>'THE BOARD'!#REF!</f>
        <v>#REF!</v>
      </c>
      <c r="I326" s="68" t="e">
        <f>'THE BOARD'!#REF!</f>
        <v>#REF!</v>
      </c>
      <c r="J326" s="68" t="e">
        <f>'THE BOARD'!#REF!</f>
        <v>#REF!</v>
      </c>
      <c r="K326" s="99" t="e">
        <f>'THE BOARD'!#REF!</f>
        <v>#REF!</v>
      </c>
    </row>
    <row r="327" spans="1:11" ht="12.75" x14ac:dyDescent="0.2">
      <c r="A327" s="68" t="e">
        <f>'THE BOARD'!#REF!</f>
        <v>#REF!</v>
      </c>
      <c r="B327" s="68" t="e">
        <f>'THE BOARD'!#REF!</f>
        <v>#REF!</v>
      </c>
      <c r="C327" s="99" t="e">
        <f>IF('THE BOARD'!#REF! = "NESTED","",IF('THE BOARD'!#REF!&lt;&gt;"",'THE BOARD'!#REF!+0.72,""))</f>
        <v>#REF!</v>
      </c>
      <c r="D327" s="99" t="e">
        <f>IF(C327&lt;&gt;"", IF('THE BOARD'!#REF! = "NESTED","",'THE BOARD'!#REF! + IF(C327&lt;&gt;"", 0.72,0)),"")</f>
        <v>#REF!</v>
      </c>
      <c r="E327" s="68" t="e">
        <f>'THE BOARD'!#REF!</f>
        <v>#REF!</v>
      </c>
      <c r="F327" s="68" t="e">
        <f>'THE BOARD'!#REF!</f>
        <v>#REF!</v>
      </c>
      <c r="G327" s="68" t="e">
        <f>'THE BOARD'!#REF!</f>
        <v>#REF!</v>
      </c>
      <c r="H327" s="68" t="e">
        <f>'THE BOARD'!#REF!</f>
        <v>#REF!</v>
      </c>
      <c r="I327" s="68" t="e">
        <f>'THE BOARD'!#REF!</f>
        <v>#REF!</v>
      </c>
      <c r="J327" s="68" t="e">
        <f>'THE BOARD'!#REF!</f>
        <v>#REF!</v>
      </c>
      <c r="K327" s="99" t="e">
        <f>'THE BOARD'!#REF!</f>
        <v>#REF!</v>
      </c>
    </row>
    <row r="328" spans="1:11" ht="12.75" x14ac:dyDescent="0.2">
      <c r="A328" s="68" t="e">
        <f>'THE BOARD'!#REF!</f>
        <v>#REF!</v>
      </c>
      <c r="B328" s="122" t="e">
        <f>'THE BOARD'!#REF!</f>
        <v>#REF!</v>
      </c>
      <c r="C328" s="99" t="e">
        <f>IF('THE BOARD'!#REF! = "NESTED","",IF('THE BOARD'!#REF!&lt;&gt;"",'THE BOARD'!#REF!+0.72,""))</f>
        <v>#REF!</v>
      </c>
      <c r="D328" s="99" t="e">
        <f>IF(C328&lt;&gt;"", IF('THE BOARD'!#REF! = "NESTED","",'THE BOARD'!#REF! + IF(C328&lt;&gt;"", 0.72,0)),"")</f>
        <v>#REF!</v>
      </c>
      <c r="E328" s="68" t="e">
        <f>'THE BOARD'!#REF!</f>
        <v>#REF!</v>
      </c>
      <c r="F328" s="68" t="e">
        <f>'THE BOARD'!#REF!</f>
        <v>#REF!</v>
      </c>
      <c r="G328" s="68" t="e">
        <f>'THE BOARD'!#REF!</f>
        <v>#REF!</v>
      </c>
      <c r="H328" s="68" t="e">
        <f>'THE BOARD'!#REF!</f>
        <v>#REF!</v>
      </c>
      <c r="I328" s="68" t="e">
        <f>'THE BOARD'!#REF!</f>
        <v>#REF!</v>
      </c>
      <c r="J328" s="68" t="e">
        <f>'THE BOARD'!#REF!</f>
        <v>#REF!</v>
      </c>
      <c r="K328" s="99" t="e">
        <f>'THE BOARD'!#REF!</f>
        <v>#REF!</v>
      </c>
    </row>
    <row r="329" spans="1:11" ht="12.75" x14ac:dyDescent="0.2">
      <c r="A329" s="68" t="e">
        <f>'THE BOARD'!#REF!</f>
        <v>#REF!</v>
      </c>
      <c r="B329" s="68" t="e">
        <f>'THE BOARD'!#REF!</f>
        <v>#REF!</v>
      </c>
      <c r="C329" s="99" t="e">
        <f>IF('THE BOARD'!#REF! = "NESTED","",IF('THE BOARD'!#REF!&lt;&gt;"",'THE BOARD'!#REF!+0.72,""))</f>
        <v>#REF!</v>
      </c>
      <c r="D329" s="99" t="e">
        <f>IF(C329&lt;&gt;"", IF('THE BOARD'!#REF! = "NESTED","",'THE BOARD'!#REF! + IF(C329&lt;&gt;"", 0.72,0)),"")</f>
        <v>#REF!</v>
      </c>
      <c r="E329" s="68" t="e">
        <f>'THE BOARD'!#REF!</f>
        <v>#REF!</v>
      </c>
      <c r="F329" s="68" t="e">
        <f>'THE BOARD'!#REF!</f>
        <v>#REF!</v>
      </c>
      <c r="G329" s="68" t="e">
        <f>'THE BOARD'!#REF!</f>
        <v>#REF!</v>
      </c>
      <c r="H329" s="68" t="e">
        <f>'THE BOARD'!#REF!</f>
        <v>#REF!</v>
      </c>
      <c r="I329" s="68" t="e">
        <f>'THE BOARD'!#REF!</f>
        <v>#REF!</v>
      </c>
      <c r="J329" s="68" t="e">
        <f>'THE BOARD'!#REF!</f>
        <v>#REF!</v>
      </c>
      <c r="K329" s="99" t="e">
        <f>'THE BOARD'!#REF!</f>
        <v>#REF!</v>
      </c>
    </row>
    <row r="330" spans="1:11" ht="12.75" x14ac:dyDescent="0.2">
      <c r="A330" s="68" t="str">
        <f>'THE BOARD'!A2</f>
        <v>INDUSTRIAL</v>
      </c>
      <c r="B330" s="68" t="str">
        <f>'THE BOARD'!B2</f>
        <v>PO 19390 JOB 1120083 RAILS ONLY</v>
      </c>
      <c r="C330" s="99">
        <f>IF('THE BOARD'!U2 = "NESTED","",IF('THE BOARD'!D2&lt;&gt;"",'THE BOARD'!D2+0.72,""))</f>
        <v>45322.720000000001</v>
      </c>
      <c r="D330" s="99">
        <f>IF(C330&lt;&gt;"", IF('THE BOARD'!U2 = "NESTED","",'THE BOARD'!D2 + IF(C330&lt;&gt;"", 0.72,0)),"")</f>
        <v>45322.720000000001</v>
      </c>
      <c r="E330" s="68">
        <f>'THE BOARD'!E2</f>
        <v>5</v>
      </c>
      <c r="F330" s="68">
        <f>'THE BOARD'!F2</f>
        <v>2</v>
      </c>
      <c r="G330" s="68">
        <f>'THE BOARD'!G2</f>
        <v>0</v>
      </c>
      <c r="H330" s="68">
        <f>'THE BOARD'!H2</f>
        <v>0</v>
      </c>
      <c r="I330" s="68">
        <f>'THE BOARD'!I2</f>
        <v>0</v>
      </c>
      <c r="J330" s="68">
        <f>'THE BOARD'!Q2</f>
        <v>0</v>
      </c>
      <c r="K330" s="99">
        <f>'THE BOARD'!U2</f>
        <v>0</v>
      </c>
    </row>
    <row r="331" spans="1:11" ht="12.75" x14ac:dyDescent="0.2">
      <c r="A331" s="68" t="str">
        <f>'THE BOARD'!A3</f>
        <v>RESERVE PAX</v>
      </c>
      <c r="B331" s="68" t="str">
        <f>'THE BOARD'!B3</f>
        <v>FEBRUARY</v>
      </c>
      <c r="C331" s="99">
        <f>IF('THE BOARD'!U3 = "NESTED","",IF('THE BOARD'!D3&lt;&gt;"",'THE BOARD'!D3+0.72,""))</f>
        <v>45323.72</v>
      </c>
      <c r="D331" s="99">
        <f>IF(C331&lt;&gt;"", IF('THE BOARD'!U3 = "NESTED","",'THE BOARD'!D3 + IF(C331&lt;&gt;"", 0.72,0)),"")</f>
        <v>45323.72</v>
      </c>
      <c r="E331" s="68">
        <f>'THE BOARD'!E3</f>
        <v>0</v>
      </c>
      <c r="F331" s="68">
        <f>'THE BOARD'!F3</f>
        <v>0</v>
      </c>
      <c r="G331" s="68">
        <f>'THE BOARD'!G3</f>
        <v>0</v>
      </c>
      <c r="H331" s="68">
        <f>'THE BOARD'!H3</f>
        <v>0</v>
      </c>
      <c r="I331" s="68">
        <f>'THE BOARD'!I3</f>
        <v>0</v>
      </c>
      <c r="J331" s="68">
        <f>'THE BOARD'!Q3</f>
        <v>0</v>
      </c>
      <c r="K331" s="99">
        <f>'THE BOARD'!U3</f>
        <v>0</v>
      </c>
    </row>
    <row r="332" spans="1:11" ht="12.75" x14ac:dyDescent="0.2">
      <c r="A332" s="68" t="str">
        <f>'THE BOARD'!A4</f>
        <v>PAX</v>
      </c>
      <c r="B332" s="68" t="str">
        <f>'THE BOARD'!B4</f>
        <v>246-102</v>
      </c>
      <c r="C332" s="99">
        <f>IF('THE BOARD'!U4 = "NESTED","",IF('THE BOARD'!D4&lt;&gt;"",'THE BOARD'!D4+0.72,""))</f>
        <v>45324.72</v>
      </c>
      <c r="D332" s="99">
        <f>IF(C332&lt;&gt;"", IF('THE BOARD'!U4 = "NESTED","",'THE BOARD'!D4 + IF(C332&lt;&gt;"", 0.72,0)),"")</f>
        <v>45324.72</v>
      </c>
      <c r="E332" s="68">
        <f>'THE BOARD'!E4</f>
        <v>6</v>
      </c>
      <c r="F332" s="68" t="str">
        <f>'THE BOARD'!F4</f>
        <v xml:space="preserve"> </v>
      </c>
      <c r="G332" s="68">
        <f>'THE BOARD'!G4</f>
        <v>0</v>
      </c>
      <c r="H332" s="68">
        <f>'THE BOARD'!H4</f>
        <v>1</v>
      </c>
      <c r="I332" s="68">
        <f>'THE BOARD'!I4</f>
        <v>0</v>
      </c>
      <c r="J332" s="68">
        <f>'THE BOARD'!Q4</f>
        <v>0</v>
      </c>
      <c r="K332" s="99">
        <f>'THE BOARD'!U4</f>
        <v>0</v>
      </c>
    </row>
    <row r="333" spans="1:11" ht="12.75" x14ac:dyDescent="0.2">
      <c r="A333" s="68" t="str">
        <f>'THE BOARD'!A5</f>
        <v>PAX</v>
      </c>
      <c r="B333" s="68" t="str">
        <f>'THE BOARD'!B5</f>
        <v>246-209</v>
      </c>
      <c r="C333" s="99">
        <f>IF('THE BOARD'!U5 = "NESTED","",IF('THE BOARD'!D5&lt;&gt;"",'THE BOARD'!D5+0.72,""))</f>
        <v>45324.72</v>
      </c>
      <c r="D333" s="99">
        <f>IF(C333&lt;&gt;"", IF('THE BOARD'!U5 = "NESTED","",'THE BOARD'!D5 + IF(C333&lt;&gt;"", 0.72,0)),"")</f>
        <v>45324.72</v>
      </c>
      <c r="E333" s="68">
        <f>'THE BOARD'!E5</f>
        <v>5</v>
      </c>
      <c r="F333" s="68">
        <f>'THE BOARD'!F5</f>
        <v>2</v>
      </c>
      <c r="G333" s="68">
        <f>'THE BOARD'!G5</f>
        <v>2</v>
      </c>
      <c r="H333" s="68">
        <f>'THE BOARD'!H5</f>
        <v>0</v>
      </c>
      <c r="I333" s="68">
        <f>'THE BOARD'!I5</f>
        <v>0</v>
      </c>
      <c r="J333" s="68">
        <f>'THE BOARD'!Q5</f>
        <v>0</v>
      </c>
      <c r="K333" s="99">
        <f>'THE BOARD'!U5</f>
        <v>0</v>
      </c>
    </row>
    <row r="334" spans="1:11" ht="12.75" x14ac:dyDescent="0.2">
      <c r="A334" s="68" t="str">
        <f>'THE BOARD'!A6</f>
        <v>PAX</v>
      </c>
      <c r="B334" s="68" t="str">
        <f>'THE BOARD'!B6</f>
        <v>246-210</v>
      </c>
      <c r="C334" s="99">
        <f>IF('THE BOARD'!U6 = "NESTED","",IF('THE BOARD'!D6&lt;&gt;"",'THE BOARD'!D6+0.72,""))</f>
        <v>45324.72</v>
      </c>
      <c r="D334" s="99">
        <f>IF(C334&lt;&gt;"", IF('THE BOARD'!U6 = "NESTED","",'THE BOARD'!D6 + IF(C334&lt;&gt;"", 0.72,0)),"")</f>
        <v>45324.72</v>
      </c>
      <c r="E334" s="68">
        <f>'THE BOARD'!E6</f>
        <v>5</v>
      </c>
      <c r="F334" s="68">
        <f>'THE BOARD'!F6</f>
        <v>2</v>
      </c>
      <c r="G334" s="68">
        <f>'THE BOARD'!G6</f>
        <v>2</v>
      </c>
      <c r="H334" s="68">
        <f>'THE BOARD'!H6</f>
        <v>0</v>
      </c>
      <c r="I334" s="68">
        <f>'THE BOARD'!I6</f>
        <v>0</v>
      </c>
      <c r="J334" s="68">
        <f>'THE BOARD'!Q6</f>
        <v>0</v>
      </c>
      <c r="K334" s="99">
        <f>'THE BOARD'!U6</f>
        <v>0</v>
      </c>
    </row>
    <row r="335" spans="1:11" ht="12.75" x14ac:dyDescent="0.2">
      <c r="A335" s="68" t="str">
        <f>'THE BOARD'!A7</f>
        <v>PAX</v>
      </c>
      <c r="B335" s="68" t="str">
        <f>'THE BOARD'!B7</f>
        <v>246-103</v>
      </c>
      <c r="C335" s="99">
        <f>IF('THE BOARD'!U7 = "NESTED","",IF('THE BOARD'!D7&lt;&gt;"",'THE BOARD'!D7+0.72,""))</f>
        <v>45324.72</v>
      </c>
      <c r="D335" s="99">
        <f>IF(C335&lt;&gt;"", IF('THE BOARD'!U7 = "NESTED","",'THE BOARD'!D7 + IF(C335&lt;&gt;"", 0.72,0)),"")</f>
        <v>45324.72</v>
      </c>
      <c r="E335" s="68">
        <f>'THE BOARD'!E7</f>
        <v>7</v>
      </c>
      <c r="F335" s="68">
        <f>'THE BOARD'!F7</f>
        <v>4</v>
      </c>
      <c r="G335" s="68">
        <f>'THE BOARD'!G7</f>
        <v>4</v>
      </c>
      <c r="H335" s="68">
        <f>'THE BOARD'!H7</f>
        <v>0</v>
      </c>
      <c r="I335" s="68">
        <f>'THE BOARD'!I7</f>
        <v>0</v>
      </c>
      <c r="J335" s="68">
        <f>'THE BOARD'!Q7</f>
        <v>0</v>
      </c>
      <c r="K335" s="99">
        <f>'THE BOARD'!U7</f>
        <v>0</v>
      </c>
    </row>
    <row r="336" spans="1:11" ht="12.75" x14ac:dyDescent="0.2">
      <c r="A336" s="68" t="str">
        <f>'THE BOARD'!A8</f>
        <v>PAX</v>
      </c>
      <c r="B336" s="68" t="str">
        <f>'THE BOARD'!B8</f>
        <v>246-82</v>
      </c>
      <c r="C336" s="99">
        <f>IF('THE BOARD'!U8 = "NESTED","",IF('THE BOARD'!D8&lt;&gt;"",'THE BOARD'!D8+0.72,""))</f>
        <v>45324.72</v>
      </c>
      <c r="D336" s="99">
        <f>IF(C336&lt;&gt;"", IF('THE BOARD'!U8 = "NESTED","",'THE BOARD'!D8 + IF(C336&lt;&gt;"", 0.72,0)),"")</f>
        <v>45324.72</v>
      </c>
      <c r="E336" s="68">
        <f>'THE BOARD'!E8</f>
        <v>20</v>
      </c>
      <c r="F336" s="68">
        <f>'THE BOARD'!F8</f>
        <v>4</v>
      </c>
      <c r="G336" s="68">
        <f>'THE BOARD'!G8</f>
        <v>4</v>
      </c>
      <c r="H336" s="68">
        <f>'THE BOARD'!H8</f>
        <v>2</v>
      </c>
      <c r="I336" s="68">
        <f>'THE BOARD'!I8</f>
        <v>1</v>
      </c>
      <c r="J336" s="68">
        <f>'THE BOARD'!Q8</f>
        <v>0</v>
      </c>
      <c r="K336" s="99">
        <f>'THE BOARD'!U8</f>
        <v>0</v>
      </c>
    </row>
    <row r="337" spans="1:11" ht="12.75" x14ac:dyDescent="0.2">
      <c r="A337" s="68" t="str">
        <f>'THE BOARD'!A9</f>
        <v>PAX</v>
      </c>
      <c r="B337" s="68" t="str">
        <f>'THE BOARD'!B9</f>
        <v>246-94</v>
      </c>
      <c r="C337" s="99">
        <f>IF('THE BOARD'!U9 = "NESTED","",IF('THE BOARD'!D9&lt;&gt;"",'THE BOARD'!D9+0.72,""))</f>
        <v>45324.72</v>
      </c>
      <c r="D337" s="99">
        <f>IF(C337&lt;&gt;"", IF('THE BOARD'!U9 = "NESTED","",'THE BOARD'!D9 + IF(C337&lt;&gt;"", 0.72,0)),"")</f>
        <v>45324.72</v>
      </c>
      <c r="E337" s="68">
        <f>'THE BOARD'!E9</f>
        <v>18</v>
      </c>
      <c r="F337" s="68">
        <f>'THE BOARD'!F9</f>
        <v>8</v>
      </c>
      <c r="G337" s="68">
        <f>'THE BOARD'!G9</f>
        <v>8</v>
      </c>
      <c r="H337" s="68">
        <f>'THE BOARD'!H9</f>
        <v>3</v>
      </c>
      <c r="I337" s="68">
        <f>'THE BOARD'!I9</f>
        <v>0</v>
      </c>
      <c r="J337" s="68">
        <f>'THE BOARD'!Q9</f>
        <v>0</v>
      </c>
      <c r="K337" s="99">
        <f>'THE BOARD'!U9</f>
        <v>0</v>
      </c>
    </row>
    <row r="338" spans="1:11" ht="12.75" x14ac:dyDescent="0.2">
      <c r="A338" s="68" t="str">
        <f>'THE BOARD'!A10</f>
        <v>PAX</v>
      </c>
      <c r="B338" s="68" t="str">
        <f>'THE BOARD'!B10</f>
        <v>246-224M</v>
      </c>
      <c r="C338" s="99">
        <f>IF('THE BOARD'!U10 = "NESTED","",IF('THE BOARD'!D10&lt;&gt;"",'THE BOARD'!D10+0.72,""))</f>
        <v>45324.72</v>
      </c>
      <c r="D338" s="99">
        <f>IF(C338&lt;&gt;"", IF('THE BOARD'!U10 = "NESTED","",'THE BOARD'!D10 + IF(C338&lt;&gt;"", 0.72,0)),"")</f>
        <v>45324.72</v>
      </c>
      <c r="E338" s="68">
        <f>'THE BOARD'!E10</f>
        <v>89</v>
      </c>
      <c r="F338" s="68">
        <f>'THE BOARD'!F10</f>
        <v>0</v>
      </c>
      <c r="G338" s="68">
        <f>'THE BOARD'!G10</f>
        <v>0</v>
      </c>
      <c r="H338" s="68">
        <f>'THE BOARD'!H10</f>
        <v>0</v>
      </c>
      <c r="I338" s="68">
        <f>'THE BOARD'!I10</f>
        <v>28</v>
      </c>
      <c r="J338" s="68">
        <f>'THE BOARD'!Q10</f>
        <v>0</v>
      </c>
      <c r="K338" s="99">
        <f>'THE BOARD'!U10</f>
        <v>0</v>
      </c>
    </row>
    <row r="339" spans="1:11" ht="12.75" x14ac:dyDescent="0.2">
      <c r="A339" s="68" t="str">
        <f>'THE BOARD'!A11</f>
        <v>PAX</v>
      </c>
      <c r="B339" s="68" t="str">
        <f>'THE BOARD'!B11</f>
        <v>246-113</v>
      </c>
      <c r="C339" s="99">
        <f>IF('THE BOARD'!U11 = "NESTED","",IF('THE BOARD'!D11&lt;&gt;"",'THE BOARD'!D11+0.72,""))</f>
        <v>45324.72</v>
      </c>
      <c r="D339" s="99">
        <f>IF(C339&lt;&gt;"", IF('THE BOARD'!U11 = "NESTED","",'THE BOARD'!D11 + IF(C339&lt;&gt;"", 0.72,0)),"")</f>
        <v>45324.72</v>
      </c>
      <c r="E339" s="68">
        <f>'THE BOARD'!E11</f>
        <v>50</v>
      </c>
      <c r="F339" s="68">
        <f>'THE BOARD'!F11</f>
        <v>16</v>
      </c>
      <c r="G339" s="68">
        <f>'THE BOARD'!G11</f>
        <v>16</v>
      </c>
      <c r="H339" s="68">
        <f>'THE BOARD'!H11</f>
        <v>4</v>
      </c>
      <c r="I339" s="68">
        <f>'THE BOARD'!I11</f>
        <v>0</v>
      </c>
      <c r="J339" s="68">
        <f>'THE BOARD'!Q11</f>
        <v>0</v>
      </c>
      <c r="K339" s="99">
        <f>'THE BOARD'!U11</f>
        <v>0</v>
      </c>
    </row>
    <row r="340" spans="1:11" ht="12.75" x14ac:dyDescent="0.2">
      <c r="A340" s="68" t="str">
        <f>'THE BOARD'!A12</f>
        <v>PAX</v>
      </c>
      <c r="B340" s="68" t="str">
        <f>'THE BOARD'!B12</f>
        <v>246-226</v>
      </c>
      <c r="C340" s="99">
        <f>IF('THE BOARD'!U12 = "NESTED","",IF('THE BOARD'!D12&lt;&gt;"",'THE BOARD'!D12+0.72,""))</f>
        <v>45324.72</v>
      </c>
      <c r="D340" s="99">
        <f>IF(C340&lt;&gt;"", IF('THE BOARD'!U12 = "NESTED","",'THE BOARD'!D12 + IF(C340&lt;&gt;"", 0.72,0)),"")</f>
        <v>45324.72</v>
      </c>
      <c r="E340" s="68">
        <f>'THE BOARD'!E12</f>
        <v>12</v>
      </c>
      <c r="F340" s="68">
        <f>'THE BOARD'!F12</f>
        <v>4</v>
      </c>
      <c r="G340" s="68">
        <f>'THE BOARD'!G12</f>
        <v>4</v>
      </c>
      <c r="H340" s="68">
        <f>'THE BOARD'!H12</f>
        <v>1</v>
      </c>
      <c r="I340" s="68">
        <f>'THE BOARD'!I12</f>
        <v>0</v>
      </c>
      <c r="J340" s="68">
        <f>'THE BOARD'!Q12</f>
        <v>0</v>
      </c>
      <c r="K340" s="99">
        <f>'THE BOARD'!U12</f>
        <v>0</v>
      </c>
    </row>
    <row r="341" spans="1:11" ht="12.75" x14ac:dyDescent="0.2">
      <c r="A341" s="68" t="str">
        <f>'THE BOARD'!A13</f>
        <v>PAX</v>
      </c>
      <c r="B341" s="68" t="str">
        <f>'THE BOARD'!B13</f>
        <v>246-27</v>
      </c>
      <c r="C341" s="99">
        <f>IF('THE BOARD'!U13 = "NESTED","",IF('THE BOARD'!D13&lt;&gt;"",'THE BOARD'!D13+0.72,""))</f>
        <v>45324.72</v>
      </c>
      <c r="D341" s="99">
        <f>IF(C341&lt;&gt;"", IF('THE BOARD'!U13 = "NESTED","",'THE BOARD'!D13 + IF(C341&lt;&gt;"", 0.72,0)),"")</f>
        <v>45324.72</v>
      </c>
      <c r="E341" s="68">
        <f>'THE BOARD'!E13</f>
        <v>34</v>
      </c>
      <c r="F341" s="68">
        <f>'THE BOARD'!F13</f>
        <v>8</v>
      </c>
      <c r="G341" s="68">
        <f>'THE BOARD'!G13</f>
        <v>6</v>
      </c>
      <c r="H341" s="68">
        <f>'THE BOARD'!H13</f>
        <v>2</v>
      </c>
      <c r="I341" s="68">
        <f>'THE BOARD'!I13</f>
        <v>0</v>
      </c>
      <c r="J341" s="68">
        <f>'THE BOARD'!Q13</f>
        <v>0</v>
      </c>
      <c r="K341" s="99">
        <f>'THE BOARD'!U13</f>
        <v>0</v>
      </c>
    </row>
    <row r="342" spans="1:11" ht="12.75" x14ac:dyDescent="0.2">
      <c r="A342" s="68" t="str">
        <f>'THE BOARD'!A14</f>
        <v>PAX</v>
      </c>
      <c r="B342" s="68" t="str">
        <f>'THE BOARD'!B14</f>
        <v>246-88</v>
      </c>
      <c r="C342" s="99">
        <f>IF('THE BOARD'!U14 = "NESTED","",IF('THE BOARD'!D14&lt;&gt;"",'THE BOARD'!D14+0.72,""))</f>
        <v>45324.72</v>
      </c>
      <c r="D342" s="99">
        <f>IF(C342&lt;&gt;"", IF('THE BOARD'!U14 = "NESTED","",'THE BOARD'!D14 + IF(C342&lt;&gt;"", 0.72,0)),"")</f>
        <v>45324.72</v>
      </c>
      <c r="E342" s="68">
        <f>'THE BOARD'!E14</f>
        <v>8</v>
      </c>
      <c r="F342" s="68">
        <f>'THE BOARD'!F14</f>
        <v>10</v>
      </c>
      <c r="G342" s="68">
        <f>'THE BOARD'!G14</f>
        <v>10</v>
      </c>
      <c r="H342" s="68">
        <f>'THE BOARD'!H14</f>
        <v>0</v>
      </c>
      <c r="I342" s="68">
        <f>'THE BOARD'!I14</f>
        <v>0</v>
      </c>
      <c r="J342" s="68">
        <f>'THE BOARD'!Q14</f>
        <v>0</v>
      </c>
      <c r="K342" s="99">
        <f>'THE BOARD'!U14</f>
        <v>0</v>
      </c>
    </row>
    <row r="343" spans="1:11" ht="12.75" x14ac:dyDescent="0.2">
      <c r="A343" s="68" t="str">
        <f>'THE BOARD'!A15</f>
        <v>INDUSTRIAL</v>
      </c>
      <c r="B343" s="68" t="str">
        <f>'THE BOARD'!B15</f>
        <v>PO 19384, JOB 61214920</v>
      </c>
      <c r="C343" s="99">
        <f>IF('THE BOARD'!U15 = "NESTED","",IF('THE BOARD'!D15&lt;&gt;"",'THE BOARD'!D15+0.72,""))</f>
        <v>45324.72</v>
      </c>
      <c r="D343" s="99">
        <f>IF(C343&lt;&gt;"", IF('THE BOARD'!U15 = "NESTED","",'THE BOARD'!D15 + IF(C343&lt;&gt;"", 0.72,0)),"")</f>
        <v>45324.72</v>
      </c>
      <c r="E343" s="68">
        <f>'THE BOARD'!E15</f>
        <v>7</v>
      </c>
      <c r="F343" s="68">
        <f>'THE BOARD'!F15</f>
        <v>0</v>
      </c>
      <c r="G343" s="68">
        <f>'THE BOARD'!G15</f>
        <v>0</v>
      </c>
      <c r="H343" s="68">
        <f>'THE BOARD'!H15</f>
        <v>0</v>
      </c>
      <c r="I343" s="68">
        <f>'THE BOARD'!I15</f>
        <v>0</v>
      </c>
      <c r="J343" s="68">
        <f>'THE BOARD'!Q15</f>
        <v>0</v>
      </c>
      <c r="K343" s="99">
        <f>'THE BOARD'!U15</f>
        <v>0</v>
      </c>
    </row>
    <row r="344" spans="1:11" ht="12.75" x14ac:dyDescent="0.2">
      <c r="A344" s="68" t="str">
        <f>'THE BOARD'!A16</f>
        <v>PAX</v>
      </c>
      <c r="B344" s="68" t="str">
        <f>'THE BOARD'!B16</f>
        <v>246-186</v>
      </c>
      <c r="C344" s="99">
        <f>IF('THE BOARD'!U16 = "NESTED","",IF('THE BOARD'!D16&lt;&gt;"",'THE BOARD'!D16+0.72,""))</f>
        <v>45331.72</v>
      </c>
      <c r="D344" s="99">
        <f>IF(C344&lt;&gt;"", IF('THE BOARD'!U16 = "NESTED","",'THE BOARD'!D16 + IF(C344&lt;&gt;"", 0.72,0)),"")</f>
        <v>45331.72</v>
      </c>
      <c r="E344" s="68">
        <f>'THE BOARD'!E16</f>
        <v>24</v>
      </c>
      <c r="F344" s="68">
        <f>'THE BOARD'!F16</f>
        <v>0</v>
      </c>
      <c r="G344" s="68">
        <f>'THE BOARD'!G16</f>
        <v>0</v>
      </c>
      <c r="H344" s="68">
        <f>'THE BOARD'!H16</f>
        <v>7</v>
      </c>
      <c r="I344" s="68">
        <f>'THE BOARD'!I16</f>
        <v>0</v>
      </c>
      <c r="J344" s="68">
        <f>'THE BOARD'!Q16</f>
        <v>0</v>
      </c>
      <c r="K344" s="99">
        <f>'THE BOARD'!U16</f>
        <v>0</v>
      </c>
    </row>
    <row r="345" spans="1:11" ht="12.75" x14ac:dyDescent="0.2">
      <c r="A345" s="68" t="str">
        <f>'THE BOARD'!A17</f>
        <v>PAX</v>
      </c>
      <c r="B345" s="68" t="str">
        <f>'THE BOARD'!B17</f>
        <v>246-218</v>
      </c>
      <c r="C345" s="99">
        <f>IF('THE BOARD'!U17 = "NESTED","",IF('THE BOARD'!D17&lt;&gt;"",'THE BOARD'!D17+0.72,""))</f>
        <v>45331.72</v>
      </c>
      <c r="D345" s="99">
        <f>IF(C345&lt;&gt;"", IF('THE BOARD'!U17 = "NESTED","",'THE BOARD'!D17 + IF(C345&lt;&gt;"", 0.72,0)),"")</f>
        <v>45331.72</v>
      </c>
      <c r="E345" s="68">
        <f>'THE BOARD'!E17</f>
        <v>0</v>
      </c>
      <c r="F345" s="68">
        <f>'THE BOARD'!F17</f>
        <v>4</v>
      </c>
      <c r="G345" s="68">
        <f>'THE BOARD'!G17</f>
        <v>4</v>
      </c>
      <c r="H345" s="68">
        <f>'THE BOARD'!H17</f>
        <v>0</v>
      </c>
      <c r="I345" s="68">
        <f>'THE BOARD'!I17</f>
        <v>0</v>
      </c>
      <c r="J345" s="68">
        <f>'THE BOARD'!Q17</f>
        <v>0</v>
      </c>
      <c r="K345" s="99">
        <f>'THE BOARD'!U17</f>
        <v>0</v>
      </c>
    </row>
    <row r="346" spans="1:11" ht="12.75" x14ac:dyDescent="0.2">
      <c r="A346" s="68" t="str">
        <f>'THE BOARD'!A18</f>
        <v>PAX</v>
      </c>
      <c r="B346" s="68" t="str">
        <f>'THE BOARD'!B18</f>
        <v>246-79M</v>
      </c>
      <c r="C346" s="99">
        <f>IF('THE BOARD'!U18 = "NESTED","",IF('THE BOARD'!D18&lt;&gt;"",'THE BOARD'!D18+0.72,""))</f>
        <v>45331.72</v>
      </c>
      <c r="D346" s="99">
        <f>IF(C346&lt;&gt;"", IF('THE BOARD'!U18 = "NESTED","",'THE BOARD'!D18 + IF(C346&lt;&gt;"", 0.72,0)),"")</f>
        <v>45331.72</v>
      </c>
      <c r="E346" s="68">
        <f>'THE BOARD'!E18</f>
        <v>20</v>
      </c>
      <c r="F346" s="68">
        <f>'THE BOARD'!F18</f>
        <v>0</v>
      </c>
      <c r="G346" s="68">
        <f>'THE BOARD'!G18</f>
        <v>0</v>
      </c>
      <c r="H346" s="68">
        <f>'THE BOARD'!H18</f>
        <v>1</v>
      </c>
      <c r="I346" s="68">
        <f>'THE BOARD'!I18</f>
        <v>0</v>
      </c>
      <c r="J346" s="68">
        <f>'THE BOARD'!Q18</f>
        <v>0</v>
      </c>
      <c r="K346" s="99">
        <f>'THE BOARD'!U18</f>
        <v>0</v>
      </c>
    </row>
    <row r="347" spans="1:11" ht="12.75" x14ac:dyDescent="0.2">
      <c r="A347" s="68" t="str">
        <f>'THE BOARD'!A19</f>
        <v>SOUTHLAND</v>
      </c>
      <c r="B347" s="68" t="str">
        <f>'THE BOARD'!B19</f>
        <v>L216</v>
      </c>
      <c r="C347" s="99">
        <f>IF('THE BOARD'!U19 = "NESTED","",IF('THE BOARD'!D19&lt;&gt;"",'THE BOARD'!D19+0.72,""))</f>
        <v>45331.72</v>
      </c>
      <c r="D347" s="99">
        <f>IF(C347&lt;&gt;"", IF('THE BOARD'!U19 = "NESTED","",'THE BOARD'!D19 + IF(C347&lt;&gt;"", 0.72,0)),"")</f>
        <v>45331.72</v>
      </c>
      <c r="E347" s="68">
        <f>'THE BOARD'!E19</f>
        <v>37</v>
      </c>
      <c r="F347" s="68">
        <f>'THE BOARD'!F19</f>
        <v>8</v>
      </c>
      <c r="G347" s="68">
        <f>'THE BOARD'!G19</f>
        <v>8</v>
      </c>
      <c r="H347" s="68">
        <f>'THE BOARD'!H19</f>
        <v>3</v>
      </c>
      <c r="I347" s="68">
        <f>'THE BOARD'!I19</f>
        <v>0</v>
      </c>
      <c r="J347" s="68">
        <f>'THE BOARD'!Q19</f>
        <v>0</v>
      </c>
      <c r="K347" s="99">
        <f>'THE BOARD'!U19</f>
        <v>0</v>
      </c>
    </row>
    <row r="348" spans="1:11" ht="12.75" x14ac:dyDescent="0.2">
      <c r="A348" s="68" t="str">
        <f>'THE BOARD'!A20</f>
        <v>SOUTHLAND</v>
      </c>
      <c r="B348" s="68" t="str">
        <f>'THE BOARD'!B20</f>
        <v>L217</v>
      </c>
      <c r="C348" s="99">
        <f>IF('THE BOARD'!U20 = "NESTED","",IF('THE BOARD'!D20&lt;&gt;"",'THE BOARD'!D20+0.72,""))</f>
        <v>45331.72</v>
      </c>
      <c r="D348" s="99">
        <f>IF(C348&lt;&gt;"", IF('THE BOARD'!U20 = "NESTED","",'THE BOARD'!D20 + IF(C348&lt;&gt;"", 0.72,0)),"")</f>
        <v>45331.72</v>
      </c>
      <c r="E348" s="68">
        <f>'THE BOARD'!E20</f>
        <v>35</v>
      </c>
      <c r="F348" s="68">
        <f>'THE BOARD'!F20</f>
        <v>8</v>
      </c>
      <c r="G348" s="68">
        <f>'THE BOARD'!G20</f>
        <v>8</v>
      </c>
      <c r="H348" s="68">
        <f>'THE BOARD'!H20</f>
        <v>3</v>
      </c>
      <c r="I348" s="68">
        <f>'THE BOARD'!I20</f>
        <v>0</v>
      </c>
      <c r="J348" s="68">
        <f>'THE BOARD'!Q20</f>
        <v>0</v>
      </c>
      <c r="K348" s="99">
        <f>'THE BOARD'!U20</f>
        <v>0</v>
      </c>
    </row>
    <row r="349" spans="1:11" ht="12.75" x14ac:dyDescent="0.2">
      <c r="A349" s="68" t="str">
        <f>'THE BOARD'!A21</f>
        <v>PAX</v>
      </c>
      <c r="B349" s="68" t="str">
        <f>'THE BOARD'!B21</f>
        <v>246-179</v>
      </c>
      <c r="C349" s="99">
        <f>IF('THE BOARD'!U21 = "NESTED","",IF('THE BOARD'!D21&lt;&gt;"",'THE BOARD'!D21+0.72,""))</f>
        <v>45331.72</v>
      </c>
      <c r="D349" s="99">
        <f>IF(C349&lt;&gt;"", IF('THE BOARD'!U21 = "NESTED","",'THE BOARD'!D21 + IF(C349&lt;&gt;"", 0.72,0)),"")</f>
        <v>45331.72</v>
      </c>
      <c r="E349" s="68">
        <f>'THE BOARD'!E21</f>
        <v>2</v>
      </c>
      <c r="F349" s="68">
        <f>'THE BOARD'!F21</f>
        <v>2</v>
      </c>
      <c r="G349" s="68">
        <f>'THE BOARD'!G21</f>
        <v>2</v>
      </c>
      <c r="H349" s="68">
        <f>'THE BOARD'!H21</f>
        <v>0</v>
      </c>
      <c r="I349" s="68">
        <f>'THE BOARD'!I21</f>
        <v>0</v>
      </c>
      <c r="J349" s="68">
        <f>'THE BOARD'!Q21</f>
        <v>0</v>
      </c>
      <c r="K349" s="99">
        <f>'THE BOARD'!U21</f>
        <v>0</v>
      </c>
    </row>
    <row r="350" spans="1:11" ht="12.75" x14ac:dyDescent="0.2">
      <c r="A350" s="68" t="str">
        <f>'THE BOARD'!A23</f>
        <v>PAX</v>
      </c>
      <c r="B350" s="68" t="str">
        <f>'THE BOARD'!B23</f>
        <v>246-96</v>
      </c>
      <c r="C350" s="99">
        <f>IF('THE BOARD'!U23 = "NESTED","",IF('THE BOARD'!D23&lt;&gt;"",'THE BOARD'!D23+0.72,""))</f>
        <v>45331.72</v>
      </c>
      <c r="D350" s="99">
        <f>IF(C350&lt;&gt;"", IF('THE BOARD'!U23 = "NESTED","",'THE BOARD'!D23 + IF(C350&lt;&gt;"", 0.72,0)),"")</f>
        <v>45331.72</v>
      </c>
      <c r="E350" s="68">
        <f>'THE BOARD'!E23</f>
        <v>20</v>
      </c>
      <c r="F350" s="68">
        <f>'THE BOARD'!F23</f>
        <v>6</v>
      </c>
      <c r="G350" s="68">
        <f>'THE BOARD'!G23</f>
        <v>8</v>
      </c>
      <c r="H350" s="68">
        <f>'THE BOARD'!H23</f>
        <v>2</v>
      </c>
      <c r="I350" s="68">
        <f>'THE BOARD'!I23</f>
        <v>0</v>
      </c>
      <c r="J350" s="68">
        <f>'THE BOARD'!Q23</f>
        <v>0</v>
      </c>
      <c r="K350" s="99">
        <f>'THE BOARD'!U23</f>
        <v>0</v>
      </c>
    </row>
    <row r="351" spans="1:11" ht="12.75" x14ac:dyDescent="0.2">
      <c r="A351" s="68" t="str">
        <f>'THE BOARD'!A24</f>
        <v>PAX</v>
      </c>
      <c r="B351" s="68" t="str">
        <f>'THE BOARD'!B24</f>
        <v>246-81</v>
      </c>
      <c r="C351" s="99">
        <f>IF('THE BOARD'!U24 = "NESTED","",IF('THE BOARD'!D24&lt;&gt;"",'THE BOARD'!D24+0.72,""))</f>
        <v>45331.72</v>
      </c>
      <c r="D351" s="99">
        <f>IF(C351&lt;&gt;"", IF('THE BOARD'!U24 = "NESTED","",'THE BOARD'!D24 + IF(C351&lt;&gt;"", 0.72,0)),"")</f>
        <v>45331.72</v>
      </c>
      <c r="E351" s="68">
        <f>'THE BOARD'!E24</f>
        <v>20</v>
      </c>
      <c r="F351" s="68">
        <f>'THE BOARD'!F24</f>
        <v>6</v>
      </c>
      <c r="G351" s="68">
        <f>'THE BOARD'!G24</f>
        <v>6</v>
      </c>
      <c r="H351" s="68">
        <f>'THE BOARD'!H24</f>
        <v>2</v>
      </c>
      <c r="I351" s="68">
        <f>'THE BOARD'!I24</f>
        <v>2</v>
      </c>
      <c r="J351" s="68">
        <f>'THE BOARD'!Q24</f>
        <v>0</v>
      </c>
      <c r="K351" s="99">
        <f>'THE BOARD'!U24</f>
        <v>0</v>
      </c>
    </row>
    <row r="352" spans="1:11" ht="12.75" x14ac:dyDescent="0.2">
      <c r="A352" s="68" t="str">
        <f>'THE BOARD'!A25</f>
        <v>PAX</v>
      </c>
      <c r="B352" s="68" t="str">
        <f>'THE BOARD'!B25</f>
        <v>246-118</v>
      </c>
      <c r="C352" s="99">
        <f>IF('THE BOARD'!U25 = "NESTED","",IF('THE BOARD'!D25&lt;&gt;"",'THE BOARD'!D25+0.72,""))</f>
        <v>45331.72</v>
      </c>
      <c r="D352" s="99">
        <f>IF(C352&lt;&gt;"", IF('THE BOARD'!U25 = "NESTED","",'THE BOARD'!D25 + IF(C352&lt;&gt;"", 0.72,0)),"")</f>
        <v>45331.72</v>
      </c>
      <c r="E352" s="68">
        <f>'THE BOARD'!E25</f>
        <v>30</v>
      </c>
      <c r="F352" s="68">
        <f>'THE BOARD'!F25</f>
        <v>8</v>
      </c>
      <c r="G352" s="68">
        <f>'THE BOARD'!G25</f>
        <v>8</v>
      </c>
      <c r="H352" s="68">
        <f>'THE BOARD'!H25</f>
        <v>2</v>
      </c>
      <c r="I352" s="68">
        <f>'THE BOARD'!I25</f>
        <v>0</v>
      </c>
      <c r="J352" s="68">
        <f>'THE BOARD'!Q25</f>
        <v>0</v>
      </c>
      <c r="K352" s="99">
        <f>'THE BOARD'!U25</f>
        <v>0</v>
      </c>
    </row>
    <row r="353" spans="1:11" ht="12.75" x14ac:dyDescent="0.2">
      <c r="A353" s="68" t="str">
        <f>'THE BOARD'!A26</f>
        <v>PAX</v>
      </c>
      <c r="B353" s="68" t="str">
        <f>'THE BOARD'!B26</f>
        <v>274M</v>
      </c>
      <c r="C353" s="99">
        <f>IF('THE BOARD'!U26 = "NESTED","",IF('THE BOARD'!D26&lt;&gt;"",'THE BOARD'!D26+0.72,""))</f>
        <v>45331.72</v>
      </c>
      <c r="D353" s="99">
        <f>IF(C353&lt;&gt;"", IF('THE BOARD'!U26 = "NESTED","",'THE BOARD'!D26 + IF(C353&lt;&gt;"", 0.72,0)),"")</f>
        <v>45331.72</v>
      </c>
      <c r="E353" s="68">
        <f>'THE BOARD'!E26</f>
        <v>13</v>
      </c>
      <c r="F353" s="68">
        <f>'THE BOARD'!F26</f>
        <v>0</v>
      </c>
      <c r="G353" s="68">
        <f>'THE BOARD'!G26</f>
        <v>0</v>
      </c>
      <c r="H353" s="68">
        <f>'THE BOARD'!H26</f>
        <v>1</v>
      </c>
      <c r="I353" s="68">
        <f>'THE BOARD'!I26</f>
        <v>4</v>
      </c>
      <c r="J353" s="68">
        <f>'THE BOARD'!Q26</f>
        <v>0</v>
      </c>
      <c r="K353" s="99">
        <f>'THE BOARD'!U26</f>
        <v>0</v>
      </c>
    </row>
    <row r="354" spans="1:11" ht="12.75" x14ac:dyDescent="0.2">
      <c r="A354" s="68" t="str">
        <f>'THE BOARD'!A27</f>
        <v>TURNER</v>
      </c>
      <c r="B354" s="68" t="str">
        <f>'THE BOARD'!B27</f>
        <v>GULCH</v>
      </c>
      <c r="C354" s="99">
        <f>IF('THE BOARD'!U27 = "NESTED","",IF('THE BOARD'!D27&lt;&gt;"",'THE BOARD'!D27+0.72,""))</f>
        <v>45331.72</v>
      </c>
      <c r="D354" s="99">
        <f>IF(C354&lt;&gt;"", IF('THE BOARD'!U27 = "NESTED","",'THE BOARD'!D27 + IF(C354&lt;&gt;"", 0.72,0)),"")</f>
        <v>45331.72</v>
      </c>
      <c r="E354" s="68">
        <f>'THE BOARD'!E27</f>
        <v>0</v>
      </c>
      <c r="F354" s="68">
        <f>'THE BOARD'!F27</f>
        <v>5</v>
      </c>
      <c r="G354" s="68">
        <f>'THE BOARD'!G27</f>
        <v>0</v>
      </c>
      <c r="H354" s="68">
        <f>'THE BOARD'!H27</f>
        <v>0</v>
      </c>
      <c r="I354" s="68">
        <f>'THE BOARD'!I27</f>
        <v>0</v>
      </c>
      <c r="J354" s="68">
        <f>'THE BOARD'!Q27</f>
        <v>0</v>
      </c>
      <c r="K354" s="99">
        <f>'THE BOARD'!U27</f>
        <v>0</v>
      </c>
    </row>
    <row r="355" spans="1:11" ht="12.75" x14ac:dyDescent="0.2">
      <c r="A355" s="68" t="str">
        <f>'THE BOARD'!A28</f>
        <v>SOUTHLAND</v>
      </c>
      <c r="B355" s="68" t="str">
        <f>'THE BOARD'!B28</f>
        <v>L205</v>
      </c>
      <c r="C355" s="99">
        <f>IF('THE BOARD'!U28 = "NESTED","",IF('THE BOARD'!D28&lt;&gt;"",'THE BOARD'!D28+0.72,""))</f>
        <v>45338.720000000001</v>
      </c>
      <c r="D355" s="99">
        <f>IF(C355&lt;&gt;"", IF('THE BOARD'!U28 = "NESTED","",'THE BOARD'!D28 + IF(C355&lt;&gt;"", 0.72,0)),"")</f>
        <v>45338.720000000001</v>
      </c>
      <c r="E355" s="68">
        <f>'THE BOARD'!E28</f>
        <v>16</v>
      </c>
      <c r="F355" s="68" t="str">
        <f>'THE BOARD'!F28</f>
        <v xml:space="preserve"> </v>
      </c>
      <c r="G355" s="68">
        <f>'THE BOARD'!G28</f>
        <v>0</v>
      </c>
      <c r="H355" s="68">
        <f>'THE BOARD'!H28</f>
        <v>2</v>
      </c>
      <c r="I355" s="68">
        <f>'THE BOARD'!I28</f>
        <v>0</v>
      </c>
      <c r="J355" s="68">
        <f>'THE BOARD'!Q28</f>
        <v>0</v>
      </c>
      <c r="K355" s="99">
        <f>'THE BOARD'!U28</f>
        <v>0</v>
      </c>
    </row>
    <row r="356" spans="1:11" ht="12.75" x14ac:dyDescent="0.2">
      <c r="A356" s="68" t="str">
        <f>'THE BOARD'!A29</f>
        <v>SOUTHLAND</v>
      </c>
      <c r="B356" s="68" t="str">
        <f>'THE BOARD'!B29</f>
        <v>L219</v>
      </c>
      <c r="C356" s="99">
        <f>IF('THE BOARD'!U29 = "NESTED","",IF('THE BOARD'!D29&lt;&gt;"",'THE BOARD'!D29+0.72,""))</f>
        <v>45338.720000000001</v>
      </c>
      <c r="D356" s="99">
        <f>IF(C356&lt;&gt;"", IF('THE BOARD'!U29 = "NESTED","",'THE BOARD'!D29 + IF(C356&lt;&gt;"", 0.72,0)),"")</f>
        <v>45338.720000000001</v>
      </c>
      <c r="E356" s="68">
        <f>'THE BOARD'!E29</f>
        <v>35</v>
      </c>
      <c r="F356" s="68">
        <f>'THE BOARD'!F29</f>
        <v>8</v>
      </c>
      <c r="G356" s="68">
        <f>'THE BOARD'!G29</f>
        <v>8</v>
      </c>
      <c r="H356" s="68">
        <f>'THE BOARD'!H29</f>
        <v>3</v>
      </c>
      <c r="I356" s="68">
        <f>'THE BOARD'!I29</f>
        <v>0</v>
      </c>
      <c r="J356" s="68">
        <f>'THE BOARD'!Q29</f>
        <v>0</v>
      </c>
      <c r="K356" s="99">
        <f>'THE BOARD'!U29</f>
        <v>0</v>
      </c>
    </row>
    <row r="357" spans="1:11" ht="12.75" x14ac:dyDescent="0.2">
      <c r="A357" s="68" t="str">
        <f>'THE BOARD'!A30</f>
        <v>STRUCTURAL STEEL</v>
      </c>
      <c r="B357" s="68" t="str">
        <f>'THE BOARD'!B30</f>
        <v>3233G LADDERS PO F21742</v>
      </c>
      <c r="C357" s="99">
        <f>IF('THE BOARD'!U30 = "NESTED","",IF('THE BOARD'!D30&lt;&gt;"",'THE BOARD'!D30+0.72,""))</f>
        <v>45338.720000000001</v>
      </c>
      <c r="D357" s="99">
        <f>IF(C357&lt;&gt;"", IF('THE BOARD'!U30 = "NESTED","",'THE BOARD'!D30 + IF(C357&lt;&gt;"", 0.72,0)),"")</f>
        <v>45338.720000000001</v>
      </c>
      <c r="E357" s="68" t="str">
        <f>'THE BOARD'!E30</f>
        <v xml:space="preserve"> </v>
      </c>
      <c r="F357" s="68" t="str">
        <f>'THE BOARD'!F30</f>
        <v xml:space="preserve"> </v>
      </c>
      <c r="G357" s="68" t="str">
        <f>'THE BOARD'!G30</f>
        <v xml:space="preserve"> </v>
      </c>
      <c r="H357" s="68" t="str">
        <f>'THE BOARD'!H30</f>
        <v xml:space="preserve"> </v>
      </c>
      <c r="I357" s="68">
        <f>'THE BOARD'!I30</f>
        <v>12</v>
      </c>
      <c r="J357" s="68">
        <f>'THE BOARD'!Q30</f>
        <v>0</v>
      </c>
      <c r="K357" s="99">
        <f>'THE BOARD'!U30</f>
        <v>0</v>
      </c>
    </row>
    <row r="358" spans="1:11" ht="12.75" x14ac:dyDescent="0.2">
      <c r="A358" s="68" t="str">
        <f>'THE BOARD'!A32</f>
        <v>SOUTHLAND</v>
      </c>
      <c r="B358" s="68" t="str">
        <f>'THE BOARD'!B32</f>
        <v>L220</v>
      </c>
      <c r="C358" s="99">
        <f>IF('THE BOARD'!U32 = "NESTED","",IF('THE BOARD'!D32&lt;&gt;"",'THE BOARD'!D32+0.72,""))</f>
        <v>45338.720000000001</v>
      </c>
      <c r="D358" s="99">
        <f>IF(C358&lt;&gt;"", IF('THE BOARD'!U32 = "NESTED","",'THE BOARD'!D32 + IF(C358&lt;&gt;"", 0.72,0)),"")</f>
        <v>45338.720000000001</v>
      </c>
      <c r="E358" s="68">
        <f>'THE BOARD'!E32</f>
        <v>37</v>
      </c>
      <c r="F358" s="68">
        <f>'THE BOARD'!F32</f>
        <v>8</v>
      </c>
      <c r="G358" s="68">
        <f>'THE BOARD'!G32</f>
        <v>8</v>
      </c>
      <c r="H358" s="68">
        <f>'THE BOARD'!H32</f>
        <v>3</v>
      </c>
      <c r="I358" s="68">
        <f>'THE BOARD'!I32</f>
        <v>0</v>
      </c>
      <c r="J358" s="68">
        <f>'THE BOARD'!Q32</f>
        <v>0</v>
      </c>
      <c r="K358" s="99">
        <f>'THE BOARD'!U32</f>
        <v>0</v>
      </c>
    </row>
    <row r="359" spans="1:11" ht="12.75" x14ac:dyDescent="0.2">
      <c r="A359" s="68" t="str">
        <f>'THE BOARD'!A33</f>
        <v>SOUTHLAND</v>
      </c>
      <c r="B359" s="68" t="str">
        <f>'THE BOARD'!B33</f>
        <v>L221</v>
      </c>
      <c r="C359" s="99">
        <f>IF('THE BOARD'!U33 = "NESTED","",IF('THE BOARD'!D33&lt;&gt;"",'THE BOARD'!D33+0.72,""))</f>
        <v>45338.720000000001</v>
      </c>
      <c r="D359" s="99">
        <f>IF(C359&lt;&gt;"", IF('THE BOARD'!U33 = "NESTED","",'THE BOARD'!D33 + IF(C359&lt;&gt;"", 0.72,0)),"")</f>
        <v>45338.720000000001</v>
      </c>
      <c r="E359" s="68">
        <f>'THE BOARD'!E33</f>
        <v>33</v>
      </c>
      <c r="F359" s="68">
        <f>'THE BOARD'!F33</f>
        <v>8</v>
      </c>
      <c r="G359" s="68">
        <f>'THE BOARD'!G33</f>
        <v>8</v>
      </c>
      <c r="H359" s="68">
        <f>'THE BOARD'!H33</f>
        <v>3</v>
      </c>
      <c r="I359" s="68">
        <f>'THE BOARD'!I33</f>
        <v>0</v>
      </c>
      <c r="J359" s="68">
        <f>'THE BOARD'!Q33</f>
        <v>0</v>
      </c>
      <c r="K359" s="99">
        <f>'THE BOARD'!U33</f>
        <v>0</v>
      </c>
    </row>
    <row r="360" spans="1:11" ht="12.75" x14ac:dyDescent="0.2">
      <c r="A360" s="68" t="str">
        <f>'THE BOARD'!A34</f>
        <v>PICOU FRADELLA</v>
      </c>
      <c r="B360" s="68">
        <f>'THE BOARD'!B34</f>
        <v>0</v>
      </c>
      <c r="C360" s="99">
        <f>IF('THE BOARD'!U34 = "NESTED","",IF('THE BOARD'!D34&lt;&gt;"",'THE BOARD'!D34+0.72,""))</f>
        <v>45341.72</v>
      </c>
      <c r="D360" s="99">
        <f>IF(C360&lt;&gt;"", IF('THE BOARD'!U34 = "NESTED","",'THE BOARD'!D34 + IF(C360&lt;&gt;"", 0.72,0)),"")</f>
        <v>45341.72</v>
      </c>
      <c r="E360" s="68">
        <f>'THE BOARD'!E34</f>
        <v>0</v>
      </c>
      <c r="F360" s="68">
        <f>'THE BOARD'!F34</f>
        <v>0</v>
      </c>
      <c r="G360" s="68">
        <f>'THE BOARD'!G34</f>
        <v>0</v>
      </c>
      <c r="H360" s="68">
        <f>'THE BOARD'!H34</f>
        <v>0</v>
      </c>
      <c r="I360" s="68">
        <f>'THE BOARD'!I34</f>
        <v>0</v>
      </c>
      <c r="J360" s="68">
        <f>'THE BOARD'!Q34</f>
        <v>0</v>
      </c>
      <c r="K360" s="99">
        <f>'THE BOARD'!U34</f>
        <v>0</v>
      </c>
    </row>
    <row r="361" spans="1:11" ht="12.75" x14ac:dyDescent="0.2">
      <c r="A361" s="68" t="str">
        <f>'THE BOARD'!A35</f>
        <v>PAX</v>
      </c>
      <c r="B361" s="68" t="str">
        <f>'THE BOARD'!B35</f>
        <v>266-4CM</v>
      </c>
      <c r="C361" s="99">
        <f>IF('THE BOARD'!U35 = "NESTED","",IF('THE BOARD'!D35&lt;&gt;"",'THE BOARD'!D35+0.72,""))</f>
        <v>45345.72</v>
      </c>
      <c r="D361" s="99">
        <f>IF(C361&lt;&gt;"", IF('THE BOARD'!U35 = "NESTED","",'THE BOARD'!D35 + IF(C361&lt;&gt;"", 0.72,0)),"")</f>
        <v>45345.72</v>
      </c>
      <c r="E361" s="68">
        <f>'THE BOARD'!E35</f>
        <v>333</v>
      </c>
      <c r="F361" s="68">
        <f>'THE BOARD'!F35</f>
        <v>12</v>
      </c>
      <c r="G361" s="68">
        <f>'THE BOARD'!G35</f>
        <v>12</v>
      </c>
      <c r="H361" s="68">
        <f>'THE BOARD'!H35</f>
        <v>17</v>
      </c>
      <c r="I361" s="68">
        <f>'THE BOARD'!I35</f>
        <v>6</v>
      </c>
      <c r="J361" s="68">
        <f>'THE BOARD'!Q35</f>
        <v>0</v>
      </c>
      <c r="K361" s="99">
        <f>'THE BOARD'!U35</f>
        <v>0</v>
      </c>
    </row>
    <row r="362" spans="1:11" ht="12.75" x14ac:dyDescent="0.2">
      <c r="A362" s="68" t="str">
        <f>'THE BOARD'!A36</f>
        <v>PAX</v>
      </c>
      <c r="B362" s="68" t="str">
        <f>'THE BOARD'!B36</f>
        <v>246-199M</v>
      </c>
      <c r="C362" s="99">
        <f>IF('THE BOARD'!U36 = "NESTED","",IF('THE BOARD'!D36&lt;&gt;"",'THE BOARD'!D36+0.72,""))</f>
        <v>45352.72</v>
      </c>
      <c r="D362" s="99">
        <f>IF(C362&lt;&gt;"", IF('THE BOARD'!U36 = "NESTED","",'THE BOARD'!D36 + IF(C362&lt;&gt;"", 0.72,0)),"")</f>
        <v>45352.72</v>
      </c>
      <c r="E362" s="68">
        <f>'THE BOARD'!E36</f>
        <v>6</v>
      </c>
      <c r="F362" s="68">
        <f>'THE BOARD'!F36</f>
        <v>0</v>
      </c>
      <c r="G362" s="68">
        <f>'THE BOARD'!G36</f>
        <v>0</v>
      </c>
      <c r="H362" s="68">
        <f>'THE BOARD'!H36</f>
        <v>1</v>
      </c>
      <c r="I362" s="68">
        <f>'THE BOARD'!I36</f>
        <v>0</v>
      </c>
      <c r="J362" s="68">
        <f>'THE BOARD'!Q36</f>
        <v>0</v>
      </c>
      <c r="K362" s="99">
        <f>'THE BOARD'!U36</f>
        <v>0</v>
      </c>
    </row>
    <row r="363" spans="1:11" ht="12.75" x14ac:dyDescent="0.2">
      <c r="A363" s="68" t="str">
        <f>'THE BOARD'!A37</f>
        <v>EST</v>
      </c>
      <c r="B363" s="68" t="str">
        <f>'THE BOARD'!B37</f>
        <v>PEABODY 6</v>
      </c>
      <c r="C363" s="99">
        <f>IF('THE BOARD'!U37 = "NESTED","",IF('THE BOARD'!D37&lt;&gt;"",'THE BOARD'!D37+0.72,""))</f>
        <v>45352.72</v>
      </c>
      <c r="D363" s="99">
        <f>IF(C363&lt;&gt;"", IF('THE BOARD'!U37 = "NESTED","",'THE BOARD'!D37 + IF(C363&lt;&gt;"", 0.72,0)),"")</f>
        <v>45352.72</v>
      </c>
      <c r="E363" s="68">
        <f>'THE BOARD'!E37</f>
        <v>0</v>
      </c>
      <c r="F363" s="68">
        <f>'THE BOARD'!F37</f>
        <v>47</v>
      </c>
      <c r="G363" s="68">
        <f>'THE BOARD'!G37</f>
        <v>0</v>
      </c>
      <c r="H363" s="68">
        <f>'THE BOARD'!H37</f>
        <v>0</v>
      </c>
      <c r="I363" s="68">
        <f>'THE BOARD'!I37</f>
        <v>0</v>
      </c>
      <c r="J363" s="68">
        <f>'THE BOARD'!Q37</f>
        <v>0</v>
      </c>
      <c r="K363" s="99">
        <f>'THE BOARD'!U37</f>
        <v>0</v>
      </c>
    </row>
    <row r="364" spans="1:11" ht="12.75" x14ac:dyDescent="0.2">
      <c r="A364" s="68" t="str">
        <f>'THE BOARD'!A38</f>
        <v>PAX</v>
      </c>
      <c r="B364" s="68" t="str">
        <f>'THE BOARD'!B38</f>
        <v>246-4CM</v>
      </c>
      <c r="C364" s="99">
        <f>IF('THE BOARD'!U38 = "NESTED","",IF('THE BOARD'!D38&lt;&gt;"",'THE BOARD'!D38+0.72,""))</f>
        <v>45352.72</v>
      </c>
      <c r="D364" s="99">
        <f>IF(C364&lt;&gt;"", IF('THE BOARD'!U38 = "NESTED","",'THE BOARD'!D38 + IF(C364&lt;&gt;"", 0.72,0)),"")</f>
        <v>45352.72</v>
      </c>
      <c r="E364" s="68">
        <f>'THE BOARD'!E38</f>
        <v>30</v>
      </c>
      <c r="F364" s="68">
        <f>'THE BOARD'!F38</f>
        <v>8</v>
      </c>
      <c r="G364" s="68">
        <f>'THE BOARD'!G38</f>
        <v>8</v>
      </c>
      <c r="H364" s="68">
        <f>'THE BOARD'!H38</f>
        <v>2</v>
      </c>
      <c r="I364" s="68" t="str">
        <f>'THE BOARD'!I38</f>
        <v xml:space="preserve"> </v>
      </c>
      <c r="J364" s="68">
        <f>'THE BOARD'!Q38</f>
        <v>0</v>
      </c>
      <c r="K364" s="99">
        <f>'THE BOARD'!U38</f>
        <v>0</v>
      </c>
    </row>
    <row r="365" spans="1:11" ht="12.75" x14ac:dyDescent="0.2">
      <c r="A365" s="68" t="str">
        <f>'THE BOARD'!A39</f>
        <v>PAX</v>
      </c>
      <c r="B365" s="68" t="str">
        <f>'THE BOARD'!B39</f>
        <v>246-4DM</v>
      </c>
      <c r="C365" s="99">
        <f>IF('THE BOARD'!U39 = "NESTED","",IF('THE BOARD'!D39&lt;&gt;"",'THE BOARD'!D39+0.72,""))</f>
        <v>45352.72</v>
      </c>
      <c r="D365" s="99">
        <f>IF(C365&lt;&gt;"", IF('THE BOARD'!U39 = "NESTED","",'THE BOARD'!D39 + IF(C365&lt;&gt;"", 0.72,0)),"")</f>
        <v>45352.72</v>
      </c>
      <c r="E365" s="68">
        <f>'THE BOARD'!E39</f>
        <v>30</v>
      </c>
      <c r="F365" s="68">
        <f>'THE BOARD'!F39</f>
        <v>8</v>
      </c>
      <c r="G365" s="68">
        <f>'THE BOARD'!G39</f>
        <v>8</v>
      </c>
      <c r="H365" s="68">
        <f>'THE BOARD'!H39</f>
        <v>2</v>
      </c>
      <c r="I365" s="68" t="str">
        <f>'THE BOARD'!I39</f>
        <v xml:space="preserve"> </v>
      </c>
      <c r="J365" s="68">
        <f>'THE BOARD'!Q39</f>
        <v>0</v>
      </c>
      <c r="K365" s="99">
        <f>'THE BOARD'!U39</f>
        <v>0</v>
      </c>
    </row>
    <row r="366" spans="1:11" ht="12.75" x14ac:dyDescent="0.2">
      <c r="A366" s="68" t="str">
        <f>'THE BOARD'!A40</f>
        <v>PAX</v>
      </c>
      <c r="B366" s="68" t="str">
        <f>'THE BOARD'!B40</f>
        <v>246-6CM</v>
      </c>
      <c r="C366" s="99">
        <f>IF('THE BOARD'!U40 = "NESTED","",IF('THE BOARD'!D40&lt;&gt;"",'THE BOARD'!D40+0.72,""))</f>
        <v>45352.72</v>
      </c>
      <c r="D366" s="99">
        <f>IF(C366&lt;&gt;"", IF('THE BOARD'!U40 = "NESTED","",'THE BOARD'!D40 + IF(C366&lt;&gt;"", 0.72,0)),"")</f>
        <v>45352.72</v>
      </c>
      <c r="E366" s="68">
        <f>'THE BOARD'!E40</f>
        <v>6</v>
      </c>
      <c r="F366" s="68">
        <f>'THE BOARD'!F40</f>
        <v>0</v>
      </c>
      <c r="G366" s="68">
        <f>'THE BOARD'!G40</f>
        <v>0</v>
      </c>
      <c r="H366" s="68">
        <f>'THE BOARD'!H40</f>
        <v>1</v>
      </c>
      <c r="I366" s="68">
        <f>'THE BOARD'!I40</f>
        <v>0</v>
      </c>
      <c r="J366" s="68">
        <f>'THE BOARD'!Q40</f>
        <v>0</v>
      </c>
      <c r="K366" s="99">
        <f>'THE BOARD'!U40</f>
        <v>0</v>
      </c>
    </row>
    <row r="367" spans="1:11" ht="12.75" x14ac:dyDescent="0.2">
      <c r="A367" s="68" t="str">
        <f>'THE BOARD'!A41</f>
        <v>PAX</v>
      </c>
      <c r="B367" s="68" t="str">
        <f>'THE BOARD'!B41</f>
        <v>246-6DM</v>
      </c>
      <c r="C367" s="99">
        <f>IF('THE BOARD'!U41 = "NESTED","",IF('THE BOARD'!D41&lt;&gt;"",'THE BOARD'!D41+0.72,""))</f>
        <v>45352.72</v>
      </c>
      <c r="D367" s="99">
        <f>IF(C367&lt;&gt;"", IF('THE BOARD'!U41 = "NESTED","",'THE BOARD'!D41 + IF(C367&lt;&gt;"", 0.72,0)),"")</f>
        <v>45352.72</v>
      </c>
      <c r="E367" s="68">
        <f>'THE BOARD'!E41</f>
        <v>6</v>
      </c>
      <c r="F367" s="68">
        <f>'THE BOARD'!F41</f>
        <v>0</v>
      </c>
      <c r="G367" s="68">
        <f>'THE BOARD'!G41</f>
        <v>0</v>
      </c>
      <c r="H367" s="68">
        <f>'THE BOARD'!H41</f>
        <v>1</v>
      </c>
      <c r="I367" s="68">
        <f>'THE BOARD'!I41</f>
        <v>0</v>
      </c>
      <c r="J367" s="68">
        <f>'THE BOARD'!Q41</f>
        <v>0</v>
      </c>
      <c r="K367" s="99">
        <f>'THE BOARD'!U41</f>
        <v>0</v>
      </c>
    </row>
    <row r="368" spans="1:11" ht="12.75" x14ac:dyDescent="0.2">
      <c r="A368" s="68">
        <f>'THE BOARD'!A121</f>
        <v>0</v>
      </c>
      <c r="B368" s="68">
        <f>'THE BOARD'!B121</f>
        <v>0</v>
      </c>
      <c r="C368" s="99" t="str">
        <f>IF('THE BOARD'!U127 = "NESTED","",IF('THE BOARD'!D121&lt;&gt;"",'THE BOARD'!D121+0.72,""))</f>
        <v/>
      </c>
      <c r="D368" s="99" t="str">
        <f>IF(C368&lt;&gt;"", IF('THE BOARD'!U127 = "NESTED","",'THE BOARD'!D121 + IF(C368&lt;&gt;"", 0.72,0)),"")</f>
        <v/>
      </c>
      <c r="E368" s="68">
        <f>'THE BOARD'!E121</f>
        <v>0</v>
      </c>
      <c r="F368" s="68">
        <f>'THE BOARD'!F121</f>
        <v>0</v>
      </c>
      <c r="G368" s="68">
        <f>'THE BOARD'!G121</f>
        <v>0</v>
      </c>
      <c r="H368" s="68">
        <f>'THE BOARD'!H121</f>
        <v>0</v>
      </c>
      <c r="I368" s="68">
        <f>'THE BOARD'!I121</f>
        <v>0</v>
      </c>
      <c r="J368" s="68">
        <f>'THE BOARD'!Q128</f>
        <v>0</v>
      </c>
      <c r="K368" s="99">
        <f>'THE BOARD'!U127</f>
        <v>0</v>
      </c>
    </row>
    <row r="369" spans="1:11" ht="12.75" x14ac:dyDescent="0.2">
      <c r="A369" s="68">
        <f>'THE BOARD'!A122</f>
        <v>0</v>
      </c>
      <c r="B369" s="68">
        <f>'THE BOARD'!B122</f>
        <v>0</v>
      </c>
      <c r="C369" s="99" t="str">
        <f>IF('THE BOARD'!U128 = "NESTED","",IF('THE BOARD'!D122&lt;&gt;"",'THE BOARD'!D122+0.72,""))</f>
        <v/>
      </c>
      <c r="D369" s="99" t="str">
        <f>IF(C369&lt;&gt;"", IF('THE BOARD'!U128 = "NESTED","",'THE BOARD'!D122 + IF(C369&lt;&gt;"", 0.72,0)),"")</f>
        <v/>
      </c>
      <c r="E369" s="68">
        <f>'THE BOARD'!E122</f>
        <v>0</v>
      </c>
      <c r="F369" s="68">
        <f>'THE BOARD'!F122</f>
        <v>0</v>
      </c>
      <c r="G369" s="68">
        <f>'THE BOARD'!G122</f>
        <v>0</v>
      </c>
      <c r="H369" s="68">
        <f>'THE BOARD'!H122</f>
        <v>0</v>
      </c>
      <c r="I369" s="68">
        <f>'THE BOARD'!I122</f>
        <v>0</v>
      </c>
      <c r="J369" s="68">
        <f>'THE BOARD'!Q129</f>
        <v>0</v>
      </c>
      <c r="K369" s="99">
        <f>'THE BOARD'!U128</f>
        <v>0</v>
      </c>
    </row>
    <row r="370" spans="1:11" ht="12.75" x14ac:dyDescent="0.2">
      <c r="A370" s="68">
        <f>'THE BOARD'!A123</f>
        <v>0</v>
      </c>
      <c r="B370" s="68">
        <f>'THE BOARD'!B123</f>
        <v>0</v>
      </c>
      <c r="C370" s="99" t="str">
        <f>IF('THE BOARD'!U129 = "NESTED","",IF('THE BOARD'!D123&lt;&gt;"",'THE BOARD'!D123+0.72,""))</f>
        <v/>
      </c>
      <c r="D370" s="99" t="str">
        <f>IF(C370&lt;&gt;"", IF('THE BOARD'!U129 = "NESTED","",'THE BOARD'!D123 + IF(C370&lt;&gt;"", 0.72,0)),"")</f>
        <v/>
      </c>
      <c r="E370" s="68">
        <f>'THE BOARD'!E123</f>
        <v>0</v>
      </c>
      <c r="F370" s="68">
        <f>'THE BOARD'!F123</f>
        <v>0</v>
      </c>
      <c r="G370" s="68">
        <f>'THE BOARD'!G123</f>
        <v>0</v>
      </c>
      <c r="H370" s="68">
        <f>'THE BOARD'!H123</f>
        <v>0</v>
      </c>
      <c r="I370" s="68">
        <f>'THE BOARD'!I123</f>
        <v>0</v>
      </c>
      <c r="J370" s="68">
        <f>'THE BOARD'!Q130</f>
        <v>0</v>
      </c>
      <c r="K370" s="99">
        <f>'THE BOARD'!U129</f>
        <v>0</v>
      </c>
    </row>
    <row r="371" spans="1:11" ht="12.75" x14ac:dyDescent="0.2">
      <c r="A371" s="68">
        <f>'THE BOARD'!A124</f>
        <v>0</v>
      </c>
      <c r="B371" s="68">
        <f>'THE BOARD'!B124</f>
        <v>0</v>
      </c>
      <c r="C371" s="99" t="str">
        <f>IF('THE BOARD'!U130 = "NESTED","",IF('THE BOARD'!D124&lt;&gt;"",'THE BOARD'!D124+0.72,""))</f>
        <v/>
      </c>
      <c r="D371" s="99" t="str">
        <f>IF(C371&lt;&gt;"", IF('THE BOARD'!U130 = "NESTED","",'THE BOARD'!D124 + IF(C371&lt;&gt;"", 0.72,0)),"")</f>
        <v/>
      </c>
      <c r="E371" s="68">
        <f>'THE BOARD'!E124</f>
        <v>0</v>
      </c>
      <c r="F371" s="68">
        <f>'THE BOARD'!F124</f>
        <v>0</v>
      </c>
      <c r="G371" s="68">
        <f>'THE BOARD'!G124</f>
        <v>0</v>
      </c>
      <c r="H371" s="68">
        <f>'THE BOARD'!H124</f>
        <v>0</v>
      </c>
      <c r="I371" s="68">
        <f>'THE BOARD'!I124</f>
        <v>0</v>
      </c>
      <c r="J371" s="68">
        <f>'THE BOARD'!Q131</f>
        <v>0</v>
      </c>
      <c r="K371" s="99">
        <f>'THE BOARD'!U130</f>
        <v>0</v>
      </c>
    </row>
    <row r="372" spans="1:11" ht="12.75" x14ac:dyDescent="0.2">
      <c r="A372" s="68">
        <f>'THE BOARD'!A125</f>
        <v>0</v>
      </c>
      <c r="B372" s="68">
        <f>'THE BOARD'!B125</f>
        <v>0</v>
      </c>
      <c r="C372" s="99" t="str">
        <f>IF('THE BOARD'!U131 = "NESTED","",IF('THE BOARD'!D125&lt;&gt;"",'THE BOARD'!D125+0.72,""))</f>
        <v/>
      </c>
      <c r="D372" s="99" t="str">
        <f>IF(C372&lt;&gt;"", IF('THE BOARD'!U131 = "NESTED","",'THE BOARD'!D125 + IF(C372&lt;&gt;"", 0.72,0)),"")</f>
        <v/>
      </c>
      <c r="E372" s="68">
        <f>'THE BOARD'!E125</f>
        <v>0</v>
      </c>
      <c r="F372" s="68">
        <f>'THE BOARD'!F125</f>
        <v>0</v>
      </c>
      <c r="G372" s="68">
        <f>'THE BOARD'!G125</f>
        <v>0</v>
      </c>
      <c r="H372" s="68">
        <f>'THE BOARD'!H125</f>
        <v>0</v>
      </c>
      <c r="I372" s="68">
        <f>'THE BOARD'!I125</f>
        <v>0</v>
      </c>
      <c r="J372" s="68">
        <f>'THE BOARD'!Q132</f>
        <v>0</v>
      </c>
      <c r="K372" s="99">
        <f>'THE BOARD'!U131</f>
        <v>0</v>
      </c>
    </row>
    <row r="373" spans="1:11" ht="12.75" x14ac:dyDescent="0.2">
      <c r="A373" s="68">
        <f>'THE BOARD'!A126</f>
        <v>0</v>
      </c>
      <c r="B373" s="68">
        <f>'THE BOARD'!B126</f>
        <v>0</v>
      </c>
      <c r="C373" s="99" t="str">
        <f>IF('THE BOARD'!U132 = "NESTED","",IF('THE BOARD'!D126&lt;&gt;"",'THE BOARD'!D126+0.72,""))</f>
        <v/>
      </c>
      <c r="D373" s="99" t="str">
        <f>IF(C373&lt;&gt;"", IF('THE BOARD'!U132 = "NESTED","",'THE BOARD'!D126 + IF(C373&lt;&gt;"", 0.72,0)),"")</f>
        <v/>
      </c>
      <c r="E373" s="68">
        <f>'THE BOARD'!E126</f>
        <v>0</v>
      </c>
      <c r="F373" s="68">
        <f>'THE BOARD'!F126</f>
        <v>0</v>
      </c>
      <c r="G373" s="68">
        <f>'THE BOARD'!G126</f>
        <v>0</v>
      </c>
      <c r="H373" s="68">
        <f>'THE BOARD'!H126</f>
        <v>0</v>
      </c>
      <c r="I373" s="68">
        <f>'THE BOARD'!I126</f>
        <v>0</v>
      </c>
      <c r="J373" s="68">
        <f>'THE BOARD'!Q133</f>
        <v>0</v>
      </c>
      <c r="K373" s="99">
        <f>'THE BOARD'!U132</f>
        <v>0</v>
      </c>
    </row>
    <row r="374" spans="1:11" ht="12.75" x14ac:dyDescent="0.2">
      <c r="A374" s="68">
        <f>'THE BOARD'!A127</f>
        <v>0</v>
      </c>
      <c r="B374" s="68">
        <f>'THE BOARD'!B127</f>
        <v>0</v>
      </c>
      <c r="C374" s="99" t="str">
        <f>IF('THE BOARD'!U133 = "NESTED","",IF('THE BOARD'!D127&lt;&gt;"",'THE BOARD'!D127+0.72,""))</f>
        <v/>
      </c>
      <c r="D374" s="99" t="str">
        <f>IF(C374&lt;&gt;"", IF('THE BOARD'!U133 = "NESTED","",'THE BOARD'!D127 + IF(C374&lt;&gt;"", 0.72,0)),"")</f>
        <v/>
      </c>
      <c r="E374" s="68">
        <f>'THE BOARD'!E127</f>
        <v>0</v>
      </c>
      <c r="F374" s="68">
        <f>'THE BOARD'!F127</f>
        <v>0</v>
      </c>
      <c r="G374" s="68">
        <f>'THE BOARD'!G127</f>
        <v>0</v>
      </c>
      <c r="H374" s="68">
        <f>'THE BOARD'!H127</f>
        <v>0</v>
      </c>
      <c r="I374" s="68">
        <f>'THE BOARD'!I127</f>
        <v>0</v>
      </c>
      <c r="J374" s="68">
        <f>'THE BOARD'!Q134</f>
        <v>0</v>
      </c>
      <c r="K374" s="99">
        <f>'THE BOARD'!U133</f>
        <v>0</v>
      </c>
    </row>
    <row r="375" spans="1:11" ht="12.75" x14ac:dyDescent="0.2">
      <c r="A375" s="68">
        <f>'THE BOARD'!A128</f>
        <v>0</v>
      </c>
      <c r="B375" s="68">
        <f>'THE BOARD'!B128</f>
        <v>0</v>
      </c>
      <c r="C375" s="99" t="str">
        <f>IF('THE BOARD'!U134 = "NESTED","",IF('THE BOARD'!D128&lt;&gt;"",'THE BOARD'!D128+0.72,""))</f>
        <v/>
      </c>
      <c r="D375" s="99" t="str">
        <f>IF(C375&lt;&gt;"", IF('THE BOARD'!U134 = "NESTED","",'THE BOARD'!D128 + IF(C375&lt;&gt;"", 0.72,0)),"")</f>
        <v/>
      </c>
      <c r="E375" s="68">
        <f>'THE BOARD'!E128</f>
        <v>0</v>
      </c>
      <c r="F375" s="68">
        <f>'THE BOARD'!F128</f>
        <v>0</v>
      </c>
      <c r="G375" s="68">
        <f>'THE BOARD'!G128</f>
        <v>0</v>
      </c>
      <c r="H375" s="68">
        <f>'THE BOARD'!H128</f>
        <v>0</v>
      </c>
      <c r="I375" s="68">
        <f>'THE BOARD'!I128</f>
        <v>0</v>
      </c>
      <c r="J375" s="68">
        <f>'THE BOARD'!Q135</f>
        <v>0</v>
      </c>
      <c r="K375" s="99">
        <f>'THE BOARD'!U134</f>
        <v>0</v>
      </c>
    </row>
    <row r="376" spans="1:11" ht="12.75" x14ac:dyDescent="0.2">
      <c r="A376" s="68">
        <f>'THE BOARD'!A129</f>
        <v>0</v>
      </c>
      <c r="B376" s="68">
        <f>'THE BOARD'!B129</f>
        <v>0</v>
      </c>
      <c r="C376" s="99" t="str">
        <f>IF('THE BOARD'!U135 = "NESTED","",IF('THE BOARD'!D129&lt;&gt;"",'THE BOARD'!D129+0.72,""))</f>
        <v/>
      </c>
      <c r="D376" s="99" t="str">
        <f>IF(C376&lt;&gt;"", IF('THE BOARD'!U135 = "NESTED","",'THE BOARD'!D129 + IF(C376&lt;&gt;"", 0.72,0)),"")</f>
        <v/>
      </c>
      <c r="E376" s="68">
        <f>'THE BOARD'!E129</f>
        <v>0</v>
      </c>
      <c r="F376" s="68">
        <f>'THE BOARD'!F129</f>
        <v>0</v>
      </c>
      <c r="G376" s="68">
        <f>'THE BOARD'!G129</f>
        <v>0</v>
      </c>
      <c r="H376" s="68">
        <f>'THE BOARD'!H129</f>
        <v>0</v>
      </c>
      <c r="I376" s="68">
        <f>'THE BOARD'!I129</f>
        <v>0</v>
      </c>
      <c r="J376" s="68">
        <f>'THE BOARD'!Q136</f>
        <v>0</v>
      </c>
      <c r="K376" s="99">
        <f>'THE BOARD'!U135</f>
        <v>0</v>
      </c>
    </row>
    <row r="377" spans="1:11" ht="12.75" x14ac:dyDescent="0.2">
      <c r="A377" s="68">
        <f>'THE BOARD'!A130</f>
        <v>0</v>
      </c>
      <c r="B377" s="68">
        <f>'THE BOARD'!B130</f>
        <v>0</v>
      </c>
      <c r="C377" s="99" t="str">
        <f>IF('THE BOARD'!U136 = "NESTED","",IF('THE BOARD'!D130&lt;&gt;"",'THE BOARD'!D130+0.72,""))</f>
        <v/>
      </c>
      <c r="D377" s="99" t="str">
        <f>IF(C377&lt;&gt;"", IF('THE BOARD'!U136 = "NESTED","",'THE BOARD'!D130 + IF(C377&lt;&gt;"", 0.72,0)),"")</f>
        <v/>
      </c>
      <c r="E377" s="68">
        <f>'THE BOARD'!E130</f>
        <v>0</v>
      </c>
      <c r="F377" s="68">
        <f>'THE BOARD'!F130</f>
        <v>0</v>
      </c>
      <c r="G377" s="68">
        <f>'THE BOARD'!G130</f>
        <v>0</v>
      </c>
      <c r="H377" s="68">
        <f>'THE BOARD'!H130</f>
        <v>0</v>
      </c>
      <c r="I377" s="68">
        <f>'THE BOARD'!I130</f>
        <v>0</v>
      </c>
      <c r="J377" s="68">
        <f>'THE BOARD'!Q137</f>
        <v>0</v>
      </c>
      <c r="K377" s="99">
        <f>'THE BOARD'!U136</f>
        <v>0</v>
      </c>
    </row>
    <row r="378" spans="1:11" ht="12.75" x14ac:dyDescent="0.2">
      <c r="A378" s="68">
        <f>'THE BOARD'!A131</f>
        <v>0</v>
      </c>
      <c r="B378" s="68">
        <f>'THE BOARD'!B131</f>
        <v>0</v>
      </c>
      <c r="C378" s="99" t="str">
        <f>IF('THE BOARD'!U137 = "NESTED","",IF('THE BOARD'!D131&lt;&gt;"",'THE BOARD'!D131+0.72,""))</f>
        <v/>
      </c>
      <c r="D378" s="99" t="str">
        <f>IF(C378&lt;&gt;"", IF('THE BOARD'!U137 = "NESTED","",'THE BOARD'!D131 + IF(C378&lt;&gt;"", 0.72,0)),"")</f>
        <v/>
      </c>
      <c r="E378" s="68">
        <f>'THE BOARD'!E131</f>
        <v>0</v>
      </c>
      <c r="F378" s="68">
        <f>'THE BOARD'!F131</f>
        <v>0</v>
      </c>
      <c r="G378" s="68">
        <f>'THE BOARD'!G131</f>
        <v>0</v>
      </c>
      <c r="H378" s="68">
        <f>'THE BOARD'!H131</f>
        <v>0</v>
      </c>
      <c r="I378" s="68">
        <f>'THE BOARD'!I131</f>
        <v>0</v>
      </c>
      <c r="J378" s="68">
        <f>'THE BOARD'!Q138</f>
        <v>0</v>
      </c>
      <c r="K378" s="99">
        <f>'THE BOARD'!U137</f>
        <v>0</v>
      </c>
    </row>
    <row r="379" spans="1:11" ht="12.75" x14ac:dyDescent="0.2">
      <c r="A379" s="68">
        <f>'THE BOARD'!A132</f>
        <v>0</v>
      </c>
      <c r="B379" s="68">
        <f>'THE BOARD'!B132</f>
        <v>0</v>
      </c>
      <c r="C379" s="99" t="str">
        <f>IF('THE BOARD'!U138 = "NESTED","",IF('THE BOARD'!D132&lt;&gt;"",'THE BOARD'!D132+0.72,""))</f>
        <v/>
      </c>
      <c r="D379" s="99" t="str">
        <f>IF(C379&lt;&gt;"", IF('THE BOARD'!U138 = "NESTED","",'THE BOARD'!D132 + IF(C379&lt;&gt;"", 0.72,0)),"")</f>
        <v/>
      </c>
      <c r="E379" s="68">
        <f>'THE BOARD'!E132</f>
        <v>0</v>
      </c>
      <c r="F379" s="68">
        <f>'THE BOARD'!F132</f>
        <v>0</v>
      </c>
      <c r="G379" s="68">
        <f>'THE BOARD'!G132</f>
        <v>0</v>
      </c>
      <c r="H379" s="68">
        <f>'THE BOARD'!H132</f>
        <v>0</v>
      </c>
      <c r="I379" s="68">
        <f>'THE BOARD'!I132</f>
        <v>0</v>
      </c>
      <c r="J379" s="68">
        <f>'THE BOARD'!Q139</f>
        <v>0</v>
      </c>
      <c r="K379" s="99">
        <f>'THE BOARD'!U138</f>
        <v>0</v>
      </c>
    </row>
    <row r="380" spans="1:11" ht="12.75" x14ac:dyDescent="0.2">
      <c r="A380" s="68">
        <f>'THE BOARD'!A133</f>
        <v>0</v>
      </c>
      <c r="B380" s="68">
        <f>'THE BOARD'!B133</f>
        <v>0</v>
      </c>
      <c r="C380" s="99" t="str">
        <f>IF('THE BOARD'!U139 = "NESTED","",IF('THE BOARD'!D133&lt;&gt;"",'THE BOARD'!D133+0.72,""))</f>
        <v/>
      </c>
      <c r="D380" s="99" t="str">
        <f>IF(C380&lt;&gt;"", IF('THE BOARD'!U139 = "NESTED","",'THE BOARD'!D133 + IF(C380&lt;&gt;"", 0.72,0)),"")</f>
        <v/>
      </c>
      <c r="E380" s="68">
        <f>'THE BOARD'!E133</f>
        <v>0</v>
      </c>
      <c r="F380" s="68">
        <f>'THE BOARD'!F133</f>
        <v>0</v>
      </c>
      <c r="G380" s="68">
        <f>'THE BOARD'!G133</f>
        <v>0</v>
      </c>
      <c r="H380" s="68">
        <f>'THE BOARD'!H133</f>
        <v>0</v>
      </c>
      <c r="I380" s="68">
        <f>'THE BOARD'!I133</f>
        <v>0</v>
      </c>
      <c r="J380" s="68">
        <f>'THE BOARD'!Q140</f>
        <v>0</v>
      </c>
      <c r="K380" s="99">
        <f>'THE BOARD'!U139</f>
        <v>0</v>
      </c>
    </row>
    <row r="381" spans="1:11" ht="12.75" x14ac:dyDescent="0.2">
      <c r="A381" s="68">
        <f>'THE BOARD'!A134</f>
        <v>0</v>
      </c>
      <c r="B381" s="68">
        <f>'THE BOARD'!B134</f>
        <v>0</v>
      </c>
      <c r="C381" s="99" t="str">
        <f>IF('THE BOARD'!U140 = "NESTED","",IF('THE BOARD'!D134&lt;&gt;"",'THE BOARD'!D134+0.72,""))</f>
        <v/>
      </c>
      <c r="D381" s="99" t="str">
        <f>IF(C381&lt;&gt;"", IF('THE BOARD'!U140 = "NESTED","",'THE BOARD'!D134 + IF(C381&lt;&gt;"", 0.72,0)),"")</f>
        <v/>
      </c>
      <c r="E381" s="68">
        <f>'THE BOARD'!E134</f>
        <v>0</v>
      </c>
      <c r="F381" s="68">
        <f>'THE BOARD'!F134</f>
        <v>0</v>
      </c>
      <c r="G381" s="68">
        <f>'THE BOARD'!G134</f>
        <v>0</v>
      </c>
      <c r="H381" s="68">
        <f>'THE BOARD'!H134</f>
        <v>0</v>
      </c>
      <c r="I381" s="68">
        <f>'THE BOARD'!I134</f>
        <v>0</v>
      </c>
      <c r="J381" s="68">
        <f>'THE BOARD'!Q141</f>
        <v>0</v>
      </c>
      <c r="K381" s="99">
        <f>'THE BOARD'!U140</f>
        <v>0</v>
      </c>
    </row>
    <row r="382" spans="1:11" ht="12.75" x14ac:dyDescent="0.2">
      <c r="A382" s="68">
        <f>'THE BOARD'!A135</f>
        <v>0</v>
      </c>
      <c r="B382" s="68">
        <f>'THE BOARD'!B135</f>
        <v>0</v>
      </c>
      <c r="C382" s="99" t="str">
        <f>IF('THE BOARD'!U141 = "NESTED","",IF('THE BOARD'!D135&lt;&gt;"",'THE BOARD'!D135+0.72,""))</f>
        <v/>
      </c>
      <c r="D382" s="99" t="str">
        <f>IF(C382&lt;&gt;"", IF('THE BOARD'!U141 = "NESTED","",'THE BOARD'!D135 + IF(C382&lt;&gt;"", 0.72,0)),"")</f>
        <v/>
      </c>
      <c r="E382" s="68">
        <f>'THE BOARD'!E135</f>
        <v>0</v>
      </c>
      <c r="F382" s="68">
        <f>'THE BOARD'!F135</f>
        <v>0</v>
      </c>
      <c r="G382" s="68">
        <f>'THE BOARD'!G135</f>
        <v>0</v>
      </c>
      <c r="H382" s="68">
        <f>'THE BOARD'!H135</f>
        <v>0</v>
      </c>
      <c r="I382" s="68">
        <f>'THE BOARD'!I135</f>
        <v>0</v>
      </c>
      <c r="J382" s="68">
        <f>'THE BOARD'!Q142</f>
        <v>0</v>
      </c>
      <c r="K382" s="99">
        <f>'THE BOARD'!U141</f>
        <v>0</v>
      </c>
    </row>
    <row r="383" spans="1:11" ht="12.75" x14ac:dyDescent="0.2">
      <c r="A383" s="68">
        <f>'THE BOARD'!A136</f>
        <v>0</v>
      </c>
      <c r="B383" s="68">
        <f>'THE BOARD'!B136</f>
        <v>0</v>
      </c>
      <c r="C383" s="99" t="str">
        <f>IF('THE BOARD'!U142 = "NESTED","",IF('THE BOARD'!D136&lt;&gt;"",'THE BOARD'!D136+0.72,""))</f>
        <v/>
      </c>
      <c r="D383" s="99" t="str">
        <f>IF(C383&lt;&gt;"", IF('THE BOARD'!U142 = "NESTED","",'THE BOARD'!D136 + IF(C383&lt;&gt;"", 0.72,0)),"")</f>
        <v/>
      </c>
      <c r="E383" s="68">
        <f>'THE BOARD'!E136</f>
        <v>0</v>
      </c>
      <c r="F383" s="68">
        <f>'THE BOARD'!F136</f>
        <v>0</v>
      </c>
      <c r="G383" s="68">
        <f>'THE BOARD'!G136</f>
        <v>0</v>
      </c>
      <c r="H383" s="68">
        <f>'THE BOARD'!H136</f>
        <v>0</v>
      </c>
      <c r="I383" s="68">
        <f>'THE BOARD'!I136</f>
        <v>0</v>
      </c>
      <c r="J383" s="68">
        <f>'THE BOARD'!Q143</f>
        <v>0</v>
      </c>
      <c r="K383" s="99">
        <f>'THE BOARD'!U142</f>
        <v>0</v>
      </c>
    </row>
    <row r="384" spans="1:11" ht="12.75" x14ac:dyDescent="0.2">
      <c r="A384" s="68">
        <f>'THE BOARD'!A137</f>
        <v>0</v>
      </c>
      <c r="B384" s="68">
        <f>'THE BOARD'!B137</f>
        <v>0</v>
      </c>
      <c r="C384" s="99" t="str">
        <f>IF('THE BOARD'!U143 = "NESTED","",IF('THE BOARD'!D137&lt;&gt;"",'THE BOARD'!D137+0.72,""))</f>
        <v/>
      </c>
      <c r="D384" s="99" t="str">
        <f>IF(C384&lt;&gt;"", IF('THE BOARD'!U143 = "NESTED","",'THE BOARD'!D137 + IF(C384&lt;&gt;"", 0.72,0)),"")</f>
        <v/>
      </c>
      <c r="E384" s="68">
        <f>'THE BOARD'!E137</f>
        <v>0</v>
      </c>
      <c r="F384" s="68">
        <f>'THE BOARD'!F137</f>
        <v>0</v>
      </c>
      <c r="G384" s="68">
        <f>'THE BOARD'!G137</f>
        <v>0</v>
      </c>
      <c r="H384" s="68">
        <f>'THE BOARD'!H137</f>
        <v>0</v>
      </c>
      <c r="I384" s="68">
        <f>'THE BOARD'!I137</f>
        <v>0</v>
      </c>
      <c r="J384" s="68">
        <f>'THE BOARD'!Q144</f>
        <v>0</v>
      </c>
      <c r="K384" s="99">
        <f>'THE BOARD'!U143</f>
        <v>0</v>
      </c>
    </row>
    <row r="385" spans="1:11" ht="12.75" x14ac:dyDescent="0.2">
      <c r="A385" s="68">
        <f>'THE BOARD'!A138</f>
        <v>0</v>
      </c>
      <c r="B385" s="68">
        <f>'THE BOARD'!B138</f>
        <v>0</v>
      </c>
      <c r="C385" s="99" t="str">
        <f>IF('THE BOARD'!U144 = "NESTED","",IF('THE BOARD'!D138&lt;&gt;"",'THE BOARD'!D138+0.72,""))</f>
        <v/>
      </c>
      <c r="D385" s="99" t="str">
        <f>IF(C385&lt;&gt;"", IF('THE BOARD'!U144 = "NESTED","",'THE BOARD'!D138 + IF(C385&lt;&gt;"", 0.72,0)),"")</f>
        <v/>
      </c>
      <c r="E385" s="68">
        <f>'THE BOARD'!E138</f>
        <v>0</v>
      </c>
      <c r="F385" s="68">
        <f>'THE BOARD'!F138</f>
        <v>0</v>
      </c>
      <c r="G385" s="68">
        <f>'THE BOARD'!G138</f>
        <v>0</v>
      </c>
      <c r="H385" s="68">
        <f>'THE BOARD'!H138</f>
        <v>0</v>
      </c>
      <c r="I385" s="68">
        <f>'THE BOARD'!I138</f>
        <v>0</v>
      </c>
      <c r="J385" s="68">
        <f>'THE BOARD'!Q145</f>
        <v>0</v>
      </c>
      <c r="K385" s="99">
        <f>'THE BOARD'!U144</f>
        <v>0</v>
      </c>
    </row>
    <row r="386" spans="1:11" ht="12.75" x14ac:dyDescent="0.2">
      <c r="A386" s="68">
        <f>'THE BOARD'!A139</f>
        <v>0</v>
      </c>
      <c r="B386" s="68">
        <f>'THE BOARD'!B139</f>
        <v>0</v>
      </c>
      <c r="C386" s="99" t="str">
        <f>IF('THE BOARD'!U145 = "NESTED","",IF('THE BOARD'!D139&lt;&gt;"",'THE BOARD'!D139+0.72,""))</f>
        <v/>
      </c>
      <c r="D386" s="99" t="str">
        <f>IF(C386&lt;&gt;"", IF('THE BOARD'!U145 = "NESTED","",'THE BOARD'!D139 + IF(C386&lt;&gt;"", 0.72,0)),"")</f>
        <v/>
      </c>
      <c r="E386" s="68">
        <f>'THE BOARD'!E139</f>
        <v>0</v>
      </c>
      <c r="F386" s="68">
        <f>'THE BOARD'!F139</f>
        <v>0</v>
      </c>
      <c r="G386" s="68">
        <f>'THE BOARD'!G139</f>
        <v>0</v>
      </c>
      <c r="H386" s="68">
        <f>'THE BOARD'!H139</f>
        <v>0</v>
      </c>
      <c r="I386" s="68">
        <f>'THE BOARD'!I139</f>
        <v>0</v>
      </c>
      <c r="J386" s="68">
        <f>'THE BOARD'!Q146</f>
        <v>0</v>
      </c>
      <c r="K386" s="99">
        <f>'THE BOARD'!U145</f>
        <v>0</v>
      </c>
    </row>
    <row r="387" spans="1:11" ht="12.75" x14ac:dyDescent="0.2">
      <c r="A387" s="68">
        <f>'THE BOARD'!A140</f>
        <v>0</v>
      </c>
      <c r="B387" s="68">
        <f>'THE BOARD'!B140</f>
        <v>0</v>
      </c>
      <c r="C387" s="99" t="str">
        <f>IF('THE BOARD'!U146 = "NESTED","",IF('THE BOARD'!D140&lt;&gt;"",'THE BOARD'!D140+0.72,""))</f>
        <v/>
      </c>
      <c r="D387" s="99" t="str">
        <f>IF(C387&lt;&gt;"", IF('THE BOARD'!U146 = "NESTED","",'THE BOARD'!D140 + IF(C387&lt;&gt;"", 0.72,0)),"")</f>
        <v/>
      </c>
      <c r="E387" s="68">
        <f>'THE BOARD'!E140</f>
        <v>0</v>
      </c>
      <c r="F387" s="68">
        <f>'THE BOARD'!F140</f>
        <v>0</v>
      </c>
      <c r="G387" s="68">
        <f>'THE BOARD'!G140</f>
        <v>0</v>
      </c>
      <c r="H387" s="68">
        <f>'THE BOARD'!H140</f>
        <v>0</v>
      </c>
      <c r="I387" s="68">
        <f>'THE BOARD'!I140</f>
        <v>0</v>
      </c>
      <c r="J387" s="68">
        <f>'THE BOARD'!Q147</f>
        <v>0</v>
      </c>
      <c r="K387" s="99">
        <f>'THE BOARD'!U146</f>
        <v>0</v>
      </c>
    </row>
    <row r="388" spans="1:11" ht="12.75" x14ac:dyDescent="0.2">
      <c r="A388" s="68">
        <f>'THE BOARD'!A141</f>
        <v>0</v>
      </c>
      <c r="B388" s="68">
        <f>'THE BOARD'!B141</f>
        <v>0</v>
      </c>
      <c r="C388" s="99" t="str">
        <f>IF('THE BOARD'!U147 = "NESTED","",IF('THE BOARD'!D141&lt;&gt;"",'THE BOARD'!D141+0.72,""))</f>
        <v/>
      </c>
      <c r="D388" s="99" t="str">
        <f>IF(C388&lt;&gt;"", IF('THE BOARD'!U147 = "NESTED","",'THE BOARD'!D141 + IF(C388&lt;&gt;"", 0.72,0)),"")</f>
        <v/>
      </c>
      <c r="E388" s="68">
        <f>'THE BOARD'!E141</f>
        <v>0</v>
      </c>
      <c r="F388" s="68">
        <f>'THE BOARD'!F141</f>
        <v>0</v>
      </c>
      <c r="G388" s="68">
        <f>'THE BOARD'!G141</f>
        <v>0</v>
      </c>
      <c r="H388" s="68">
        <f>'THE BOARD'!H141</f>
        <v>0</v>
      </c>
      <c r="I388" s="68">
        <f>'THE BOARD'!I141</f>
        <v>0</v>
      </c>
      <c r="J388" s="68">
        <f>'THE BOARD'!Q148</f>
        <v>0</v>
      </c>
      <c r="K388" s="99">
        <f>'THE BOARD'!U147</f>
        <v>0</v>
      </c>
    </row>
    <row r="389" spans="1:11" ht="12.75" x14ac:dyDescent="0.2">
      <c r="A389" s="68">
        <f>'THE BOARD'!A142</f>
        <v>0</v>
      </c>
      <c r="B389" s="68">
        <f>'THE BOARD'!B142</f>
        <v>0</v>
      </c>
      <c r="C389" s="99" t="str">
        <f>IF('THE BOARD'!U148 = "NESTED","",IF('THE BOARD'!D142&lt;&gt;"",'THE BOARD'!D142+0.72,""))</f>
        <v/>
      </c>
      <c r="D389" s="99" t="str">
        <f>IF(C389&lt;&gt;"", IF('THE BOARD'!U148 = "NESTED","",'THE BOARD'!D142 + IF(C389&lt;&gt;"", 0.72,0)),"")</f>
        <v/>
      </c>
      <c r="E389" s="68">
        <f>'THE BOARD'!E142</f>
        <v>0</v>
      </c>
      <c r="F389" s="68">
        <f>'THE BOARD'!F142</f>
        <v>0</v>
      </c>
      <c r="G389" s="68">
        <f>'THE BOARD'!G142</f>
        <v>0</v>
      </c>
      <c r="H389" s="68">
        <f>'THE BOARD'!H142</f>
        <v>0</v>
      </c>
      <c r="I389" s="68">
        <f>'THE BOARD'!I142</f>
        <v>0</v>
      </c>
      <c r="J389" s="68">
        <f>'THE BOARD'!Q149</f>
        <v>0</v>
      </c>
      <c r="K389" s="99">
        <f>'THE BOARD'!U148</f>
        <v>0</v>
      </c>
    </row>
    <row r="390" spans="1:11" ht="12.75" x14ac:dyDescent="0.2">
      <c r="A390" s="68">
        <f>'THE BOARD'!A143</f>
        <v>0</v>
      </c>
      <c r="B390" s="68">
        <f>'THE BOARD'!B143</f>
        <v>0</v>
      </c>
      <c r="C390" s="99" t="str">
        <f>IF('THE BOARD'!U149 = "NESTED","",IF('THE BOARD'!D143&lt;&gt;"",'THE BOARD'!D143+0.72,""))</f>
        <v/>
      </c>
      <c r="D390" s="99" t="str">
        <f>IF(C390&lt;&gt;"", IF('THE BOARD'!U149 = "NESTED","",'THE BOARD'!D143 + IF(C390&lt;&gt;"", 0.72,0)),"")</f>
        <v/>
      </c>
      <c r="E390" s="68">
        <f>'THE BOARD'!E143</f>
        <v>0</v>
      </c>
      <c r="F390" s="68">
        <f>'THE BOARD'!F143</f>
        <v>0</v>
      </c>
      <c r="G390" s="68">
        <f>'THE BOARD'!G143</f>
        <v>0</v>
      </c>
      <c r="H390" s="68">
        <f>'THE BOARD'!H143</f>
        <v>0</v>
      </c>
      <c r="I390" s="68">
        <f>'THE BOARD'!I143</f>
        <v>0</v>
      </c>
      <c r="J390" s="68">
        <f>'THE BOARD'!Q150</f>
        <v>0</v>
      </c>
      <c r="K390" s="99">
        <f>'THE BOARD'!U149</f>
        <v>0</v>
      </c>
    </row>
    <row r="391" spans="1:11" ht="12.75" x14ac:dyDescent="0.2">
      <c r="A391" s="68">
        <f>'THE BOARD'!A144</f>
        <v>0</v>
      </c>
      <c r="B391" s="68">
        <f>'THE BOARD'!B144</f>
        <v>0</v>
      </c>
      <c r="C391" s="99" t="str">
        <f>IF('THE BOARD'!U150 = "NESTED","",IF('THE BOARD'!D144&lt;&gt;"",'THE BOARD'!D144+0.72,""))</f>
        <v/>
      </c>
      <c r="D391" s="99" t="str">
        <f>IF(C391&lt;&gt;"", IF('THE BOARD'!U150 = "NESTED","",'THE BOARD'!D144 + IF(C391&lt;&gt;"", 0.72,0)),"")</f>
        <v/>
      </c>
      <c r="E391" s="68">
        <f>'THE BOARD'!E144</f>
        <v>0</v>
      </c>
      <c r="F391" s="68">
        <f>'THE BOARD'!F144</f>
        <v>0</v>
      </c>
      <c r="G391" s="68">
        <f>'THE BOARD'!G144</f>
        <v>0</v>
      </c>
      <c r="H391" s="68">
        <f>'THE BOARD'!H144</f>
        <v>0</v>
      </c>
      <c r="I391" s="68">
        <f>'THE BOARD'!I144</f>
        <v>0</v>
      </c>
      <c r="J391" s="68">
        <f>'THE BOARD'!Q151</f>
        <v>0</v>
      </c>
      <c r="K391" s="99">
        <f>'THE BOARD'!U150</f>
        <v>0</v>
      </c>
    </row>
    <row r="392" spans="1:11" ht="12.75" x14ac:dyDescent="0.2">
      <c r="A392" s="68">
        <f>'THE BOARD'!A145</f>
        <v>0</v>
      </c>
      <c r="B392" s="68">
        <f>'THE BOARD'!B145</f>
        <v>0</v>
      </c>
      <c r="C392" s="99" t="str">
        <f>IF('THE BOARD'!U151 = "NESTED","",IF('THE BOARD'!D145&lt;&gt;"",'THE BOARD'!D145+0.72,""))</f>
        <v/>
      </c>
      <c r="D392" s="99" t="str">
        <f>IF(C392&lt;&gt;"", IF('THE BOARD'!U151 = "NESTED","",'THE BOARD'!D145 + IF(C392&lt;&gt;"", 0.72,0)),"")</f>
        <v/>
      </c>
      <c r="E392" s="68">
        <f>'THE BOARD'!E145</f>
        <v>0</v>
      </c>
      <c r="F392" s="68">
        <f>'THE BOARD'!F145</f>
        <v>0</v>
      </c>
      <c r="G392" s="68">
        <f>'THE BOARD'!G145</f>
        <v>0</v>
      </c>
      <c r="H392" s="68">
        <f>'THE BOARD'!H145</f>
        <v>0</v>
      </c>
      <c r="I392" s="68">
        <f>'THE BOARD'!I145</f>
        <v>0</v>
      </c>
      <c r="J392" s="68">
        <f>'THE BOARD'!Q152</f>
        <v>0</v>
      </c>
      <c r="K392" s="99">
        <f>'THE BOARD'!U151</f>
        <v>0</v>
      </c>
    </row>
    <row r="393" spans="1:11" ht="12.75" x14ac:dyDescent="0.2">
      <c r="A393" s="68">
        <f>'THE BOARD'!A146</f>
        <v>0</v>
      </c>
      <c r="B393" s="68">
        <f>'THE BOARD'!B146</f>
        <v>0</v>
      </c>
      <c r="C393" s="99" t="str">
        <f>IF('THE BOARD'!U152 = "NESTED","",IF('THE BOARD'!D146&lt;&gt;"",'THE BOARD'!D146+0.72,""))</f>
        <v/>
      </c>
      <c r="D393" s="99" t="str">
        <f>IF(C393&lt;&gt;"", IF('THE BOARD'!U152 = "NESTED","",'THE BOARD'!D146 + IF(C393&lt;&gt;"", 0.72,0)),"")</f>
        <v/>
      </c>
      <c r="E393" s="68">
        <f>'THE BOARD'!E146</f>
        <v>0</v>
      </c>
      <c r="F393" s="68">
        <f>'THE BOARD'!F146</f>
        <v>0</v>
      </c>
      <c r="G393" s="68">
        <f>'THE BOARD'!G146</f>
        <v>0</v>
      </c>
      <c r="H393" s="68">
        <f>'THE BOARD'!H146</f>
        <v>0</v>
      </c>
      <c r="I393" s="68">
        <f>'THE BOARD'!I146</f>
        <v>0</v>
      </c>
      <c r="J393" s="68">
        <f>'THE BOARD'!Q153</f>
        <v>0</v>
      </c>
      <c r="K393" s="99">
        <f>'THE BOARD'!U152</f>
        <v>0</v>
      </c>
    </row>
    <row r="394" spans="1:11" ht="12.75" x14ac:dyDescent="0.2">
      <c r="A394" s="68">
        <f>'THE BOARD'!A147</f>
        <v>0</v>
      </c>
      <c r="B394" s="68">
        <f>'THE BOARD'!B147</f>
        <v>0</v>
      </c>
      <c r="C394" s="99" t="str">
        <f>IF('THE BOARD'!U153 = "NESTED","",IF('THE BOARD'!D147&lt;&gt;"",'THE BOARD'!D147+0.72,""))</f>
        <v/>
      </c>
      <c r="D394" s="99" t="str">
        <f>IF(C394&lt;&gt;"", IF('THE BOARD'!U153 = "NESTED","",'THE BOARD'!D147 + IF(C394&lt;&gt;"", 0.72,0)),"")</f>
        <v/>
      </c>
      <c r="E394" s="68">
        <f>'THE BOARD'!E147</f>
        <v>0</v>
      </c>
      <c r="F394" s="68">
        <f>'THE BOARD'!F147</f>
        <v>0</v>
      </c>
      <c r="G394" s="68">
        <f>'THE BOARD'!G147</f>
        <v>0</v>
      </c>
      <c r="H394" s="68">
        <f>'THE BOARD'!H147</f>
        <v>0</v>
      </c>
      <c r="I394" s="68">
        <f>'THE BOARD'!I147</f>
        <v>0</v>
      </c>
      <c r="J394" s="68">
        <f>'THE BOARD'!Q154</f>
        <v>0</v>
      </c>
      <c r="K394" s="99">
        <f>'THE BOARD'!U153</f>
        <v>0</v>
      </c>
    </row>
    <row r="395" spans="1:11" ht="12.75" x14ac:dyDescent="0.2">
      <c r="A395" s="68">
        <f>'THE BOARD'!A148</f>
        <v>0</v>
      </c>
      <c r="B395" s="68">
        <f>'THE BOARD'!B148</f>
        <v>0</v>
      </c>
      <c r="C395" s="99" t="str">
        <f>IF('THE BOARD'!U154 = "NESTED","",IF('THE BOARD'!D148&lt;&gt;"",'THE BOARD'!D148+0.72,""))</f>
        <v/>
      </c>
      <c r="D395" s="99" t="str">
        <f>IF(C395&lt;&gt;"", IF('THE BOARD'!U154 = "NESTED","",'THE BOARD'!D148 + IF(C395&lt;&gt;"", 0.72,0)),"")</f>
        <v/>
      </c>
      <c r="E395" s="68">
        <f>'THE BOARD'!E148</f>
        <v>0</v>
      </c>
      <c r="F395" s="68">
        <f>'THE BOARD'!F148</f>
        <v>0</v>
      </c>
      <c r="G395" s="68">
        <f>'THE BOARD'!G148</f>
        <v>0</v>
      </c>
      <c r="H395" s="68">
        <f>'THE BOARD'!H148</f>
        <v>0</v>
      </c>
      <c r="I395" s="68">
        <f>'THE BOARD'!I148</f>
        <v>0</v>
      </c>
      <c r="J395" s="68">
        <f>'THE BOARD'!Q155</f>
        <v>0</v>
      </c>
      <c r="K395" s="99">
        <f>'THE BOARD'!U154</f>
        <v>0</v>
      </c>
    </row>
    <row r="396" spans="1:11" ht="12.75" x14ac:dyDescent="0.2">
      <c r="A396" s="68">
        <f>'THE BOARD'!A149</f>
        <v>0</v>
      </c>
      <c r="B396" s="68">
        <f>'THE BOARD'!B149</f>
        <v>0</v>
      </c>
      <c r="C396" s="99" t="str">
        <f>IF('THE BOARD'!U155 = "NESTED","",IF('THE BOARD'!D149&lt;&gt;"",'THE BOARD'!D149+0.72,""))</f>
        <v/>
      </c>
      <c r="D396" s="99" t="str">
        <f>IF(C396&lt;&gt;"", IF('THE BOARD'!U155 = "NESTED","",'THE BOARD'!D149 + IF(C396&lt;&gt;"", 0.72,0)),"")</f>
        <v/>
      </c>
      <c r="E396" s="68">
        <f>'THE BOARD'!E149</f>
        <v>0</v>
      </c>
      <c r="F396" s="68">
        <f>'THE BOARD'!F149</f>
        <v>0</v>
      </c>
      <c r="G396" s="68">
        <f>'THE BOARD'!G149</f>
        <v>0</v>
      </c>
      <c r="H396" s="68">
        <f>'THE BOARD'!H149</f>
        <v>0</v>
      </c>
      <c r="I396" s="68">
        <f>'THE BOARD'!I149</f>
        <v>0</v>
      </c>
      <c r="J396" s="68">
        <f>'THE BOARD'!Q156</f>
        <v>0</v>
      </c>
      <c r="K396" s="99">
        <f>'THE BOARD'!U155</f>
        <v>0</v>
      </c>
    </row>
    <row r="397" spans="1:11" ht="12.75" x14ac:dyDescent="0.2">
      <c r="A397" s="68">
        <f>'THE BOARD'!A150</f>
        <v>0</v>
      </c>
      <c r="B397" s="68">
        <f>'THE BOARD'!B150</f>
        <v>0</v>
      </c>
      <c r="C397" s="99" t="str">
        <f>IF('THE BOARD'!U156 = "NESTED","",IF('THE BOARD'!D150&lt;&gt;"",'THE BOARD'!D150+0.72,""))</f>
        <v/>
      </c>
      <c r="D397" s="99" t="str">
        <f>IF(C397&lt;&gt;"", IF('THE BOARD'!U156 = "NESTED","",'THE BOARD'!D150 + IF(C397&lt;&gt;"", 0.72,0)),"")</f>
        <v/>
      </c>
      <c r="E397" s="68">
        <f>'THE BOARD'!E150</f>
        <v>0</v>
      </c>
      <c r="F397" s="68">
        <f>'THE BOARD'!F150</f>
        <v>0</v>
      </c>
      <c r="G397" s="68">
        <f>'THE BOARD'!G150</f>
        <v>0</v>
      </c>
      <c r="H397" s="68">
        <f>'THE BOARD'!H150</f>
        <v>0</v>
      </c>
      <c r="I397" s="68">
        <f>'THE BOARD'!I150</f>
        <v>0</v>
      </c>
      <c r="J397" s="68">
        <f>'THE BOARD'!Q157</f>
        <v>0</v>
      </c>
      <c r="K397" s="99">
        <f>'THE BOARD'!U156</f>
        <v>0</v>
      </c>
    </row>
    <row r="398" spans="1:11" ht="12.75" x14ac:dyDescent="0.2">
      <c r="A398" s="68">
        <f>'THE BOARD'!A151</f>
        <v>0</v>
      </c>
      <c r="B398" s="68">
        <f>'THE BOARD'!B151</f>
        <v>0</v>
      </c>
      <c r="C398" s="99" t="str">
        <f>IF('THE BOARD'!U157 = "NESTED","",IF('THE BOARD'!D151&lt;&gt;"",'THE BOARD'!D151+0.72,""))</f>
        <v/>
      </c>
      <c r="D398" s="99" t="str">
        <f>IF(C398&lt;&gt;"", IF('THE BOARD'!U157 = "NESTED","",'THE BOARD'!D151 + IF(C398&lt;&gt;"", 0.72,0)),"")</f>
        <v/>
      </c>
      <c r="E398" s="68">
        <f>'THE BOARD'!E151</f>
        <v>0</v>
      </c>
      <c r="F398" s="68">
        <f>'THE BOARD'!F151</f>
        <v>0</v>
      </c>
      <c r="G398" s="68">
        <f>'THE BOARD'!G151</f>
        <v>0</v>
      </c>
      <c r="H398" s="68">
        <f>'THE BOARD'!H151</f>
        <v>0</v>
      </c>
      <c r="I398" s="68">
        <f>'THE BOARD'!I151</f>
        <v>0</v>
      </c>
      <c r="J398" s="68">
        <f>'THE BOARD'!Q158</f>
        <v>0</v>
      </c>
      <c r="K398" s="99">
        <f>'THE BOARD'!U157</f>
        <v>0</v>
      </c>
    </row>
    <row r="399" spans="1:11" ht="12.75" x14ac:dyDescent="0.2">
      <c r="A399" s="68">
        <f>'THE BOARD'!A152</f>
        <v>0</v>
      </c>
      <c r="B399" s="68">
        <f>'THE BOARD'!B152</f>
        <v>0</v>
      </c>
      <c r="C399" s="99" t="str">
        <f>IF('THE BOARD'!U158 = "NESTED","",IF('THE BOARD'!D152&lt;&gt;"",'THE BOARD'!D152+0.72,""))</f>
        <v/>
      </c>
      <c r="D399" s="99" t="str">
        <f>IF(C399&lt;&gt;"", IF('THE BOARD'!U158 = "NESTED","",'THE BOARD'!D152 + IF(C399&lt;&gt;"", 0.72,0)),"")</f>
        <v/>
      </c>
      <c r="E399" s="68">
        <f>'THE BOARD'!E152</f>
        <v>0</v>
      </c>
      <c r="F399" s="68">
        <f>'THE BOARD'!F152</f>
        <v>0</v>
      </c>
      <c r="G399" s="68">
        <f>'THE BOARD'!G152</f>
        <v>0</v>
      </c>
      <c r="H399" s="68">
        <f>'THE BOARD'!H152</f>
        <v>0</v>
      </c>
      <c r="I399" s="68">
        <f>'THE BOARD'!I152</f>
        <v>0</v>
      </c>
      <c r="J399" s="68">
        <f>'THE BOARD'!Q159</f>
        <v>0</v>
      </c>
      <c r="K399" s="99">
        <f>'THE BOARD'!U158</f>
        <v>0</v>
      </c>
    </row>
    <row r="400" spans="1:11" ht="12.75" x14ac:dyDescent="0.2">
      <c r="A400" s="68">
        <f>'THE BOARD'!A153</f>
        <v>0</v>
      </c>
      <c r="B400" s="68">
        <f>'THE BOARD'!B153</f>
        <v>0</v>
      </c>
      <c r="C400" s="99" t="str">
        <f>IF('THE BOARD'!U159 = "NESTED","",IF('THE BOARD'!D153&lt;&gt;"",'THE BOARD'!D153+0.72,""))</f>
        <v/>
      </c>
      <c r="D400" s="99" t="str">
        <f>IF(C400&lt;&gt;"", IF('THE BOARD'!U159 = "NESTED","",'THE BOARD'!D153 + IF(C400&lt;&gt;"", 0.72,0)),"")</f>
        <v/>
      </c>
      <c r="E400" s="68">
        <f>'THE BOARD'!E153</f>
        <v>0</v>
      </c>
      <c r="F400" s="68">
        <f>'THE BOARD'!F153</f>
        <v>0</v>
      </c>
      <c r="G400" s="68">
        <f>'THE BOARD'!G153</f>
        <v>0</v>
      </c>
      <c r="H400" s="68">
        <f>'THE BOARD'!H153</f>
        <v>0</v>
      </c>
      <c r="I400" s="68">
        <f>'THE BOARD'!I153</f>
        <v>0</v>
      </c>
      <c r="J400" s="68">
        <f>'THE BOARD'!Q160</f>
        <v>0</v>
      </c>
      <c r="K400" s="99">
        <f>'THE BOARD'!U159</f>
        <v>0</v>
      </c>
    </row>
    <row r="401" spans="1:11" ht="12.75" x14ac:dyDescent="0.2">
      <c r="A401" s="68">
        <f>'THE BOARD'!A154</f>
        <v>0</v>
      </c>
      <c r="B401" s="68">
        <f>'THE BOARD'!B154</f>
        <v>0</v>
      </c>
      <c r="C401" s="99" t="str">
        <f>IF('THE BOARD'!U160 = "NESTED","",IF('THE BOARD'!D154&lt;&gt;"",'THE BOARD'!D154+0.72,""))</f>
        <v/>
      </c>
      <c r="D401" s="99" t="str">
        <f>IF(C401&lt;&gt;"", IF('THE BOARD'!U160 = "NESTED","",'THE BOARD'!D154 + IF(C401&lt;&gt;"", 0.72,0)),"")</f>
        <v/>
      </c>
      <c r="E401" s="68">
        <f>'THE BOARD'!E154</f>
        <v>0</v>
      </c>
      <c r="F401" s="68">
        <f>'THE BOARD'!F154</f>
        <v>0</v>
      </c>
      <c r="G401" s="68">
        <f>'THE BOARD'!G154</f>
        <v>0</v>
      </c>
      <c r="H401" s="68">
        <f>'THE BOARD'!H154</f>
        <v>0</v>
      </c>
      <c r="I401" s="68">
        <f>'THE BOARD'!I154</f>
        <v>0</v>
      </c>
      <c r="J401" s="68">
        <f>'THE BOARD'!Q161</f>
        <v>0</v>
      </c>
      <c r="K401" s="99">
        <f>'THE BOARD'!U160</f>
        <v>0</v>
      </c>
    </row>
    <row r="402" spans="1:11" ht="12.75" x14ac:dyDescent="0.2">
      <c r="A402" s="68">
        <f>'THE BOARD'!A155</f>
        <v>0</v>
      </c>
      <c r="B402" s="68">
        <f>'THE BOARD'!B155</f>
        <v>0</v>
      </c>
      <c r="C402" s="99" t="str">
        <f>IF('THE BOARD'!U161 = "NESTED","",IF('THE BOARD'!D155&lt;&gt;"",'THE BOARD'!D155+0.72,""))</f>
        <v/>
      </c>
      <c r="D402" s="99" t="str">
        <f>IF(C402&lt;&gt;"", IF('THE BOARD'!U161 = "NESTED","",'THE BOARD'!D155 + IF(C402&lt;&gt;"", 0.72,0)),"")</f>
        <v/>
      </c>
      <c r="E402" s="68">
        <f>'THE BOARD'!E155</f>
        <v>0</v>
      </c>
      <c r="F402" s="68">
        <f>'THE BOARD'!F155</f>
        <v>0</v>
      </c>
      <c r="G402" s="68">
        <f>'THE BOARD'!G155</f>
        <v>0</v>
      </c>
      <c r="H402" s="68">
        <f>'THE BOARD'!H155</f>
        <v>0</v>
      </c>
      <c r="I402" s="68">
        <f>'THE BOARD'!I155</f>
        <v>0</v>
      </c>
      <c r="J402" s="68">
        <f>'THE BOARD'!Q162</f>
        <v>0</v>
      </c>
      <c r="K402" s="99">
        <f>'THE BOARD'!U161</f>
        <v>0</v>
      </c>
    </row>
    <row r="403" spans="1:11" ht="12.75" x14ac:dyDescent="0.2">
      <c r="A403" s="68">
        <f>'THE BOARD'!A156</f>
        <v>0</v>
      </c>
      <c r="B403" s="68">
        <f>'THE BOARD'!B156</f>
        <v>0</v>
      </c>
      <c r="C403" s="99" t="str">
        <f>IF('THE BOARD'!U162 = "NESTED","",IF('THE BOARD'!D156&lt;&gt;"",'THE BOARD'!D156+0.72,""))</f>
        <v/>
      </c>
      <c r="D403" s="99" t="str">
        <f>IF(C403&lt;&gt;"", IF('THE BOARD'!U162 = "NESTED","",'THE BOARD'!D156 + IF(C403&lt;&gt;"", 0.72,0)),"")</f>
        <v/>
      </c>
      <c r="E403" s="68">
        <f>'THE BOARD'!E156</f>
        <v>0</v>
      </c>
      <c r="F403" s="68">
        <f>'THE BOARD'!F156</f>
        <v>0</v>
      </c>
      <c r="G403" s="68">
        <f>'THE BOARD'!G156</f>
        <v>0</v>
      </c>
      <c r="H403" s="68">
        <f>'THE BOARD'!H156</f>
        <v>0</v>
      </c>
      <c r="I403" s="68">
        <f>'THE BOARD'!I156</f>
        <v>0</v>
      </c>
      <c r="J403" s="68">
        <f>'THE BOARD'!Q163</f>
        <v>0</v>
      </c>
      <c r="K403" s="99">
        <f>'THE BOARD'!U162</f>
        <v>0</v>
      </c>
    </row>
    <row r="404" spans="1:11" ht="12.75" x14ac:dyDescent="0.2">
      <c r="A404" s="68">
        <f>'THE BOARD'!A157</f>
        <v>0</v>
      </c>
      <c r="B404" s="68">
        <f>'THE BOARD'!B157</f>
        <v>0</v>
      </c>
      <c r="C404" s="99" t="str">
        <f>IF('THE BOARD'!U163 = "NESTED","",IF('THE BOARD'!D157&lt;&gt;"",'THE BOARD'!D157+0.72,""))</f>
        <v/>
      </c>
      <c r="D404" s="99" t="str">
        <f>IF(C404&lt;&gt;"", IF('THE BOARD'!U163 = "NESTED","",'THE BOARD'!D157 + IF(C404&lt;&gt;"", 0.72,0)),"")</f>
        <v/>
      </c>
      <c r="E404" s="68">
        <f>'THE BOARD'!E157</f>
        <v>0</v>
      </c>
      <c r="F404" s="68">
        <f>'THE BOARD'!F157</f>
        <v>0</v>
      </c>
      <c r="G404" s="68">
        <f>'THE BOARD'!G157</f>
        <v>0</v>
      </c>
      <c r="H404" s="68">
        <f>'THE BOARD'!H157</f>
        <v>0</v>
      </c>
      <c r="I404" s="68">
        <f>'THE BOARD'!I157</f>
        <v>0</v>
      </c>
      <c r="J404" s="68">
        <f>'THE BOARD'!Q164</f>
        <v>0</v>
      </c>
      <c r="K404" s="99">
        <f>'THE BOARD'!U163</f>
        <v>0</v>
      </c>
    </row>
    <row r="405" spans="1:11" ht="12.75" x14ac:dyDescent="0.2">
      <c r="A405" s="68">
        <f>'THE BOARD'!A158</f>
        <v>0</v>
      </c>
      <c r="B405" s="68">
        <f>'THE BOARD'!B158</f>
        <v>0</v>
      </c>
      <c r="C405" s="99" t="str">
        <f>IF('THE BOARD'!U164 = "NESTED","",IF('THE BOARD'!D158&lt;&gt;"",'THE BOARD'!D158+0.72,""))</f>
        <v/>
      </c>
      <c r="D405" s="99" t="str">
        <f>IF(C405&lt;&gt;"", IF('THE BOARD'!U164 = "NESTED","",'THE BOARD'!D158 + IF(C405&lt;&gt;"", 0.72,0)),"")</f>
        <v/>
      </c>
      <c r="E405" s="68">
        <f>'THE BOARD'!E158</f>
        <v>0</v>
      </c>
      <c r="F405" s="68">
        <f>'THE BOARD'!F158</f>
        <v>0</v>
      </c>
      <c r="G405" s="68">
        <f>'THE BOARD'!G158</f>
        <v>0</v>
      </c>
      <c r="H405" s="68">
        <f>'THE BOARD'!H158</f>
        <v>0</v>
      </c>
      <c r="I405" s="68">
        <f>'THE BOARD'!I158</f>
        <v>0</v>
      </c>
      <c r="J405" s="68">
        <f>'THE BOARD'!Q165</f>
        <v>0</v>
      </c>
      <c r="K405" s="99">
        <f>'THE BOARD'!U164</f>
        <v>0</v>
      </c>
    </row>
    <row r="406" spans="1:11" ht="12.75" x14ac:dyDescent="0.2">
      <c r="A406" s="68">
        <f>'THE BOARD'!A159</f>
        <v>0</v>
      </c>
      <c r="B406" s="68">
        <f>'THE BOARD'!B159</f>
        <v>0</v>
      </c>
      <c r="C406" s="99" t="str">
        <f>IF('THE BOARD'!U165 = "NESTED","",IF('THE BOARD'!D159&lt;&gt;"",'THE BOARD'!D159+0.72,""))</f>
        <v/>
      </c>
      <c r="D406" s="99" t="str">
        <f>IF(C406&lt;&gt;"", IF('THE BOARD'!U165 = "NESTED","",'THE BOARD'!D159 + IF(C406&lt;&gt;"", 0.72,0)),"")</f>
        <v/>
      </c>
      <c r="E406" s="68">
        <f>'THE BOARD'!E159</f>
        <v>0</v>
      </c>
      <c r="F406" s="68">
        <f>'THE BOARD'!F159</f>
        <v>0</v>
      </c>
      <c r="G406" s="68">
        <f>'THE BOARD'!G159</f>
        <v>0</v>
      </c>
      <c r="H406" s="68">
        <f>'THE BOARD'!H159</f>
        <v>0</v>
      </c>
      <c r="I406" s="68">
        <f>'THE BOARD'!I159</f>
        <v>0</v>
      </c>
      <c r="J406" s="68">
        <f>'THE BOARD'!Q166</f>
        <v>0</v>
      </c>
      <c r="K406" s="99">
        <f>'THE BOARD'!U165</f>
        <v>0</v>
      </c>
    </row>
    <row r="407" spans="1:11" ht="12.75" x14ac:dyDescent="0.2">
      <c r="A407" s="68">
        <f>'THE BOARD'!A160</f>
        <v>0</v>
      </c>
      <c r="B407" s="68">
        <f>'THE BOARD'!B160</f>
        <v>0</v>
      </c>
      <c r="C407" s="99" t="str">
        <f>IF('THE BOARD'!U166 = "NESTED","",IF('THE BOARD'!D160&lt;&gt;"",'THE BOARD'!D160+0.72,""))</f>
        <v/>
      </c>
      <c r="D407" s="99" t="str">
        <f>IF(C407&lt;&gt;"", IF('THE BOARD'!U166 = "NESTED","",'THE BOARD'!D160 + IF(C407&lt;&gt;"", 0.72,0)),"")</f>
        <v/>
      </c>
      <c r="E407" s="68">
        <f>'THE BOARD'!E160</f>
        <v>0</v>
      </c>
      <c r="F407" s="68">
        <f>'THE BOARD'!F160</f>
        <v>0</v>
      </c>
      <c r="G407" s="68">
        <f>'THE BOARD'!G160</f>
        <v>0</v>
      </c>
      <c r="H407" s="68">
        <f>'THE BOARD'!H160</f>
        <v>0</v>
      </c>
      <c r="I407" s="68">
        <f>'THE BOARD'!I160</f>
        <v>0</v>
      </c>
      <c r="J407" s="68">
        <f>'THE BOARD'!Q167</f>
        <v>0</v>
      </c>
      <c r="K407" s="99">
        <f>'THE BOARD'!U166</f>
        <v>0</v>
      </c>
    </row>
    <row r="408" spans="1:11" ht="12.75" x14ac:dyDescent="0.2">
      <c r="A408" s="68">
        <f>'THE BOARD'!A161</f>
        <v>0</v>
      </c>
      <c r="B408" s="68">
        <f>'THE BOARD'!B161</f>
        <v>0</v>
      </c>
      <c r="C408" s="99" t="str">
        <f>IF('THE BOARD'!U167 = "NESTED","",IF('THE BOARD'!D161&lt;&gt;"",'THE BOARD'!D161+0.72,""))</f>
        <v/>
      </c>
      <c r="D408" s="99" t="str">
        <f>IF(C408&lt;&gt;"", IF('THE BOARD'!U167 = "NESTED","",'THE BOARD'!D161 + IF(C408&lt;&gt;"", 0.72,0)),"")</f>
        <v/>
      </c>
      <c r="E408" s="68">
        <f>'THE BOARD'!E161</f>
        <v>0</v>
      </c>
      <c r="F408" s="68">
        <f>'THE BOARD'!F161</f>
        <v>0</v>
      </c>
      <c r="G408" s="68">
        <f>'THE BOARD'!G161</f>
        <v>0</v>
      </c>
      <c r="H408" s="68">
        <f>'THE BOARD'!H161</f>
        <v>0</v>
      </c>
      <c r="I408" s="68">
        <f>'THE BOARD'!I161</f>
        <v>0</v>
      </c>
      <c r="J408" s="68">
        <f>'THE BOARD'!Q168</f>
        <v>0</v>
      </c>
      <c r="K408" s="99">
        <f>'THE BOARD'!U167</f>
        <v>0</v>
      </c>
    </row>
    <row r="409" spans="1:11" ht="12.75" x14ac:dyDescent="0.2">
      <c r="A409" s="68">
        <f>'THE BOARD'!A162</f>
        <v>0</v>
      </c>
      <c r="B409" s="68">
        <f>'THE BOARD'!B162</f>
        <v>0</v>
      </c>
      <c r="C409" s="99" t="str">
        <f>IF('THE BOARD'!U168 = "NESTED","",IF('THE BOARD'!D162&lt;&gt;"",'THE BOARD'!D162+0.72,""))</f>
        <v/>
      </c>
      <c r="D409" s="99" t="str">
        <f>IF(C409&lt;&gt;"", IF('THE BOARD'!U168 = "NESTED","",'THE BOARD'!D162 + IF(C409&lt;&gt;"", 0.72,0)),"")</f>
        <v/>
      </c>
      <c r="E409" s="68">
        <f>'THE BOARD'!E162</f>
        <v>0</v>
      </c>
      <c r="F409" s="68">
        <f>'THE BOARD'!F162</f>
        <v>0</v>
      </c>
      <c r="G409" s="68">
        <f>'THE BOARD'!G162</f>
        <v>0</v>
      </c>
      <c r="H409" s="68">
        <f>'THE BOARD'!H162</f>
        <v>0</v>
      </c>
      <c r="I409" s="68">
        <f>'THE BOARD'!I162</f>
        <v>0</v>
      </c>
      <c r="J409" s="68">
        <f>'THE BOARD'!Q169</f>
        <v>0</v>
      </c>
      <c r="K409" s="99">
        <f>'THE BOARD'!U168</f>
        <v>0</v>
      </c>
    </row>
    <row r="410" spans="1:11" ht="12.75" x14ac:dyDescent="0.2">
      <c r="A410" s="68">
        <f>'THE BOARD'!A163</f>
        <v>0</v>
      </c>
      <c r="B410" s="68">
        <f>'THE BOARD'!B163</f>
        <v>0</v>
      </c>
      <c r="C410" s="99" t="str">
        <f>IF('THE BOARD'!U169 = "NESTED","",IF('THE BOARD'!D163&lt;&gt;"",'THE BOARD'!D163+0.72,""))</f>
        <v/>
      </c>
      <c r="D410" s="99" t="str">
        <f>IF(C410&lt;&gt;"", IF('THE BOARD'!U169 = "NESTED","",'THE BOARD'!D163 + IF(C410&lt;&gt;"", 0.72,0)),"")</f>
        <v/>
      </c>
      <c r="E410" s="68">
        <f>'THE BOARD'!E163</f>
        <v>0</v>
      </c>
      <c r="F410" s="68">
        <f>'THE BOARD'!F163</f>
        <v>0</v>
      </c>
      <c r="G410" s="68">
        <f>'THE BOARD'!G163</f>
        <v>0</v>
      </c>
      <c r="H410" s="68">
        <f>'THE BOARD'!H163</f>
        <v>0</v>
      </c>
      <c r="I410" s="68">
        <f>'THE BOARD'!I163</f>
        <v>0</v>
      </c>
      <c r="J410" s="68">
        <f>'THE BOARD'!Q170</f>
        <v>0</v>
      </c>
      <c r="K410" s="99">
        <f>'THE BOARD'!U169</f>
        <v>0</v>
      </c>
    </row>
    <row r="411" spans="1:11" ht="12.75" x14ac:dyDescent="0.2">
      <c r="A411" s="68">
        <f>'THE BOARD'!A164</f>
        <v>0</v>
      </c>
      <c r="B411" s="68">
        <f>'THE BOARD'!B164</f>
        <v>0</v>
      </c>
      <c r="C411" s="99" t="str">
        <f>IF('THE BOARD'!U170 = "NESTED","",IF('THE BOARD'!D164&lt;&gt;"",'THE BOARD'!D164+0.72,""))</f>
        <v/>
      </c>
      <c r="D411" s="99" t="str">
        <f>IF(C411&lt;&gt;"", IF('THE BOARD'!U170 = "NESTED","",'THE BOARD'!D164 + IF(C411&lt;&gt;"", 0.72,0)),"")</f>
        <v/>
      </c>
      <c r="E411" s="68">
        <f>'THE BOARD'!E164</f>
        <v>0</v>
      </c>
      <c r="F411" s="68">
        <f>'THE BOARD'!F164</f>
        <v>0</v>
      </c>
      <c r="G411" s="68">
        <f>'THE BOARD'!G164</f>
        <v>0</v>
      </c>
      <c r="H411" s="68">
        <f>'THE BOARD'!H164</f>
        <v>0</v>
      </c>
      <c r="I411" s="68">
        <f>'THE BOARD'!I164</f>
        <v>0</v>
      </c>
      <c r="J411" s="68">
        <f>'THE BOARD'!Q171</f>
        <v>0</v>
      </c>
      <c r="K411" s="99">
        <f>'THE BOARD'!U170</f>
        <v>0</v>
      </c>
    </row>
    <row r="412" spans="1:11" ht="12.75" x14ac:dyDescent="0.2">
      <c r="A412" s="68">
        <f>'THE BOARD'!A165</f>
        <v>0</v>
      </c>
      <c r="B412" s="68">
        <f>'THE BOARD'!B165</f>
        <v>0</v>
      </c>
      <c r="C412" s="99" t="str">
        <f>IF('THE BOARD'!U171 = "NESTED","",IF('THE BOARD'!D165&lt;&gt;"",'THE BOARD'!D165+0.72,""))</f>
        <v/>
      </c>
      <c r="D412" s="99" t="str">
        <f>IF(C412&lt;&gt;"", IF('THE BOARD'!U171 = "NESTED","",'THE BOARD'!D165 + IF(C412&lt;&gt;"", 0.72,0)),"")</f>
        <v/>
      </c>
      <c r="E412" s="68">
        <f>'THE BOARD'!E165</f>
        <v>0</v>
      </c>
      <c r="F412" s="68">
        <f>'THE BOARD'!F165</f>
        <v>0</v>
      </c>
      <c r="G412" s="68">
        <f>'THE BOARD'!G165</f>
        <v>0</v>
      </c>
      <c r="H412" s="68">
        <f>'THE BOARD'!H165</f>
        <v>0</v>
      </c>
      <c r="I412" s="68">
        <f>'THE BOARD'!I165</f>
        <v>0</v>
      </c>
      <c r="J412" s="68">
        <f>'THE BOARD'!Q172</f>
        <v>0</v>
      </c>
      <c r="K412" s="99">
        <f>'THE BOARD'!U171</f>
        <v>0</v>
      </c>
    </row>
    <row r="413" spans="1:11" ht="12.75" x14ac:dyDescent="0.2">
      <c r="A413" s="68">
        <f>'THE BOARD'!A166</f>
        <v>0</v>
      </c>
      <c r="B413" s="68">
        <f>'THE BOARD'!B166</f>
        <v>0</v>
      </c>
      <c r="C413" s="99" t="str">
        <f>IF('THE BOARD'!U172 = "NESTED","",IF('THE BOARD'!D166&lt;&gt;"",'THE BOARD'!D166+0.72,""))</f>
        <v/>
      </c>
      <c r="D413" s="99" t="str">
        <f>IF(C413&lt;&gt;"", IF('THE BOARD'!U172 = "NESTED","",'THE BOARD'!D166 + IF(C413&lt;&gt;"", 0.72,0)),"")</f>
        <v/>
      </c>
      <c r="E413" s="68">
        <f>'THE BOARD'!E166</f>
        <v>0</v>
      </c>
      <c r="F413" s="68">
        <f>'THE BOARD'!F166</f>
        <v>0</v>
      </c>
      <c r="G413" s="68">
        <f>'THE BOARD'!G166</f>
        <v>0</v>
      </c>
      <c r="H413" s="68">
        <f>'THE BOARD'!H166</f>
        <v>0</v>
      </c>
      <c r="I413" s="68">
        <f>'THE BOARD'!I166</f>
        <v>0</v>
      </c>
      <c r="J413" s="68">
        <f>'THE BOARD'!Q173</f>
        <v>0</v>
      </c>
      <c r="K413" s="99">
        <f>'THE BOARD'!U172</f>
        <v>0</v>
      </c>
    </row>
    <row r="414" spans="1:11" ht="12.75" x14ac:dyDescent="0.2">
      <c r="A414" s="68">
        <f>'THE BOARD'!A167</f>
        <v>0</v>
      </c>
      <c r="B414" s="68">
        <f>'THE BOARD'!B167</f>
        <v>0</v>
      </c>
      <c r="C414" s="99" t="str">
        <f>IF('THE BOARD'!U173 = "NESTED","",IF('THE BOARD'!D167&lt;&gt;"",'THE BOARD'!D167+0.72,""))</f>
        <v/>
      </c>
      <c r="D414" s="99" t="str">
        <f>IF(C414&lt;&gt;"", IF('THE BOARD'!U173 = "NESTED","",'THE BOARD'!D167 + IF(C414&lt;&gt;"", 0.72,0)),"")</f>
        <v/>
      </c>
      <c r="E414" s="68">
        <f>'THE BOARD'!E167</f>
        <v>0</v>
      </c>
      <c r="F414" s="68">
        <f>'THE BOARD'!F167</f>
        <v>0</v>
      </c>
      <c r="G414" s="68">
        <f>'THE BOARD'!G167</f>
        <v>0</v>
      </c>
      <c r="H414" s="68">
        <f>'THE BOARD'!H167</f>
        <v>0</v>
      </c>
      <c r="I414" s="68">
        <f>'THE BOARD'!I167</f>
        <v>0</v>
      </c>
      <c r="J414" s="68">
        <f>'THE BOARD'!Q174</f>
        <v>0</v>
      </c>
      <c r="K414" s="99">
        <f>'THE BOARD'!U173</f>
        <v>0</v>
      </c>
    </row>
    <row r="415" spans="1:11" ht="12.75" x14ac:dyDescent="0.2">
      <c r="A415" s="68">
        <f>'THE BOARD'!A168</f>
        <v>0</v>
      </c>
      <c r="B415" s="68">
        <f>'THE BOARD'!B168</f>
        <v>0</v>
      </c>
      <c r="C415" s="99" t="str">
        <f>IF('THE BOARD'!U174 = "NESTED","",IF('THE BOARD'!D168&lt;&gt;"",'THE BOARD'!D168+0.72,""))</f>
        <v/>
      </c>
      <c r="D415" s="99" t="str">
        <f>IF(C415&lt;&gt;"", IF('THE BOARD'!U174 = "NESTED","",'THE BOARD'!D168 + IF(C415&lt;&gt;"", 0.72,0)),"")</f>
        <v/>
      </c>
      <c r="E415" s="68">
        <f>'THE BOARD'!E168</f>
        <v>0</v>
      </c>
      <c r="F415" s="68">
        <f>'THE BOARD'!F168</f>
        <v>0</v>
      </c>
      <c r="G415" s="68">
        <f>'THE BOARD'!G168</f>
        <v>0</v>
      </c>
      <c r="H415" s="68">
        <f>'THE BOARD'!H168</f>
        <v>0</v>
      </c>
      <c r="I415" s="68">
        <f>'THE BOARD'!I168</f>
        <v>0</v>
      </c>
      <c r="J415" s="68">
        <f>'THE BOARD'!Q175</f>
        <v>0</v>
      </c>
      <c r="K415" s="99">
        <f>'THE BOARD'!U174</f>
        <v>0</v>
      </c>
    </row>
    <row r="416" spans="1:11" ht="12.75" x14ac:dyDescent="0.2">
      <c r="A416" s="68">
        <f>'THE BOARD'!A169</f>
        <v>0</v>
      </c>
      <c r="B416" s="68">
        <f>'THE BOARD'!B169</f>
        <v>0</v>
      </c>
      <c r="C416" s="99" t="str">
        <f>IF('THE BOARD'!U175 = "NESTED","",IF('THE BOARD'!D169&lt;&gt;"",'THE BOARD'!D169+0.72,""))</f>
        <v/>
      </c>
      <c r="D416" s="99" t="str">
        <f>IF(C416&lt;&gt;"", IF('THE BOARD'!U175 = "NESTED","",'THE BOARD'!D169 + IF(C416&lt;&gt;"", 0.72,0)),"")</f>
        <v/>
      </c>
      <c r="E416" s="68">
        <f>'THE BOARD'!E169</f>
        <v>0</v>
      </c>
      <c r="F416" s="68">
        <f>'THE BOARD'!F169</f>
        <v>0</v>
      </c>
      <c r="G416" s="68">
        <f>'THE BOARD'!G169</f>
        <v>0</v>
      </c>
      <c r="H416" s="68">
        <f>'THE BOARD'!H169</f>
        <v>0</v>
      </c>
      <c r="I416" s="68">
        <f>'THE BOARD'!I169</f>
        <v>0</v>
      </c>
      <c r="J416" s="68">
        <f>'THE BOARD'!Q176</f>
        <v>0</v>
      </c>
      <c r="K416" s="99">
        <f>'THE BOARD'!U175</f>
        <v>0</v>
      </c>
    </row>
    <row r="417" spans="1:11" ht="12.75" x14ac:dyDescent="0.2">
      <c r="A417" s="68">
        <f>'THE BOARD'!A170</f>
        <v>0</v>
      </c>
      <c r="B417" s="68">
        <f>'THE BOARD'!B170</f>
        <v>0</v>
      </c>
      <c r="C417" s="99" t="str">
        <f>IF('THE BOARD'!U176 = "NESTED","",IF('THE BOARD'!D170&lt;&gt;"",'THE BOARD'!D170+0.72,""))</f>
        <v/>
      </c>
      <c r="D417" s="99" t="str">
        <f>IF(C417&lt;&gt;"", IF('THE BOARD'!U176 = "NESTED","",'THE BOARD'!D170 + IF(C417&lt;&gt;"", 0.72,0)),"")</f>
        <v/>
      </c>
      <c r="E417" s="68">
        <f>'THE BOARD'!E170</f>
        <v>0</v>
      </c>
      <c r="F417" s="68">
        <f>'THE BOARD'!F170</f>
        <v>0</v>
      </c>
      <c r="G417" s="68">
        <f>'THE BOARD'!G170</f>
        <v>0</v>
      </c>
      <c r="H417" s="68">
        <f>'THE BOARD'!H170</f>
        <v>0</v>
      </c>
      <c r="I417" s="68">
        <f>'THE BOARD'!I170</f>
        <v>0</v>
      </c>
      <c r="J417" s="68">
        <f>'THE BOARD'!Q177</f>
        <v>0</v>
      </c>
      <c r="K417" s="99">
        <f>'THE BOARD'!U176</f>
        <v>0</v>
      </c>
    </row>
    <row r="418" spans="1:11" ht="12.75" x14ac:dyDescent="0.2">
      <c r="A418" s="68">
        <f>'THE BOARD'!A171</f>
        <v>0</v>
      </c>
      <c r="B418" s="68">
        <f>'THE BOARD'!B171</f>
        <v>0</v>
      </c>
      <c r="C418" s="99" t="str">
        <f>IF('THE BOARD'!U177 = "NESTED","",IF('THE BOARD'!D171&lt;&gt;"",'THE BOARD'!D171+0.72,""))</f>
        <v/>
      </c>
      <c r="D418" s="99" t="str">
        <f>IF(C418&lt;&gt;"", IF('THE BOARD'!U177 = "NESTED","",'THE BOARD'!D171 + IF(C418&lt;&gt;"", 0.72,0)),"")</f>
        <v/>
      </c>
      <c r="E418" s="68">
        <f>'THE BOARD'!E171</f>
        <v>0</v>
      </c>
      <c r="F418" s="68">
        <f>'THE BOARD'!F171</f>
        <v>0</v>
      </c>
      <c r="G418" s="68">
        <f>'THE BOARD'!G171</f>
        <v>0</v>
      </c>
      <c r="H418" s="68">
        <f>'THE BOARD'!H171</f>
        <v>0</v>
      </c>
      <c r="I418" s="68">
        <f>'THE BOARD'!I171</f>
        <v>0</v>
      </c>
      <c r="J418" s="68">
        <f>'THE BOARD'!Q178</f>
        <v>0</v>
      </c>
      <c r="K418" s="99">
        <f>'THE BOARD'!U177</f>
        <v>0</v>
      </c>
    </row>
    <row r="419" spans="1:11" ht="12.75" x14ac:dyDescent="0.2">
      <c r="A419" s="68">
        <f>'THE BOARD'!A172</f>
        <v>0</v>
      </c>
      <c r="B419" s="68">
        <f>'THE BOARD'!B172</f>
        <v>0</v>
      </c>
      <c r="C419" s="99" t="str">
        <f>IF('THE BOARD'!U178 = "NESTED","",IF('THE BOARD'!D172&lt;&gt;"",'THE BOARD'!D172+0.72,""))</f>
        <v/>
      </c>
      <c r="D419" s="99" t="str">
        <f>IF(C419&lt;&gt;"", IF('THE BOARD'!U178 = "NESTED","",'THE BOARD'!D172 + IF(C419&lt;&gt;"", 0.72,0)),"")</f>
        <v/>
      </c>
      <c r="E419" s="68">
        <f>'THE BOARD'!E172</f>
        <v>0</v>
      </c>
      <c r="F419" s="68">
        <f>'THE BOARD'!F172</f>
        <v>0</v>
      </c>
      <c r="G419" s="68">
        <f>'THE BOARD'!G172</f>
        <v>0</v>
      </c>
      <c r="H419" s="68">
        <f>'THE BOARD'!H172</f>
        <v>0</v>
      </c>
      <c r="I419" s="68">
        <f>'THE BOARD'!I172</f>
        <v>0</v>
      </c>
      <c r="J419" s="68">
        <f>'THE BOARD'!Q179</f>
        <v>0</v>
      </c>
      <c r="K419" s="99">
        <f>'THE BOARD'!U178</f>
        <v>0</v>
      </c>
    </row>
    <row r="420" spans="1:11" ht="12.75" x14ac:dyDescent="0.2">
      <c r="A420" s="68">
        <f>'THE BOARD'!A173</f>
        <v>0</v>
      </c>
      <c r="B420" s="68">
        <f>'THE BOARD'!B173</f>
        <v>0</v>
      </c>
      <c r="C420" s="99" t="str">
        <f>IF('THE BOARD'!U179 = "NESTED","",IF('THE BOARD'!D173&lt;&gt;"",'THE BOARD'!D173+0.72,""))</f>
        <v/>
      </c>
      <c r="D420" s="99" t="str">
        <f>IF(C420&lt;&gt;"", IF('THE BOARD'!U179 = "NESTED","",'THE BOARD'!D173 + IF(C420&lt;&gt;"", 0.72,0)),"")</f>
        <v/>
      </c>
      <c r="E420" s="68">
        <f>'THE BOARD'!E173</f>
        <v>0</v>
      </c>
      <c r="F420" s="68">
        <f>'THE BOARD'!F173</f>
        <v>0</v>
      </c>
      <c r="G420" s="68">
        <f>'THE BOARD'!G173</f>
        <v>0</v>
      </c>
      <c r="H420" s="68">
        <f>'THE BOARD'!H173</f>
        <v>0</v>
      </c>
      <c r="I420" s="68">
        <f>'THE BOARD'!I173</f>
        <v>0</v>
      </c>
      <c r="J420" s="68">
        <f>'THE BOARD'!Q180</f>
        <v>0</v>
      </c>
      <c r="K420" s="99">
        <f>'THE BOARD'!U179</f>
        <v>0</v>
      </c>
    </row>
    <row r="421" spans="1:11" ht="12.75" x14ac:dyDescent="0.2">
      <c r="A421" s="68">
        <f>'THE BOARD'!A174</f>
        <v>0</v>
      </c>
      <c r="B421" s="68">
        <f>'THE BOARD'!B174</f>
        <v>0</v>
      </c>
      <c r="C421" s="99" t="str">
        <f>IF('THE BOARD'!U180 = "NESTED","",IF('THE BOARD'!D174&lt;&gt;"",'THE BOARD'!D174+0.72,""))</f>
        <v/>
      </c>
      <c r="D421" s="99" t="str">
        <f>IF(C421&lt;&gt;"", IF('THE BOARD'!U180 = "NESTED","",'THE BOARD'!D174 + IF(C421&lt;&gt;"", 0.72,0)),"")</f>
        <v/>
      </c>
      <c r="E421" s="68">
        <f>'THE BOARD'!E174</f>
        <v>0</v>
      </c>
      <c r="F421" s="68">
        <f>'THE BOARD'!F174</f>
        <v>0</v>
      </c>
      <c r="G421" s="68">
        <f>'THE BOARD'!G174</f>
        <v>0</v>
      </c>
      <c r="H421" s="68">
        <f>'THE BOARD'!H174</f>
        <v>0</v>
      </c>
      <c r="I421" s="68">
        <f>'THE BOARD'!I174</f>
        <v>0</v>
      </c>
      <c r="J421" s="68">
        <f>'THE BOARD'!Q181</f>
        <v>0</v>
      </c>
      <c r="K421" s="99">
        <f>'THE BOARD'!U180</f>
        <v>0</v>
      </c>
    </row>
    <row r="422" spans="1:11" ht="12.75" x14ac:dyDescent="0.2">
      <c r="A422" s="68">
        <f>'THE BOARD'!A175</f>
        <v>0</v>
      </c>
      <c r="B422" s="68">
        <f>'THE BOARD'!B175</f>
        <v>0</v>
      </c>
      <c r="C422" s="99" t="str">
        <f>IF('THE BOARD'!U181 = "NESTED","",IF('THE BOARD'!D175&lt;&gt;"",'THE BOARD'!D175+0.72,""))</f>
        <v/>
      </c>
      <c r="D422" s="99" t="str">
        <f>IF(C422&lt;&gt;"", IF('THE BOARD'!U181 = "NESTED","",'THE BOARD'!D175 + IF(C422&lt;&gt;"", 0.72,0)),"")</f>
        <v/>
      </c>
      <c r="E422" s="68">
        <f>'THE BOARD'!E175</f>
        <v>0</v>
      </c>
      <c r="F422" s="68">
        <f>'THE BOARD'!F175</f>
        <v>0</v>
      </c>
      <c r="G422" s="68">
        <f>'THE BOARD'!G175</f>
        <v>0</v>
      </c>
      <c r="H422" s="68">
        <f>'THE BOARD'!H175</f>
        <v>0</v>
      </c>
      <c r="I422" s="68">
        <f>'THE BOARD'!I175</f>
        <v>0</v>
      </c>
      <c r="J422" s="68">
        <f>'THE BOARD'!Q182</f>
        <v>0</v>
      </c>
      <c r="K422" s="99">
        <f>'THE BOARD'!U181</f>
        <v>0</v>
      </c>
    </row>
    <row r="423" spans="1:11" ht="12.75" x14ac:dyDescent="0.2">
      <c r="A423" s="68">
        <f>'THE BOARD'!A176</f>
        <v>0</v>
      </c>
      <c r="B423" s="68">
        <f>'THE BOARD'!B176</f>
        <v>0</v>
      </c>
      <c r="C423" s="99" t="str">
        <f>IF('THE BOARD'!U182 = "NESTED","",IF('THE BOARD'!D176&lt;&gt;"",'THE BOARD'!D176+0.72,""))</f>
        <v/>
      </c>
      <c r="D423" s="99" t="str">
        <f>IF(C423&lt;&gt;"", IF('THE BOARD'!U182 = "NESTED","",'THE BOARD'!D176 + IF(C423&lt;&gt;"", 0.72,0)),"")</f>
        <v/>
      </c>
      <c r="E423" s="68">
        <f>'THE BOARD'!E176</f>
        <v>0</v>
      </c>
      <c r="F423" s="68">
        <f>'THE BOARD'!F176</f>
        <v>0</v>
      </c>
      <c r="G423" s="68">
        <f>'THE BOARD'!G176</f>
        <v>0</v>
      </c>
      <c r="H423" s="68">
        <f>'THE BOARD'!H176</f>
        <v>0</v>
      </c>
      <c r="I423" s="68">
        <f>'THE BOARD'!I176</f>
        <v>0</v>
      </c>
      <c r="J423" s="68">
        <f>'THE BOARD'!Q183</f>
        <v>0</v>
      </c>
      <c r="K423" s="99">
        <f>'THE BOARD'!U182</f>
        <v>0</v>
      </c>
    </row>
    <row r="424" spans="1:11" ht="12.75" x14ac:dyDescent="0.2">
      <c r="A424" s="68">
        <f>'THE BOARD'!A177</f>
        <v>0</v>
      </c>
      <c r="B424" s="68">
        <f>'THE BOARD'!B177</f>
        <v>0</v>
      </c>
      <c r="C424" s="99" t="str">
        <f>IF('THE BOARD'!U183 = "NESTED","",IF('THE BOARD'!D177&lt;&gt;"",'THE BOARD'!D177+0.72,""))</f>
        <v/>
      </c>
      <c r="D424" s="99" t="str">
        <f>IF(C424&lt;&gt;"", IF('THE BOARD'!U183 = "NESTED","",'THE BOARD'!D177 + IF(C424&lt;&gt;"", 0.72,0)),"")</f>
        <v/>
      </c>
      <c r="E424" s="68">
        <f>'THE BOARD'!E177</f>
        <v>0</v>
      </c>
      <c r="F424" s="68">
        <f>'THE BOARD'!F177</f>
        <v>0</v>
      </c>
      <c r="G424" s="68">
        <f>'THE BOARD'!G177</f>
        <v>0</v>
      </c>
      <c r="H424" s="68">
        <f>'THE BOARD'!H177</f>
        <v>0</v>
      </c>
      <c r="I424" s="68">
        <f>'THE BOARD'!I177</f>
        <v>0</v>
      </c>
      <c r="J424" s="68">
        <f>'THE BOARD'!Q184</f>
        <v>0</v>
      </c>
      <c r="K424" s="99">
        <f>'THE BOARD'!U183</f>
        <v>0</v>
      </c>
    </row>
    <row r="425" spans="1:11" ht="12.75" x14ac:dyDescent="0.2">
      <c r="A425" s="68">
        <f>'THE BOARD'!A178</f>
        <v>0</v>
      </c>
      <c r="B425" s="68">
        <f>'THE BOARD'!B178</f>
        <v>0</v>
      </c>
      <c r="C425" s="99" t="str">
        <f>IF('THE BOARD'!U184 = "NESTED","",IF('THE BOARD'!D178&lt;&gt;"",'THE BOARD'!D178+0.72,""))</f>
        <v/>
      </c>
      <c r="D425" s="99" t="str">
        <f>IF(C425&lt;&gt;"", IF('THE BOARD'!U184 = "NESTED","",'THE BOARD'!D178 + IF(C425&lt;&gt;"", 0.72,0)),"")</f>
        <v/>
      </c>
      <c r="E425" s="68">
        <f>'THE BOARD'!E178</f>
        <v>0</v>
      </c>
      <c r="F425" s="68">
        <f>'THE BOARD'!F178</f>
        <v>0</v>
      </c>
      <c r="G425" s="68">
        <f>'THE BOARD'!G178</f>
        <v>0</v>
      </c>
      <c r="H425" s="68">
        <f>'THE BOARD'!H178</f>
        <v>0</v>
      </c>
      <c r="I425" s="68">
        <f>'THE BOARD'!I178</f>
        <v>0</v>
      </c>
      <c r="J425" s="68">
        <f>'THE BOARD'!Q185</f>
        <v>0</v>
      </c>
      <c r="K425" s="99">
        <f>'THE BOARD'!U184</f>
        <v>0</v>
      </c>
    </row>
    <row r="426" spans="1:11" ht="12.75" x14ac:dyDescent="0.2">
      <c r="A426" s="68">
        <f>'THE BOARD'!A179</f>
        <v>0</v>
      </c>
      <c r="B426" s="68">
        <f>'THE BOARD'!B179</f>
        <v>0</v>
      </c>
      <c r="C426" s="99" t="str">
        <f>IF('THE BOARD'!U185 = "NESTED","",IF('THE BOARD'!D179&lt;&gt;"",'THE BOARD'!D179+0.72,""))</f>
        <v/>
      </c>
      <c r="D426" s="99" t="str">
        <f>IF(C426&lt;&gt;"", IF('THE BOARD'!U185 = "NESTED","",'THE BOARD'!D179 + IF(C426&lt;&gt;"", 0.72,0)),"")</f>
        <v/>
      </c>
      <c r="E426" s="68">
        <f>'THE BOARD'!E179</f>
        <v>0</v>
      </c>
      <c r="F426" s="68">
        <f>'THE BOARD'!F179</f>
        <v>0</v>
      </c>
      <c r="G426" s="68">
        <f>'THE BOARD'!G179</f>
        <v>0</v>
      </c>
      <c r="H426" s="68">
        <f>'THE BOARD'!H179</f>
        <v>0</v>
      </c>
      <c r="I426" s="68">
        <f>'THE BOARD'!I179</f>
        <v>0</v>
      </c>
      <c r="J426" s="68">
        <f>'THE BOARD'!Q186</f>
        <v>0</v>
      </c>
      <c r="K426" s="99">
        <f>'THE BOARD'!U185</f>
        <v>0</v>
      </c>
    </row>
    <row r="427" spans="1:11" ht="12.75" x14ac:dyDescent="0.2">
      <c r="A427" s="68">
        <f>'THE BOARD'!A180</f>
        <v>0</v>
      </c>
      <c r="B427" s="68">
        <f>'THE BOARD'!B180</f>
        <v>0</v>
      </c>
      <c r="C427" s="99" t="str">
        <f>IF('THE BOARD'!U186 = "NESTED","",IF('THE BOARD'!D180&lt;&gt;"",'THE BOARD'!D180+0.72,""))</f>
        <v/>
      </c>
      <c r="D427" s="99" t="str">
        <f>IF(C427&lt;&gt;"", IF('THE BOARD'!U186 = "NESTED","",'THE BOARD'!D180 + IF(C427&lt;&gt;"", 0.72,0)),"")</f>
        <v/>
      </c>
      <c r="E427" s="68">
        <f>'THE BOARD'!E180</f>
        <v>0</v>
      </c>
      <c r="F427" s="68">
        <f>'THE BOARD'!F180</f>
        <v>0</v>
      </c>
      <c r="G427" s="68">
        <f>'THE BOARD'!G180</f>
        <v>0</v>
      </c>
      <c r="H427" s="68">
        <f>'THE BOARD'!H180</f>
        <v>0</v>
      </c>
      <c r="I427" s="68">
        <f>'THE BOARD'!I180</f>
        <v>0</v>
      </c>
      <c r="J427" s="68">
        <f>'THE BOARD'!Q187</f>
        <v>0</v>
      </c>
      <c r="K427" s="99">
        <f>'THE BOARD'!U186</f>
        <v>0</v>
      </c>
    </row>
    <row r="428" spans="1:11" ht="12.75" x14ac:dyDescent="0.2">
      <c r="A428" s="68">
        <f>'THE BOARD'!A181</f>
        <v>0</v>
      </c>
      <c r="B428" s="68">
        <f>'THE BOARD'!B181</f>
        <v>0</v>
      </c>
      <c r="C428" s="99" t="str">
        <f>IF('THE BOARD'!U187 = "NESTED","",IF('THE BOARD'!D181&lt;&gt;"",'THE BOARD'!D181+0.72,""))</f>
        <v/>
      </c>
      <c r="D428" s="99" t="str">
        <f>IF(C428&lt;&gt;"", IF('THE BOARD'!U187 = "NESTED","",'THE BOARD'!D181 + IF(C428&lt;&gt;"", 0.72,0)),"")</f>
        <v/>
      </c>
      <c r="E428" s="68">
        <f>'THE BOARD'!E181</f>
        <v>0</v>
      </c>
      <c r="F428" s="68">
        <f>'THE BOARD'!F181</f>
        <v>0</v>
      </c>
      <c r="G428" s="68">
        <f>'THE BOARD'!G181</f>
        <v>0</v>
      </c>
      <c r="H428" s="68">
        <f>'THE BOARD'!H181</f>
        <v>0</v>
      </c>
      <c r="I428" s="68">
        <f>'THE BOARD'!I181</f>
        <v>0</v>
      </c>
      <c r="J428" s="68">
        <f>'THE BOARD'!Q188</f>
        <v>0</v>
      </c>
      <c r="K428" s="99">
        <f>'THE BOARD'!U187</f>
        <v>0</v>
      </c>
    </row>
    <row r="429" spans="1:11" ht="12.75" x14ac:dyDescent="0.2">
      <c r="A429" s="68">
        <f>'THE BOARD'!A182</f>
        <v>0</v>
      </c>
      <c r="B429" s="68">
        <f>'THE BOARD'!B182</f>
        <v>0</v>
      </c>
      <c r="C429" s="99" t="str">
        <f>IF('THE BOARD'!U188 = "NESTED","",IF('THE BOARD'!D182&lt;&gt;"",'THE BOARD'!D182+0.72,""))</f>
        <v/>
      </c>
      <c r="D429" s="99" t="str">
        <f>IF(C429&lt;&gt;"", IF('THE BOARD'!U188 = "NESTED","",'THE BOARD'!D182 + IF(C429&lt;&gt;"", 0.72,0)),"")</f>
        <v/>
      </c>
      <c r="E429" s="68">
        <f>'THE BOARD'!E182</f>
        <v>0</v>
      </c>
      <c r="F429" s="68">
        <f>'THE BOARD'!F182</f>
        <v>0</v>
      </c>
      <c r="G429" s="68">
        <f>'THE BOARD'!G182</f>
        <v>0</v>
      </c>
      <c r="H429" s="68">
        <f>'THE BOARD'!H182</f>
        <v>0</v>
      </c>
      <c r="I429" s="68">
        <f>'THE BOARD'!I182</f>
        <v>0</v>
      </c>
      <c r="J429" s="68">
        <f>'THE BOARD'!Q189</f>
        <v>0</v>
      </c>
      <c r="K429" s="99">
        <f>'THE BOARD'!U188</f>
        <v>0</v>
      </c>
    </row>
    <row r="430" spans="1:11" ht="12.75" x14ac:dyDescent="0.2">
      <c r="A430" s="68">
        <f>'THE BOARD'!A183</f>
        <v>0</v>
      </c>
      <c r="B430" s="68">
        <f>'THE BOARD'!B183</f>
        <v>0</v>
      </c>
      <c r="C430" s="99" t="str">
        <f>IF('THE BOARD'!U189 = "NESTED","",IF('THE BOARD'!D183&lt;&gt;"",'THE BOARD'!D183+0.72,""))</f>
        <v/>
      </c>
      <c r="D430" s="99" t="str">
        <f>IF(C430&lt;&gt;"", IF('THE BOARD'!U189 = "NESTED","",'THE BOARD'!D183 + IF(C430&lt;&gt;"", 0.72,0)),"")</f>
        <v/>
      </c>
      <c r="E430" s="68">
        <f>'THE BOARD'!E183</f>
        <v>0</v>
      </c>
      <c r="F430" s="68">
        <f>'THE BOARD'!F183</f>
        <v>0</v>
      </c>
      <c r="G430" s="68">
        <f>'THE BOARD'!G183</f>
        <v>0</v>
      </c>
      <c r="H430" s="68">
        <f>'THE BOARD'!H183</f>
        <v>0</v>
      </c>
      <c r="I430" s="68">
        <f>'THE BOARD'!I183</f>
        <v>0</v>
      </c>
      <c r="J430" s="68">
        <f>'THE BOARD'!Q190</f>
        <v>0</v>
      </c>
      <c r="K430" s="99">
        <f>'THE BOARD'!U189</f>
        <v>0</v>
      </c>
    </row>
    <row r="431" spans="1:11" ht="12.75" x14ac:dyDescent="0.2">
      <c r="A431" s="68">
        <f>'THE BOARD'!A184</f>
        <v>0</v>
      </c>
      <c r="B431" s="68">
        <f>'THE BOARD'!B184</f>
        <v>0</v>
      </c>
      <c r="C431" s="99" t="str">
        <f>IF('THE BOARD'!U190 = "NESTED","",IF('THE BOARD'!D184&lt;&gt;"",'THE BOARD'!D184+0.72,""))</f>
        <v/>
      </c>
      <c r="D431" s="99" t="str">
        <f>IF(C431&lt;&gt;"", IF('THE BOARD'!U190 = "NESTED","",'THE BOARD'!D184 + IF(C431&lt;&gt;"", 0.72,0)),"")</f>
        <v/>
      </c>
      <c r="E431" s="68">
        <f>'THE BOARD'!E184</f>
        <v>0</v>
      </c>
      <c r="F431" s="68">
        <f>'THE BOARD'!F184</f>
        <v>0</v>
      </c>
      <c r="G431" s="68">
        <f>'THE BOARD'!G184</f>
        <v>0</v>
      </c>
      <c r="H431" s="68">
        <f>'THE BOARD'!H184</f>
        <v>0</v>
      </c>
      <c r="I431" s="68">
        <f>'THE BOARD'!I184</f>
        <v>0</v>
      </c>
      <c r="J431" s="68">
        <f>'THE BOARD'!Q191</f>
        <v>0</v>
      </c>
      <c r="K431" s="99">
        <f>'THE BOARD'!U190</f>
        <v>0</v>
      </c>
    </row>
    <row r="432" spans="1:11" ht="12.75" x14ac:dyDescent="0.2">
      <c r="A432" s="68">
        <f>'THE BOARD'!A185</f>
        <v>0</v>
      </c>
      <c r="B432" s="68">
        <f>'THE BOARD'!B185</f>
        <v>0</v>
      </c>
      <c r="C432" s="99" t="str">
        <f>IF('THE BOARD'!U191 = "NESTED","",IF('THE BOARD'!D185&lt;&gt;"",'THE BOARD'!D185+0.72,""))</f>
        <v/>
      </c>
      <c r="D432" s="99" t="str">
        <f>IF(C432&lt;&gt;"", IF('THE BOARD'!U191 = "NESTED","",'THE BOARD'!D185 + IF(C432&lt;&gt;"", 0.72,0)),"")</f>
        <v/>
      </c>
      <c r="E432" s="68">
        <f>'THE BOARD'!E185</f>
        <v>0</v>
      </c>
      <c r="F432" s="68">
        <f>'THE BOARD'!F185</f>
        <v>0</v>
      </c>
      <c r="G432" s="68">
        <f>'THE BOARD'!G185</f>
        <v>0</v>
      </c>
      <c r="H432" s="68">
        <f>'THE BOARD'!H185</f>
        <v>0</v>
      </c>
      <c r="I432" s="68">
        <f>'THE BOARD'!I185</f>
        <v>0</v>
      </c>
      <c r="J432" s="68">
        <f>'THE BOARD'!Q192</f>
        <v>0</v>
      </c>
      <c r="K432" s="99">
        <f>'THE BOARD'!U191</f>
        <v>0</v>
      </c>
    </row>
    <row r="433" spans="1:11" ht="12.75" x14ac:dyDescent="0.2">
      <c r="A433" s="68">
        <f>'THE BOARD'!A186</f>
        <v>0</v>
      </c>
      <c r="B433" s="68">
        <f>'THE BOARD'!B186</f>
        <v>0</v>
      </c>
      <c r="C433" s="99" t="str">
        <f>IF('THE BOARD'!U192 = "NESTED","",IF('THE BOARD'!D186&lt;&gt;"",'THE BOARD'!D186+0.72,""))</f>
        <v/>
      </c>
      <c r="D433" s="99" t="str">
        <f>IF(C433&lt;&gt;"", IF('THE BOARD'!U192 = "NESTED","",'THE BOARD'!D186 + IF(C433&lt;&gt;"", 0.72,0)),"")</f>
        <v/>
      </c>
      <c r="E433" s="68">
        <f>'THE BOARD'!E186</f>
        <v>0</v>
      </c>
      <c r="F433" s="68">
        <f>'THE BOARD'!F186</f>
        <v>0</v>
      </c>
      <c r="G433" s="68">
        <f>'THE BOARD'!G186</f>
        <v>0</v>
      </c>
      <c r="H433" s="68">
        <f>'THE BOARD'!H186</f>
        <v>0</v>
      </c>
      <c r="I433" s="68">
        <f>'THE BOARD'!I186</f>
        <v>0</v>
      </c>
      <c r="J433" s="68">
        <f>'THE BOARD'!Q193</f>
        <v>0</v>
      </c>
      <c r="K433" s="99">
        <f>'THE BOARD'!U192</f>
        <v>0</v>
      </c>
    </row>
    <row r="434" spans="1:11" ht="12.75" x14ac:dyDescent="0.2">
      <c r="A434" s="68">
        <f>'THE BOARD'!A187</f>
        <v>0</v>
      </c>
      <c r="B434" s="68">
        <f>'THE BOARD'!B187</f>
        <v>0</v>
      </c>
      <c r="C434" s="99" t="str">
        <f>IF('THE BOARD'!U193 = "NESTED","",IF('THE BOARD'!D187&lt;&gt;"",'THE BOARD'!D187+0.72,""))</f>
        <v/>
      </c>
      <c r="D434" s="99" t="str">
        <f>IF(C434&lt;&gt;"", IF('THE BOARD'!U193 = "NESTED","",'THE BOARD'!D187 + IF(C434&lt;&gt;"", 0.72,0)),"")</f>
        <v/>
      </c>
      <c r="E434" s="68">
        <f>'THE BOARD'!E187</f>
        <v>0</v>
      </c>
      <c r="F434" s="68">
        <f>'THE BOARD'!F187</f>
        <v>0</v>
      </c>
      <c r="G434" s="68">
        <f>'THE BOARD'!G187</f>
        <v>0</v>
      </c>
      <c r="H434" s="68">
        <f>'THE BOARD'!H187</f>
        <v>0</v>
      </c>
      <c r="I434" s="68">
        <f>'THE BOARD'!I187</f>
        <v>0</v>
      </c>
      <c r="J434" s="68">
        <f>'THE BOARD'!Q194</f>
        <v>0</v>
      </c>
      <c r="K434" s="99">
        <f>'THE BOARD'!U193</f>
        <v>0</v>
      </c>
    </row>
    <row r="435" spans="1:11" ht="12.75" x14ac:dyDescent="0.2">
      <c r="A435" s="68">
        <f>'THE BOARD'!A188</f>
        <v>0</v>
      </c>
      <c r="B435" s="68">
        <f>'THE BOARD'!B188</f>
        <v>0</v>
      </c>
      <c r="C435" s="99" t="str">
        <f>IF('THE BOARD'!U194 = "NESTED","",IF('THE BOARD'!D188&lt;&gt;"",'THE BOARD'!D188+0.72,""))</f>
        <v/>
      </c>
      <c r="D435" s="99" t="str">
        <f>IF(C435&lt;&gt;"", IF('THE BOARD'!U194 = "NESTED","",'THE BOARD'!D188 + IF(C435&lt;&gt;"", 0.72,0)),"")</f>
        <v/>
      </c>
      <c r="E435" s="68">
        <f>'THE BOARD'!E188</f>
        <v>0</v>
      </c>
      <c r="F435" s="68">
        <f>'THE BOARD'!F188</f>
        <v>0</v>
      </c>
      <c r="G435" s="68">
        <f>'THE BOARD'!G188</f>
        <v>0</v>
      </c>
      <c r="H435" s="68">
        <f>'THE BOARD'!H188</f>
        <v>0</v>
      </c>
      <c r="I435" s="68">
        <f>'THE BOARD'!I188</f>
        <v>0</v>
      </c>
      <c r="J435" s="68">
        <f>'THE BOARD'!Q195</f>
        <v>0</v>
      </c>
      <c r="K435" s="99">
        <f>'THE BOARD'!U194</f>
        <v>0</v>
      </c>
    </row>
    <row r="436" spans="1:11" ht="12.75" x14ac:dyDescent="0.2">
      <c r="A436" s="68">
        <f>'THE BOARD'!A189</f>
        <v>0</v>
      </c>
      <c r="B436" s="68">
        <f>'THE BOARD'!B189</f>
        <v>0</v>
      </c>
      <c r="C436" s="99" t="str">
        <f>IF('THE BOARD'!U195 = "NESTED","",IF('THE BOARD'!D189&lt;&gt;"",'THE BOARD'!D189+0.72,""))</f>
        <v/>
      </c>
      <c r="D436" s="99" t="str">
        <f>IF(C436&lt;&gt;"", IF('THE BOARD'!U195 = "NESTED","",'THE BOARD'!D189 + IF(C436&lt;&gt;"", 0.72,0)),"")</f>
        <v/>
      </c>
      <c r="E436" s="68">
        <f>'THE BOARD'!E189</f>
        <v>0</v>
      </c>
      <c r="F436" s="68">
        <f>'THE BOARD'!F189</f>
        <v>0</v>
      </c>
      <c r="G436" s="68">
        <f>'THE BOARD'!G189</f>
        <v>0</v>
      </c>
      <c r="H436" s="68">
        <f>'THE BOARD'!H189</f>
        <v>0</v>
      </c>
      <c r="I436" s="68">
        <f>'THE BOARD'!I189</f>
        <v>0</v>
      </c>
      <c r="J436" s="68">
        <f>'THE BOARD'!Q196</f>
        <v>0</v>
      </c>
      <c r="K436" s="99">
        <f>'THE BOARD'!U195</f>
        <v>0</v>
      </c>
    </row>
    <row r="437" spans="1:11" ht="12.75" x14ac:dyDescent="0.2">
      <c r="A437" s="68">
        <f>'THE BOARD'!A190</f>
        <v>0</v>
      </c>
      <c r="B437" s="68">
        <f>'THE BOARD'!B190</f>
        <v>0</v>
      </c>
      <c r="C437" s="99" t="str">
        <f>IF('THE BOARD'!U196 = "NESTED","",IF('THE BOARD'!D190&lt;&gt;"",'THE BOARD'!D190+0.72,""))</f>
        <v/>
      </c>
      <c r="D437" s="99" t="str">
        <f>IF(C437&lt;&gt;"", IF('THE BOARD'!U196 = "NESTED","",'THE BOARD'!D190 + IF(C437&lt;&gt;"", 0.72,0)),"")</f>
        <v/>
      </c>
      <c r="E437" s="68">
        <f>'THE BOARD'!E190</f>
        <v>0</v>
      </c>
      <c r="F437" s="68">
        <f>'THE BOARD'!F190</f>
        <v>0</v>
      </c>
      <c r="G437" s="68">
        <f>'THE BOARD'!G190</f>
        <v>0</v>
      </c>
      <c r="H437" s="68">
        <f>'THE BOARD'!H190</f>
        <v>0</v>
      </c>
      <c r="I437" s="68">
        <f>'THE BOARD'!I190</f>
        <v>0</v>
      </c>
      <c r="J437" s="68">
        <f>'THE BOARD'!Q197</f>
        <v>0</v>
      </c>
      <c r="K437" s="99">
        <f>'THE BOARD'!U196</f>
        <v>0</v>
      </c>
    </row>
    <row r="438" spans="1:11" ht="12.75" x14ac:dyDescent="0.2">
      <c r="A438" s="68">
        <f>'THE BOARD'!A191</f>
        <v>0</v>
      </c>
      <c r="B438" s="68">
        <f>'THE BOARD'!B191</f>
        <v>0</v>
      </c>
      <c r="C438" s="99" t="str">
        <f>IF('THE BOARD'!U197 = "NESTED","",IF('THE BOARD'!D191&lt;&gt;"",'THE BOARD'!D191+0.72,""))</f>
        <v/>
      </c>
      <c r="D438" s="99" t="str">
        <f>IF(C438&lt;&gt;"", IF('THE BOARD'!U197 = "NESTED","",'THE BOARD'!D191 + IF(C438&lt;&gt;"", 0.72,0)),"")</f>
        <v/>
      </c>
      <c r="E438" s="68">
        <f>'THE BOARD'!E191</f>
        <v>0</v>
      </c>
      <c r="F438" s="68">
        <f>'THE BOARD'!F191</f>
        <v>0</v>
      </c>
      <c r="G438" s="68">
        <f>'THE BOARD'!G191</f>
        <v>0</v>
      </c>
      <c r="H438" s="68">
        <f>'THE BOARD'!H191</f>
        <v>0</v>
      </c>
      <c r="I438" s="68">
        <f>'THE BOARD'!I191</f>
        <v>0</v>
      </c>
      <c r="J438" s="68">
        <f>'THE BOARD'!Q198</f>
        <v>0</v>
      </c>
      <c r="K438" s="99">
        <f>'THE BOARD'!U197</f>
        <v>0</v>
      </c>
    </row>
    <row r="439" spans="1:11" ht="12.75" x14ac:dyDescent="0.2">
      <c r="A439" s="68">
        <f>'THE BOARD'!A192</f>
        <v>0</v>
      </c>
      <c r="B439" s="68">
        <f>'THE BOARD'!B192</f>
        <v>0</v>
      </c>
      <c r="C439" s="99" t="str">
        <f>IF('THE BOARD'!U198 = "NESTED","",IF('THE BOARD'!D192&lt;&gt;"",'THE BOARD'!D192+0.72,""))</f>
        <v/>
      </c>
      <c r="D439" s="99" t="str">
        <f>IF(C439&lt;&gt;"", IF('THE BOARD'!U198 = "NESTED","",'THE BOARD'!D192 + IF(C439&lt;&gt;"", 0.72,0)),"")</f>
        <v/>
      </c>
      <c r="E439" s="68">
        <f>'THE BOARD'!E192</f>
        <v>0</v>
      </c>
      <c r="F439" s="68">
        <f>'THE BOARD'!F192</f>
        <v>0</v>
      </c>
      <c r="G439" s="68">
        <f>'THE BOARD'!G192</f>
        <v>0</v>
      </c>
      <c r="H439" s="68">
        <f>'THE BOARD'!H192</f>
        <v>0</v>
      </c>
      <c r="I439" s="68">
        <f>'THE BOARD'!I192</f>
        <v>0</v>
      </c>
      <c r="J439" s="68">
        <f>'THE BOARD'!Q199</f>
        <v>0</v>
      </c>
      <c r="K439" s="99">
        <f>'THE BOARD'!U198</f>
        <v>0</v>
      </c>
    </row>
    <row r="440" spans="1:11" ht="12.75" x14ac:dyDescent="0.2">
      <c r="A440" s="68">
        <f>'THE BOARD'!A193</f>
        <v>0</v>
      </c>
      <c r="B440" s="68">
        <f>'THE BOARD'!B193</f>
        <v>0</v>
      </c>
      <c r="C440" s="99" t="str">
        <f>IF('THE BOARD'!U199 = "NESTED","",IF('THE BOARD'!D193&lt;&gt;"",'THE BOARD'!D193+0.72,""))</f>
        <v/>
      </c>
      <c r="D440" s="99" t="str">
        <f>IF(C440&lt;&gt;"", IF('THE BOARD'!U199 = "NESTED","",'THE BOARD'!D193 + IF(C440&lt;&gt;"", 0.72,0)),"")</f>
        <v/>
      </c>
      <c r="E440" s="68">
        <f>'THE BOARD'!E193</f>
        <v>0</v>
      </c>
      <c r="F440" s="68">
        <f>'THE BOARD'!F193</f>
        <v>0</v>
      </c>
      <c r="G440" s="68">
        <f>'THE BOARD'!G193</f>
        <v>0</v>
      </c>
      <c r="H440" s="68">
        <f>'THE BOARD'!H193</f>
        <v>0</v>
      </c>
      <c r="I440" s="68">
        <f>'THE BOARD'!I193</f>
        <v>0</v>
      </c>
      <c r="J440" s="68">
        <f>'THE BOARD'!Q200</f>
        <v>0</v>
      </c>
      <c r="K440" s="99">
        <f>'THE BOARD'!U199</f>
        <v>0</v>
      </c>
    </row>
    <row r="441" spans="1:11" ht="12.75" x14ac:dyDescent="0.2">
      <c r="A441" s="68">
        <f>'THE BOARD'!A194</f>
        <v>0</v>
      </c>
      <c r="B441" s="68">
        <f>'THE BOARD'!B194</f>
        <v>0</v>
      </c>
      <c r="C441" s="99" t="str">
        <f>IF('THE BOARD'!U200 = "NESTED","",IF('THE BOARD'!D194&lt;&gt;"",'THE BOARD'!D194+0.72,""))</f>
        <v/>
      </c>
      <c r="D441" s="99" t="str">
        <f>IF(C441&lt;&gt;"", IF('THE BOARD'!U200 = "NESTED","",'THE BOARD'!D194 + IF(C441&lt;&gt;"", 0.72,0)),"")</f>
        <v/>
      </c>
      <c r="E441" s="68">
        <f>'THE BOARD'!E194</f>
        <v>0</v>
      </c>
      <c r="F441" s="68">
        <f>'THE BOARD'!F194</f>
        <v>0</v>
      </c>
      <c r="G441" s="68">
        <f>'THE BOARD'!G194</f>
        <v>0</v>
      </c>
      <c r="H441" s="68">
        <f>'THE BOARD'!H194</f>
        <v>0</v>
      </c>
      <c r="I441" s="68">
        <f>'THE BOARD'!I194</f>
        <v>0</v>
      </c>
      <c r="J441" s="68">
        <f>'THE BOARD'!Q201</f>
        <v>0</v>
      </c>
      <c r="K441" s="99">
        <f>'THE BOARD'!U200</f>
        <v>0</v>
      </c>
    </row>
    <row r="442" spans="1:11" ht="12.75" x14ac:dyDescent="0.2">
      <c r="A442" s="68">
        <f>'THE BOARD'!A195</f>
        <v>0</v>
      </c>
      <c r="B442" s="68">
        <f>'THE BOARD'!B195</f>
        <v>0</v>
      </c>
      <c r="C442" s="99" t="str">
        <f>IF('THE BOARD'!U201 = "NESTED","",IF('THE BOARD'!D195&lt;&gt;"",'THE BOARD'!D195+0.72,""))</f>
        <v/>
      </c>
      <c r="D442" s="99" t="str">
        <f>IF(C442&lt;&gt;"", IF('THE BOARD'!U201 = "NESTED","",'THE BOARD'!D195 + IF(C442&lt;&gt;"", 0.72,0)),"")</f>
        <v/>
      </c>
      <c r="E442" s="68">
        <f>'THE BOARD'!E195</f>
        <v>0</v>
      </c>
      <c r="F442" s="68">
        <f>'THE BOARD'!F195</f>
        <v>0</v>
      </c>
      <c r="G442" s="68">
        <f>'THE BOARD'!G195</f>
        <v>0</v>
      </c>
      <c r="H442" s="68">
        <f>'THE BOARD'!H195</f>
        <v>0</v>
      </c>
      <c r="I442" s="68">
        <f>'THE BOARD'!I195</f>
        <v>0</v>
      </c>
      <c r="J442" s="68">
        <f>'THE BOARD'!Q202</f>
        <v>0</v>
      </c>
      <c r="K442" s="99">
        <f>'THE BOARD'!U201</f>
        <v>0</v>
      </c>
    </row>
    <row r="443" spans="1:11" ht="12.75" x14ac:dyDescent="0.2">
      <c r="A443" s="68">
        <f>'THE BOARD'!A196</f>
        <v>0</v>
      </c>
      <c r="B443" s="68">
        <f>'THE BOARD'!B196</f>
        <v>0</v>
      </c>
      <c r="C443" s="99" t="str">
        <f>IF('THE BOARD'!U202 = "NESTED","",IF('THE BOARD'!D196&lt;&gt;"",'THE BOARD'!D196+0.72,""))</f>
        <v/>
      </c>
      <c r="D443" s="99" t="str">
        <f>IF(C443&lt;&gt;"", IF('THE BOARD'!U202 = "NESTED","",'THE BOARD'!D196 + IF(C443&lt;&gt;"", 0.72,0)),"")</f>
        <v/>
      </c>
      <c r="E443" s="68">
        <f>'THE BOARD'!E196</f>
        <v>0</v>
      </c>
      <c r="F443" s="68">
        <f>'THE BOARD'!F196</f>
        <v>0</v>
      </c>
      <c r="G443" s="68">
        <f>'THE BOARD'!G196</f>
        <v>0</v>
      </c>
      <c r="H443" s="68">
        <f>'THE BOARD'!H196</f>
        <v>0</v>
      </c>
      <c r="I443" s="68">
        <f>'THE BOARD'!I196</f>
        <v>0</v>
      </c>
      <c r="J443" s="68">
        <f>'THE BOARD'!Q203</f>
        <v>0</v>
      </c>
      <c r="K443" s="99">
        <f>'THE BOARD'!U202</f>
        <v>0</v>
      </c>
    </row>
    <row r="444" spans="1:11" ht="12.75" x14ac:dyDescent="0.2">
      <c r="A444" s="68">
        <f>'THE BOARD'!A197</f>
        <v>0</v>
      </c>
      <c r="B444" s="68">
        <f>'THE BOARD'!B197</f>
        <v>0</v>
      </c>
      <c r="C444" s="99" t="str">
        <f>IF('THE BOARD'!U203 = "NESTED","",IF('THE BOARD'!D197&lt;&gt;"",'THE BOARD'!D197+0.72,""))</f>
        <v/>
      </c>
      <c r="D444" s="99" t="str">
        <f>IF(C444&lt;&gt;"", IF('THE BOARD'!U203 = "NESTED","",'THE BOARD'!D197 + IF(C444&lt;&gt;"", 0.72,0)),"")</f>
        <v/>
      </c>
      <c r="E444" s="68">
        <f>'THE BOARD'!E197</f>
        <v>0</v>
      </c>
      <c r="F444" s="68">
        <f>'THE BOARD'!F197</f>
        <v>0</v>
      </c>
      <c r="G444" s="68">
        <f>'THE BOARD'!G197</f>
        <v>0</v>
      </c>
      <c r="H444" s="68">
        <f>'THE BOARD'!H197</f>
        <v>0</v>
      </c>
      <c r="I444" s="68">
        <f>'THE BOARD'!I197</f>
        <v>0</v>
      </c>
      <c r="J444" s="68">
        <f>'THE BOARD'!Q204</f>
        <v>0</v>
      </c>
      <c r="K444" s="99">
        <f>'THE BOARD'!U203</f>
        <v>0</v>
      </c>
    </row>
    <row r="445" spans="1:11" ht="12.75" x14ac:dyDescent="0.2">
      <c r="A445" s="68">
        <f>'THE BOARD'!A198</f>
        <v>0</v>
      </c>
      <c r="B445" s="68">
        <f>'THE BOARD'!B198</f>
        <v>0</v>
      </c>
      <c r="C445" s="99" t="str">
        <f>IF('THE BOARD'!U204 = "NESTED","",IF('THE BOARD'!D198&lt;&gt;"",'THE BOARD'!D198+0.72,""))</f>
        <v/>
      </c>
      <c r="D445" s="99" t="str">
        <f>IF(C445&lt;&gt;"", IF('THE BOARD'!U204 = "NESTED","",'THE BOARD'!D198 + IF(C445&lt;&gt;"", 0.72,0)),"")</f>
        <v/>
      </c>
      <c r="E445" s="68">
        <f>'THE BOARD'!E198</f>
        <v>0</v>
      </c>
      <c r="F445" s="68">
        <f>'THE BOARD'!F198</f>
        <v>0</v>
      </c>
      <c r="G445" s="68">
        <f>'THE BOARD'!G198</f>
        <v>0</v>
      </c>
      <c r="H445" s="68">
        <f>'THE BOARD'!H198</f>
        <v>0</v>
      </c>
      <c r="I445" s="68">
        <f>'THE BOARD'!I198</f>
        <v>0</v>
      </c>
      <c r="J445" s="68">
        <f>'THE BOARD'!Q205</f>
        <v>0</v>
      </c>
      <c r="K445" s="99">
        <f>'THE BOARD'!U204</f>
        <v>0</v>
      </c>
    </row>
    <row r="446" spans="1:11" ht="12.75" x14ac:dyDescent="0.2">
      <c r="A446" s="68">
        <f>'THE BOARD'!A199</f>
        <v>0</v>
      </c>
      <c r="B446" s="68">
        <f>'THE BOARD'!B199</f>
        <v>0</v>
      </c>
      <c r="C446" s="99" t="str">
        <f>IF('THE BOARD'!U205 = "NESTED","",IF('THE BOARD'!D199&lt;&gt;"",'THE BOARD'!D199+0.72,""))</f>
        <v/>
      </c>
      <c r="D446" s="99" t="str">
        <f>IF(C446&lt;&gt;"", IF('THE BOARD'!U205 = "NESTED","",'THE BOARD'!D199 + IF(C446&lt;&gt;"", 0.72,0)),"")</f>
        <v/>
      </c>
      <c r="E446" s="68">
        <f>'THE BOARD'!E199</f>
        <v>0</v>
      </c>
      <c r="F446" s="68">
        <f>'THE BOARD'!F199</f>
        <v>0</v>
      </c>
      <c r="G446" s="68">
        <f>'THE BOARD'!G199</f>
        <v>0</v>
      </c>
      <c r="H446" s="68">
        <f>'THE BOARD'!H199</f>
        <v>0</v>
      </c>
      <c r="I446" s="68">
        <f>'THE BOARD'!I199</f>
        <v>0</v>
      </c>
      <c r="J446" s="68">
        <f>'THE BOARD'!Q206</f>
        <v>0</v>
      </c>
      <c r="K446" s="99">
        <f>'THE BOARD'!U205</f>
        <v>0</v>
      </c>
    </row>
    <row r="447" spans="1:11" ht="12.75" x14ac:dyDescent="0.2">
      <c r="A447" s="68">
        <f>'THE BOARD'!A200</f>
        <v>0</v>
      </c>
      <c r="B447" s="68">
        <f>'THE BOARD'!B200</f>
        <v>0</v>
      </c>
      <c r="C447" s="99" t="str">
        <f>IF('THE BOARD'!U206 = "NESTED","",IF('THE BOARD'!D200&lt;&gt;"",'THE BOARD'!D200+0.72,""))</f>
        <v/>
      </c>
      <c r="D447" s="99" t="str">
        <f>IF(C447&lt;&gt;"", IF('THE BOARD'!U206 = "NESTED","",'THE BOARD'!D200 + IF(C447&lt;&gt;"", 0.72,0)),"")</f>
        <v/>
      </c>
      <c r="E447" s="68">
        <f>'THE BOARD'!E200</f>
        <v>0</v>
      </c>
      <c r="F447" s="68">
        <f>'THE BOARD'!F200</f>
        <v>0</v>
      </c>
      <c r="G447" s="68">
        <f>'THE BOARD'!G200</f>
        <v>0</v>
      </c>
      <c r="H447" s="68">
        <f>'THE BOARD'!H200</f>
        <v>0</v>
      </c>
      <c r="I447" s="68">
        <f>'THE BOARD'!I200</f>
        <v>0</v>
      </c>
      <c r="J447" s="68">
        <f>'THE BOARD'!Q207</f>
        <v>0</v>
      </c>
      <c r="K447" s="99">
        <f>'THE BOARD'!U206</f>
        <v>0</v>
      </c>
    </row>
    <row r="448" spans="1:11" ht="12.75" x14ac:dyDescent="0.2">
      <c r="A448" s="68">
        <f>'THE BOARD'!A201</f>
        <v>0</v>
      </c>
      <c r="B448" s="68">
        <f>'THE BOARD'!B201</f>
        <v>0</v>
      </c>
      <c r="C448" s="99" t="str">
        <f>IF('THE BOARD'!U207 = "NESTED","",IF('THE BOARD'!D201&lt;&gt;"",'THE BOARD'!D201+0.72,""))</f>
        <v/>
      </c>
      <c r="D448" s="99" t="str">
        <f>IF(C448&lt;&gt;"", IF('THE BOARD'!U207 = "NESTED","",'THE BOARD'!D201 + IF(C448&lt;&gt;"", 0.72,0)),"")</f>
        <v/>
      </c>
      <c r="E448" s="68">
        <f>'THE BOARD'!E201</f>
        <v>0</v>
      </c>
      <c r="F448" s="68">
        <f>'THE BOARD'!F201</f>
        <v>0</v>
      </c>
      <c r="G448" s="68">
        <f>'THE BOARD'!G201</f>
        <v>0</v>
      </c>
      <c r="H448" s="68">
        <f>'THE BOARD'!H201</f>
        <v>0</v>
      </c>
      <c r="I448" s="68">
        <f>'THE BOARD'!I201</f>
        <v>0</v>
      </c>
      <c r="J448" s="68">
        <f>'THE BOARD'!Q208</f>
        <v>0</v>
      </c>
      <c r="K448" s="99">
        <f>'THE BOARD'!U207</f>
        <v>0</v>
      </c>
    </row>
    <row r="449" spans="1:11" ht="12.75" x14ac:dyDescent="0.2">
      <c r="A449" s="68">
        <f>'THE BOARD'!A202</f>
        <v>0</v>
      </c>
      <c r="B449" s="68">
        <f>'THE BOARD'!B202</f>
        <v>0</v>
      </c>
      <c r="C449" s="99" t="str">
        <f>IF('THE BOARD'!U208 = "NESTED","",IF('THE BOARD'!D202&lt;&gt;"",'THE BOARD'!D202+0.72,""))</f>
        <v/>
      </c>
      <c r="D449" s="99" t="str">
        <f>IF(C449&lt;&gt;"", IF('THE BOARD'!U208 = "NESTED","",'THE BOARD'!D202 + IF(C449&lt;&gt;"", 0.72,0)),"")</f>
        <v/>
      </c>
      <c r="E449" s="68">
        <f>'THE BOARD'!E202</f>
        <v>0</v>
      </c>
      <c r="F449" s="68">
        <f>'THE BOARD'!F202</f>
        <v>0</v>
      </c>
      <c r="G449" s="68">
        <f>'THE BOARD'!G202</f>
        <v>0</v>
      </c>
      <c r="H449" s="68">
        <f>'THE BOARD'!H202</f>
        <v>0</v>
      </c>
      <c r="I449" s="68">
        <f>'THE BOARD'!I202</f>
        <v>0</v>
      </c>
      <c r="J449" s="68">
        <f>'THE BOARD'!Q209</f>
        <v>0</v>
      </c>
      <c r="K449" s="99">
        <f>'THE BOARD'!U208</f>
        <v>0</v>
      </c>
    </row>
    <row r="450" spans="1:11" ht="12.75" x14ac:dyDescent="0.2">
      <c r="A450" s="68">
        <f>'THE BOARD'!A203</f>
        <v>0</v>
      </c>
      <c r="B450" s="68">
        <f>'THE BOARD'!B203</f>
        <v>0</v>
      </c>
      <c r="C450" s="99" t="str">
        <f>IF('THE BOARD'!U209 = "NESTED","",IF('THE BOARD'!D203&lt;&gt;"",'THE BOARD'!D203+0.72,""))</f>
        <v/>
      </c>
      <c r="D450" s="99" t="str">
        <f>IF(C450&lt;&gt;"", IF('THE BOARD'!U209 = "NESTED","",'THE BOARD'!D203 + IF(C450&lt;&gt;"", 0.72,0)),"")</f>
        <v/>
      </c>
      <c r="E450" s="68">
        <f>'THE BOARD'!E203</f>
        <v>0</v>
      </c>
      <c r="F450" s="68">
        <f>'THE BOARD'!F203</f>
        <v>0</v>
      </c>
      <c r="G450" s="68">
        <f>'THE BOARD'!G203</f>
        <v>0</v>
      </c>
      <c r="H450" s="68">
        <f>'THE BOARD'!H203</f>
        <v>0</v>
      </c>
      <c r="I450" s="68">
        <f>'THE BOARD'!I203</f>
        <v>0</v>
      </c>
      <c r="J450" s="68">
        <f>'THE BOARD'!Q210</f>
        <v>0</v>
      </c>
      <c r="K450" s="99">
        <f>'THE BOARD'!U209</f>
        <v>0</v>
      </c>
    </row>
    <row r="451" spans="1:11" ht="12.75" x14ac:dyDescent="0.2">
      <c r="A451" s="68">
        <f>'THE BOARD'!A204</f>
        <v>0</v>
      </c>
      <c r="B451" s="68">
        <f>'THE BOARD'!B204</f>
        <v>0</v>
      </c>
      <c r="C451" s="99" t="str">
        <f>IF('THE BOARD'!U210 = "NESTED","",IF('THE BOARD'!D204&lt;&gt;"",'THE BOARD'!D204+0.72,""))</f>
        <v/>
      </c>
      <c r="D451" s="99" t="str">
        <f>IF(C451&lt;&gt;"", IF('THE BOARD'!U210 = "NESTED","",'THE BOARD'!D204 + IF(C451&lt;&gt;"", 0.72,0)),"")</f>
        <v/>
      </c>
      <c r="E451" s="68">
        <f>'THE BOARD'!E204</f>
        <v>0</v>
      </c>
      <c r="F451" s="68">
        <f>'THE BOARD'!F204</f>
        <v>0</v>
      </c>
      <c r="G451" s="68">
        <f>'THE BOARD'!G204</f>
        <v>0</v>
      </c>
      <c r="H451" s="68">
        <f>'THE BOARD'!H204</f>
        <v>0</v>
      </c>
      <c r="I451" s="68">
        <f>'THE BOARD'!I204</f>
        <v>0</v>
      </c>
      <c r="J451" s="68">
        <f>'THE BOARD'!Q211</f>
        <v>0</v>
      </c>
      <c r="K451" s="99">
        <f>'THE BOARD'!U210</f>
        <v>0</v>
      </c>
    </row>
    <row r="452" spans="1:11" ht="12.75" x14ac:dyDescent="0.2">
      <c r="A452" s="68">
        <f>'THE BOARD'!A205</f>
        <v>0</v>
      </c>
      <c r="B452" s="68">
        <f>'THE BOARD'!B205</f>
        <v>0</v>
      </c>
      <c r="C452" s="99" t="str">
        <f>IF('THE BOARD'!U211 = "NESTED","",IF('THE BOARD'!D205&lt;&gt;"",'THE BOARD'!D205+0.72,""))</f>
        <v/>
      </c>
      <c r="D452" s="99" t="str">
        <f>IF(C452&lt;&gt;"", IF('THE BOARD'!U211 = "NESTED","",'THE BOARD'!D205 + IF(C452&lt;&gt;"", 0.72,0)),"")</f>
        <v/>
      </c>
      <c r="E452" s="68">
        <f>'THE BOARD'!E205</f>
        <v>0</v>
      </c>
      <c r="F452" s="68">
        <f>'THE BOARD'!F205</f>
        <v>0</v>
      </c>
      <c r="G452" s="68">
        <f>'THE BOARD'!G205</f>
        <v>0</v>
      </c>
      <c r="H452" s="68">
        <f>'THE BOARD'!H205</f>
        <v>0</v>
      </c>
      <c r="I452" s="68">
        <f>'THE BOARD'!I205</f>
        <v>0</v>
      </c>
      <c r="J452" s="68">
        <f>'THE BOARD'!Q212</f>
        <v>0</v>
      </c>
      <c r="K452" s="99">
        <f>'THE BOARD'!U211</f>
        <v>0</v>
      </c>
    </row>
    <row r="453" spans="1:11" ht="12.75" x14ac:dyDescent="0.2">
      <c r="A453" s="68">
        <f>'THE BOARD'!A206</f>
        <v>0</v>
      </c>
      <c r="B453" s="68">
        <f>'THE BOARD'!B206</f>
        <v>0</v>
      </c>
      <c r="C453" s="99" t="str">
        <f>IF('THE BOARD'!U212 = "NESTED","",IF('THE BOARD'!D206&lt;&gt;"",'THE BOARD'!D206+0.72,""))</f>
        <v/>
      </c>
      <c r="D453" s="99" t="str">
        <f>IF(C453&lt;&gt;"", IF('THE BOARD'!U212 = "NESTED","",'THE BOARD'!D206 + IF(C453&lt;&gt;"", 0.72,0)),"")</f>
        <v/>
      </c>
      <c r="E453" s="68">
        <f>'THE BOARD'!E206</f>
        <v>0</v>
      </c>
      <c r="F453" s="68">
        <f>'THE BOARD'!F206</f>
        <v>0</v>
      </c>
      <c r="G453" s="68">
        <f>'THE BOARD'!G206</f>
        <v>0</v>
      </c>
      <c r="H453" s="68">
        <f>'THE BOARD'!H206</f>
        <v>0</v>
      </c>
      <c r="I453" s="68">
        <f>'THE BOARD'!I206</f>
        <v>0</v>
      </c>
      <c r="J453" s="68">
        <f>'THE BOARD'!Q213</f>
        <v>0</v>
      </c>
      <c r="K453" s="99">
        <f>'THE BOARD'!U212</f>
        <v>0</v>
      </c>
    </row>
    <row r="454" spans="1:11" ht="12.75" x14ac:dyDescent="0.2">
      <c r="A454" s="68">
        <f>'THE BOARD'!A207</f>
        <v>0</v>
      </c>
      <c r="B454" s="68">
        <f>'THE BOARD'!B207</f>
        <v>0</v>
      </c>
      <c r="C454" s="99" t="str">
        <f>IF('THE BOARD'!U213 = "NESTED","",IF('THE BOARD'!D207&lt;&gt;"",'THE BOARD'!D207+0.72,""))</f>
        <v/>
      </c>
      <c r="D454" s="99" t="str">
        <f>IF(C454&lt;&gt;"", IF('THE BOARD'!U213 = "NESTED","",'THE BOARD'!D207 + IF(C454&lt;&gt;"", 0.72,0)),"")</f>
        <v/>
      </c>
      <c r="E454" s="68">
        <f>'THE BOARD'!E207</f>
        <v>0</v>
      </c>
      <c r="F454" s="68">
        <f>'THE BOARD'!F207</f>
        <v>0</v>
      </c>
      <c r="G454" s="68">
        <f>'THE BOARD'!G207</f>
        <v>0</v>
      </c>
      <c r="H454" s="68">
        <f>'THE BOARD'!H207</f>
        <v>0</v>
      </c>
      <c r="I454" s="68">
        <f>'THE BOARD'!I207</f>
        <v>0</v>
      </c>
      <c r="J454" s="68">
        <f>'THE BOARD'!Q214</f>
        <v>0</v>
      </c>
      <c r="K454" s="99">
        <f>'THE BOARD'!U213</f>
        <v>0</v>
      </c>
    </row>
    <row r="455" spans="1:11" ht="12.75" x14ac:dyDescent="0.2">
      <c r="A455" s="68">
        <f>'THE BOARD'!A208</f>
        <v>0</v>
      </c>
      <c r="B455" s="68">
        <f>'THE BOARD'!B208</f>
        <v>0</v>
      </c>
      <c r="C455" s="99" t="str">
        <f>IF('THE BOARD'!U214 = "NESTED","",IF('THE BOARD'!D208&lt;&gt;"",'THE BOARD'!D208+0.72,""))</f>
        <v/>
      </c>
      <c r="D455" s="99" t="str">
        <f>IF(C455&lt;&gt;"", IF('THE BOARD'!U214 = "NESTED","",'THE BOARD'!D208 + IF(C455&lt;&gt;"", 0.72,0)),"")</f>
        <v/>
      </c>
      <c r="E455" s="68">
        <f>'THE BOARD'!E208</f>
        <v>0</v>
      </c>
      <c r="F455" s="68">
        <f>'THE BOARD'!F208</f>
        <v>0</v>
      </c>
      <c r="G455" s="68">
        <f>'THE BOARD'!G208</f>
        <v>0</v>
      </c>
      <c r="H455" s="68">
        <f>'THE BOARD'!H208</f>
        <v>0</v>
      </c>
      <c r="I455" s="68">
        <f>'THE BOARD'!I208</f>
        <v>0</v>
      </c>
      <c r="J455" s="68">
        <f>'THE BOARD'!Q215</f>
        <v>0</v>
      </c>
      <c r="K455" s="99">
        <f>'THE BOARD'!U214</f>
        <v>0</v>
      </c>
    </row>
    <row r="456" spans="1:11" ht="12.75" x14ac:dyDescent="0.2">
      <c r="A456" s="68">
        <f>'THE BOARD'!A209</f>
        <v>0</v>
      </c>
      <c r="B456" s="68">
        <f>'THE BOARD'!B209</f>
        <v>0</v>
      </c>
      <c r="C456" s="99" t="str">
        <f>IF('THE BOARD'!U215 = "NESTED","",IF('THE BOARD'!D209&lt;&gt;"",'THE BOARD'!D209+0.72,""))</f>
        <v/>
      </c>
      <c r="D456" s="99" t="str">
        <f>IF(C456&lt;&gt;"", IF('THE BOARD'!U215 = "NESTED","",'THE BOARD'!D209 + IF(C456&lt;&gt;"", 0.72,0)),"")</f>
        <v/>
      </c>
      <c r="E456" s="68">
        <f>'THE BOARD'!E209</f>
        <v>0</v>
      </c>
      <c r="F456" s="68">
        <f>'THE BOARD'!F209</f>
        <v>0</v>
      </c>
      <c r="G456" s="68">
        <f>'THE BOARD'!G209</f>
        <v>0</v>
      </c>
      <c r="H456" s="68">
        <f>'THE BOARD'!H209</f>
        <v>0</v>
      </c>
      <c r="I456" s="68">
        <f>'THE BOARD'!I209</f>
        <v>0</v>
      </c>
      <c r="J456" s="68">
        <f>'THE BOARD'!Q216</f>
        <v>0</v>
      </c>
      <c r="K456" s="99">
        <f>'THE BOARD'!U215</f>
        <v>0</v>
      </c>
    </row>
    <row r="457" spans="1:11" ht="12.75" x14ac:dyDescent="0.2">
      <c r="A457" s="68">
        <f>'THE BOARD'!A210</f>
        <v>0</v>
      </c>
      <c r="B457" s="68">
        <f>'THE BOARD'!B210</f>
        <v>0</v>
      </c>
      <c r="C457" s="99" t="str">
        <f>IF('THE BOARD'!U216 = "NESTED","",IF('THE BOARD'!D210&lt;&gt;"",'THE BOARD'!D210+0.72,""))</f>
        <v/>
      </c>
      <c r="D457" s="99" t="str">
        <f>IF(C457&lt;&gt;"", IF('THE BOARD'!U216 = "NESTED","",'THE BOARD'!D210 + IF(C457&lt;&gt;"", 0.72,0)),"")</f>
        <v/>
      </c>
      <c r="E457" s="68">
        <f>'THE BOARD'!E210</f>
        <v>0</v>
      </c>
      <c r="F457" s="68">
        <f>'THE BOARD'!F210</f>
        <v>0</v>
      </c>
      <c r="G457" s="68">
        <f>'THE BOARD'!G210</f>
        <v>0</v>
      </c>
      <c r="H457" s="68">
        <f>'THE BOARD'!H210</f>
        <v>0</v>
      </c>
      <c r="I457" s="68">
        <f>'THE BOARD'!I210</f>
        <v>0</v>
      </c>
      <c r="J457" s="68">
        <f>'THE BOARD'!Q217</f>
        <v>0</v>
      </c>
      <c r="K457" s="99">
        <f>'THE BOARD'!U216</f>
        <v>0</v>
      </c>
    </row>
    <row r="458" spans="1:11" ht="12.75" x14ac:dyDescent="0.2">
      <c r="A458" s="68">
        <f>'THE BOARD'!A211</f>
        <v>0</v>
      </c>
      <c r="B458" s="68">
        <f>'THE BOARD'!B211</f>
        <v>0</v>
      </c>
      <c r="C458" s="99" t="str">
        <f>IF('THE BOARD'!U217 = "NESTED","",IF('THE BOARD'!D211&lt;&gt;"",'THE BOARD'!D211+0.72,""))</f>
        <v/>
      </c>
      <c r="D458" s="99" t="str">
        <f>IF(C458&lt;&gt;"", IF('THE BOARD'!U217 = "NESTED","",'THE BOARD'!D211 + IF(C458&lt;&gt;"", 0.72,0)),"")</f>
        <v/>
      </c>
      <c r="E458" s="68">
        <f>'THE BOARD'!E211</f>
        <v>0</v>
      </c>
      <c r="F458" s="68">
        <f>'THE BOARD'!F211</f>
        <v>0</v>
      </c>
      <c r="G458" s="68">
        <f>'THE BOARD'!G211</f>
        <v>0</v>
      </c>
      <c r="H458" s="68">
        <f>'THE BOARD'!H211</f>
        <v>0</v>
      </c>
      <c r="I458" s="68">
        <f>'THE BOARD'!I211</f>
        <v>0</v>
      </c>
      <c r="J458" s="68">
        <f>'THE BOARD'!Q218</f>
        <v>0</v>
      </c>
      <c r="K458" s="99">
        <f>'THE BOARD'!U217</f>
        <v>0</v>
      </c>
    </row>
    <row r="459" spans="1:11" ht="12.75" x14ac:dyDescent="0.2">
      <c r="A459" s="68">
        <f>'THE BOARD'!A212</f>
        <v>0</v>
      </c>
      <c r="B459" s="68">
        <f>'THE BOARD'!B212</f>
        <v>0</v>
      </c>
      <c r="C459" s="99" t="str">
        <f>IF('THE BOARD'!U218 = "NESTED","",IF('THE BOARD'!D212&lt;&gt;"",'THE BOARD'!D212+0.72,""))</f>
        <v/>
      </c>
      <c r="D459" s="99" t="str">
        <f>IF(C459&lt;&gt;"", IF('THE BOARD'!U218 = "NESTED","",'THE BOARD'!D212 + IF(C459&lt;&gt;"", 0.72,0)),"")</f>
        <v/>
      </c>
      <c r="E459" s="68">
        <f>'THE BOARD'!E212</f>
        <v>0</v>
      </c>
      <c r="F459" s="68">
        <f>'THE BOARD'!F212</f>
        <v>0</v>
      </c>
      <c r="G459" s="68">
        <f>'THE BOARD'!G212</f>
        <v>0</v>
      </c>
      <c r="H459" s="68">
        <f>'THE BOARD'!H212</f>
        <v>0</v>
      </c>
      <c r="I459" s="68">
        <f>'THE BOARD'!I212</f>
        <v>0</v>
      </c>
      <c r="J459" s="68">
        <f>'THE BOARD'!Q219</f>
        <v>0</v>
      </c>
      <c r="K459" s="99">
        <f>'THE BOARD'!U218</f>
        <v>0</v>
      </c>
    </row>
    <row r="460" spans="1:11" ht="12.75" x14ac:dyDescent="0.2">
      <c r="A460" s="68">
        <f>'THE BOARD'!A213</f>
        <v>0</v>
      </c>
      <c r="B460" s="68">
        <f>'THE BOARD'!B213</f>
        <v>0</v>
      </c>
      <c r="C460" s="99" t="str">
        <f>IF('THE BOARD'!U219 = "NESTED","",IF('THE BOARD'!D213&lt;&gt;"",'THE BOARD'!D213+0.72,""))</f>
        <v/>
      </c>
      <c r="D460" s="99" t="str">
        <f>IF(C460&lt;&gt;"", IF('THE BOARD'!U219 = "NESTED","",'THE BOARD'!D213 + IF(C460&lt;&gt;"", 0.72,0)),"")</f>
        <v/>
      </c>
      <c r="E460" s="68">
        <f>'THE BOARD'!E213</f>
        <v>0</v>
      </c>
      <c r="F460" s="68">
        <f>'THE BOARD'!F213</f>
        <v>0</v>
      </c>
      <c r="G460" s="68">
        <f>'THE BOARD'!G213</f>
        <v>0</v>
      </c>
      <c r="H460" s="68">
        <f>'THE BOARD'!H213</f>
        <v>0</v>
      </c>
      <c r="I460" s="68">
        <f>'THE BOARD'!I213</f>
        <v>0</v>
      </c>
      <c r="J460" s="68">
        <f>'THE BOARD'!Q220</f>
        <v>0</v>
      </c>
      <c r="K460" s="99">
        <f>'THE BOARD'!U219</f>
        <v>0</v>
      </c>
    </row>
    <row r="461" spans="1:11" ht="12.75" x14ac:dyDescent="0.2">
      <c r="A461" s="68">
        <f>'THE BOARD'!A214</f>
        <v>0</v>
      </c>
      <c r="B461" s="68">
        <f>'THE BOARD'!B214</f>
        <v>0</v>
      </c>
      <c r="C461" s="99" t="str">
        <f>IF('THE BOARD'!U220 = "NESTED","",IF('THE BOARD'!D214&lt;&gt;"",'THE BOARD'!D214+0.72,""))</f>
        <v/>
      </c>
      <c r="D461" s="99" t="str">
        <f>IF(C461&lt;&gt;"", IF('THE BOARD'!U220 = "NESTED","",'THE BOARD'!D214 + IF(C461&lt;&gt;"", 0.72,0)),"")</f>
        <v/>
      </c>
      <c r="E461" s="68">
        <f>'THE BOARD'!E214</f>
        <v>0</v>
      </c>
      <c r="F461" s="68">
        <f>'THE BOARD'!F214</f>
        <v>0</v>
      </c>
      <c r="G461" s="68">
        <f>'THE BOARD'!G214</f>
        <v>0</v>
      </c>
      <c r="H461" s="68">
        <f>'THE BOARD'!H214</f>
        <v>0</v>
      </c>
      <c r="I461" s="68">
        <f>'THE BOARD'!I214</f>
        <v>0</v>
      </c>
      <c r="J461" s="68">
        <f>'THE BOARD'!Q221</f>
        <v>0</v>
      </c>
      <c r="K461" s="99">
        <f>'THE BOARD'!U220</f>
        <v>0</v>
      </c>
    </row>
    <row r="462" spans="1:11" ht="12.75" x14ac:dyDescent="0.2">
      <c r="A462" s="68">
        <f>'THE BOARD'!A215</f>
        <v>0</v>
      </c>
      <c r="B462" s="68">
        <f>'THE BOARD'!B215</f>
        <v>0</v>
      </c>
      <c r="C462" s="99" t="str">
        <f>IF('THE BOARD'!U221 = "NESTED","",IF('THE BOARD'!D215&lt;&gt;"",'THE BOARD'!D215+0.72,""))</f>
        <v/>
      </c>
      <c r="D462" s="99" t="str">
        <f>IF(C462&lt;&gt;"", IF('THE BOARD'!U221 = "NESTED","",'THE BOARD'!D215 + IF(C462&lt;&gt;"", 0.72,0)),"")</f>
        <v/>
      </c>
      <c r="E462" s="68">
        <f>'THE BOARD'!E215</f>
        <v>0</v>
      </c>
      <c r="F462" s="68">
        <f>'THE BOARD'!F215</f>
        <v>0</v>
      </c>
      <c r="G462" s="68">
        <f>'THE BOARD'!G215</f>
        <v>0</v>
      </c>
      <c r="H462" s="68">
        <f>'THE BOARD'!H215</f>
        <v>0</v>
      </c>
      <c r="I462" s="68">
        <f>'THE BOARD'!I215</f>
        <v>0</v>
      </c>
      <c r="J462" s="68">
        <f>'THE BOARD'!Q222</f>
        <v>0</v>
      </c>
      <c r="K462" s="99">
        <f>'THE BOARD'!U221</f>
        <v>0</v>
      </c>
    </row>
    <row r="463" spans="1:11" ht="12.75" x14ac:dyDescent="0.2">
      <c r="A463" s="68">
        <f>'THE BOARD'!A216</f>
        <v>0</v>
      </c>
      <c r="B463" s="68">
        <f>'THE BOARD'!B216</f>
        <v>0</v>
      </c>
      <c r="C463" s="99" t="str">
        <f>IF('THE BOARD'!U222 = "NESTED","",IF('THE BOARD'!D216&lt;&gt;"",'THE BOARD'!D216+0.72,""))</f>
        <v/>
      </c>
      <c r="D463" s="99" t="str">
        <f>IF(C463&lt;&gt;"", IF('THE BOARD'!U222 = "NESTED","",'THE BOARD'!D216 + IF(C463&lt;&gt;"", 0.72,0)),"")</f>
        <v/>
      </c>
      <c r="E463" s="68">
        <f>'THE BOARD'!E216</f>
        <v>0</v>
      </c>
      <c r="F463" s="68">
        <f>'THE BOARD'!F216</f>
        <v>0</v>
      </c>
      <c r="G463" s="68">
        <f>'THE BOARD'!G216</f>
        <v>0</v>
      </c>
      <c r="H463" s="68">
        <f>'THE BOARD'!H216</f>
        <v>0</v>
      </c>
      <c r="I463" s="68">
        <f>'THE BOARD'!I216</f>
        <v>0</v>
      </c>
      <c r="J463" s="68">
        <f>'THE BOARD'!Q223</f>
        <v>0</v>
      </c>
      <c r="K463" s="99">
        <f>'THE BOARD'!U222</f>
        <v>0</v>
      </c>
    </row>
    <row r="464" spans="1:11" ht="12.75" x14ac:dyDescent="0.2">
      <c r="A464" s="68">
        <f>'THE BOARD'!A217</f>
        <v>0</v>
      </c>
      <c r="B464" s="68">
        <f>'THE BOARD'!B217</f>
        <v>0</v>
      </c>
      <c r="C464" s="99" t="str">
        <f>IF('THE BOARD'!U223 = "NESTED","",IF('THE BOARD'!D217&lt;&gt;"",'THE BOARD'!D217+0.72,""))</f>
        <v/>
      </c>
      <c r="D464" s="99" t="str">
        <f>IF(C464&lt;&gt;"", IF('THE BOARD'!U223 = "NESTED","",'THE BOARD'!D217 + IF(C464&lt;&gt;"", 0.72,0)),"")</f>
        <v/>
      </c>
      <c r="E464" s="68">
        <f>'THE BOARD'!E217</f>
        <v>0</v>
      </c>
      <c r="F464" s="68">
        <f>'THE BOARD'!F217</f>
        <v>0</v>
      </c>
      <c r="G464" s="68">
        <f>'THE BOARD'!G217</f>
        <v>0</v>
      </c>
      <c r="H464" s="68">
        <f>'THE BOARD'!H217</f>
        <v>0</v>
      </c>
      <c r="I464" s="68">
        <f>'THE BOARD'!I217</f>
        <v>0</v>
      </c>
      <c r="J464" s="68">
        <f>'THE BOARD'!Q224</f>
        <v>0</v>
      </c>
      <c r="K464" s="99">
        <f>'THE BOARD'!U223</f>
        <v>0</v>
      </c>
    </row>
    <row r="465" spans="1:11" ht="12.75" x14ac:dyDescent="0.2">
      <c r="A465" s="68">
        <f>'THE BOARD'!A218</f>
        <v>0</v>
      </c>
      <c r="B465" s="68">
        <f>'THE BOARD'!B218</f>
        <v>0</v>
      </c>
      <c r="C465" s="99" t="str">
        <f>IF('THE BOARD'!U224 = "NESTED","",IF('THE BOARD'!D218&lt;&gt;"",'THE BOARD'!D218+0.72,""))</f>
        <v/>
      </c>
      <c r="D465" s="99" t="str">
        <f>IF(C465&lt;&gt;"", IF('THE BOARD'!U224 = "NESTED","",'THE BOARD'!D218 + IF(C465&lt;&gt;"", 0.72,0)),"")</f>
        <v/>
      </c>
      <c r="E465" s="68">
        <f>'THE BOARD'!E218</f>
        <v>0</v>
      </c>
      <c r="F465" s="68">
        <f>'THE BOARD'!F218</f>
        <v>0</v>
      </c>
      <c r="G465" s="68">
        <f>'THE BOARD'!G218</f>
        <v>0</v>
      </c>
      <c r="H465" s="68">
        <f>'THE BOARD'!H218</f>
        <v>0</v>
      </c>
      <c r="I465" s="68">
        <f>'THE BOARD'!I218</f>
        <v>0</v>
      </c>
      <c r="J465" s="68">
        <f>'THE BOARD'!Q225</f>
        <v>0</v>
      </c>
      <c r="K465" s="99">
        <f>'THE BOARD'!U224</f>
        <v>0</v>
      </c>
    </row>
    <row r="466" spans="1:11" ht="12.75" x14ac:dyDescent="0.2">
      <c r="A466" s="68">
        <f>'THE BOARD'!A219</f>
        <v>0</v>
      </c>
      <c r="B466" s="68">
        <f>'THE BOARD'!B219</f>
        <v>0</v>
      </c>
      <c r="C466" s="99" t="str">
        <f>IF('THE BOARD'!U225 = "NESTED","",IF('THE BOARD'!D219&lt;&gt;"",'THE BOARD'!D219+0.72,""))</f>
        <v/>
      </c>
      <c r="D466" s="99" t="str">
        <f>IF(C466&lt;&gt;"", IF('THE BOARD'!U225 = "NESTED","",'THE BOARD'!D219 + IF(C466&lt;&gt;"", 0.72,0)),"")</f>
        <v/>
      </c>
      <c r="E466" s="68">
        <f>'THE BOARD'!E219</f>
        <v>0</v>
      </c>
      <c r="F466" s="68">
        <f>'THE BOARD'!F219</f>
        <v>0</v>
      </c>
      <c r="G466" s="68">
        <f>'THE BOARD'!G219</f>
        <v>0</v>
      </c>
      <c r="H466" s="68">
        <f>'THE BOARD'!H219</f>
        <v>0</v>
      </c>
      <c r="I466" s="68">
        <f>'THE BOARD'!I219</f>
        <v>0</v>
      </c>
      <c r="J466" s="68">
        <f>'THE BOARD'!Q226</f>
        <v>0</v>
      </c>
      <c r="K466" s="99">
        <f>'THE BOARD'!U225</f>
        <v>0</v>
      </c>
    </row>
    <row r="467" spans="1:11" ht="12.75" x14ac:dyDescent="0.2">
      <c r="A467" s="68">
        <f>'THE BOARD'!A220</f>
        <v>0</v>
      </c>
      <c r="B467" s="68">
        <f>'THE BOARD'!B220</f>
        <v>0</v>
      </c>
      <c r="C467" s="99" t="str">
        <f>IF('THE BOARD'!U226 = "NESTED","",IF('THE BOARD'!D220&lt;&gt;"",'THE BOARD'!D220+0.72,""))</f>
        <v/>
      </c>
      <c r="D467" s="99" t="str">
        <f>IF(C467&lt;&gt;"", IF('THE BOARD'!U226 = "NESTED","",'THE BOARD'!D220 + IF(C467&lt;&gt;"", 0.72,0)),"")</f>
        <v/>
      </c>
      <c r="E467" s="68">
        <f>'THE BOARD'!E220</f>
        <v>0</v>
      </c>
      <c r="F467" s="68">
        <f>'THE BOARD'!F220</f>
        <v>0</v>
      </c>
      <c r="G467" s="68">
        <f>'THE BOARD'!G220</f>
        <v>0</v>
      </c>
      <c r="H467" s="68">
        <f>'THE BOARD'!H220</f>
        <v>0</v>
      </c>
      <c r="I467" s="68">
        <f>'THE BOARD'!I220</f>
        <v>0</v>
      </c>
      <c r="J467" s="68">
        <f>'THE BOARD'!Q227</f>
        <v>0</v>
      </c>
      <c r="K467" s="99">
        <f>'THE BOARD'!U226</f>
        <v>0</v>
      </c>
    </row>
    <row r="468" spans="1:11" ht="12.75" x14ac:dyDescent="0.2">
      <c r="A468" s="68">
        <f>'THE BOARD'!A221</f>
        <v>0</v>
      </c>
      <c r="B468" s="68">
        <f>'THE BOARD'!B221</f>
        <v>0</v>
      </c>
      <c r="C468" s="99" t="str">
        <f>IF('THE BOARD'!U227 = "NESTED","",IF('THE BOARD'!D221&lt;&gt;"",'THE BOARD'!D221+0.72,""))</f>
        <v/>
      </c>
      <c r="D468" s="99" t="str">
        <f>IF(C468&lt;&gt;"", IF('THE BOARD'!U227 = "NESTED","",'THE BOARD'!D221 + IF(C468&lt;&gt;"", 0.72,0)),"")</f>
        <v/>
      </c>
      <c r="E468" s="68">
        <f>'THE BOARD'!E221</f>
        <v>0</v>
      </c>
      <c r="F468" s="68">
        <f>'THE BOARD'!F221</f>
        <v>0</v>
      </c>
      <c r="G468" s="68">
        <f>'THE BOARD'!G221</f>
        <v>0</v>
      </c>
      <c r="H468" s="68">
        <f>'THE BOARD'!H221</f>
        <v>0</v>
      </c>
      <c r="I468" s="68">
        <f>'THE BOARD'!I221</f>
        <v>0</v>
      </c>
      <c r="J468" s="68">
        <f>'THE BOARD'!Q228</f>
        <v>0</v>
      </c>
      <c r="K468" s="99">
        <f>'THE BOARD'!U227</f>
        <v>0</v>
      </c>
    </row>
    <row r="469" spans="1:11" ht="12.75" x14ac:dyDescent="0.2">
      <c r="A469" s="68">
        <f>'THE BOARD'!A222</f>
        <v>0</v>
      </c>
      <c r="B469" s="68">
        <f>'THE BOARD'!B222</f>
        <v>0</v>
      </c>
      <c r="C469" s="99" t="str">
        <f>IF('THE BOARD'!U228 = "NESTED","",IF('THE BOARD'!D222&lt;&gt;"",'THE BOARD'!D222+0.72,""))</f>
        <v/>
      </c>
      <c r="D469" s="99" t="str">
        <f>IF(C469&lt;&gt;"", IF('THE BOARD'!U228 = "NESTED","",'THE BOARD'!D222 + IF(C469&lt;&gt;"", 0.72,0)),"")</f>
        <v/>
      </c>
      <c r="E469" s="68">
        <f>'THE BOARD'!E222</f>
        <v>0</v>
      </c>
      <c r="F469" s="68">
        <f>'THE BOARD'!F222</f>
        <v>0</v>
      </c>
      <c r="G469" s="68">
        <f>'THE BOARD'!G222</f>
        <v>0</v>
      </c>
      <c r="H469" s="68">
        <f>'THE BOARD'!H222</f>
        <v>0</v>
      </c>
      <c r="I469" s="68">
        <f>'THE BOARD'!I222</f>
        <v>0</v>
      </c>
      <c r="J469" s="68">
        <f>'THE BOARD'!Q229</f>
        <v>0</v>
      </c>
      <c r="K469" s="99">
        <f>'THE BOARD'!U228</f>
        <v>0</v>
      </c>
    </row>
    <row r="470" spans="1:11" ht="12.75" x14ac:dyDescent="0.2">
      <c r="A470" s="68">
        <f>'THE BOARD'!A223</f>
        <v>0</v>
      </c>
      <c r="B470" s="68">
        <f>'THE BOARD'!B223</f>
        <v>0</v>
      </c>
      <c r="C470" s="99" t="str">
        <f>IF('THE BOARD'!U229 = "NESTED","",IF('THE BOARD'!D223&lt;&gt;"",'THE BOARD'!D223+0.72,""))</f>
        <v/>
      </c>
      <c r="D470" s="99" t="str">
        <f>IF(C470&lt;&gt;"", IF('THE BOARD'!U229 = "NESTED","",'THE BOARD'!D223 + IF(C470&lt;&gt;"", 0.72,0)),"")</f>
        <v/>
      </c>
      <c r="E470" s="68">
        <f>'THE BOARD'!E223</f>
        <v>0</v>
      </c>
      <c r="F470" s="68">
        <f>'THE BOARD'!F223</f>
        <v>0</v>
      </c>
      <c r="G470" s="68">
        <f>'THE BOARD'!G223</f>
        <v>0</v>
      </c>
      <c r="H470" s="68">
        <f>'THE BOARD'!H223</f>
        <v>0</v>
      </c>
      <c r="I470" s="68">
        <f>'THE BOARD'!I223</f>
        <v>0</v>
      </c>
      <c r="J470" s="68">
        <f>'THE BOARD'!Q230</f>
        <v>0</v>
      </c>
      <c r="K470" s="99">
        <f>'THE BOARD'!U229</f>
        <v>0</v>
      </c>
    </row>
    <row r="471" spans="1:11" ht="12.75" x14ac:dyDescent="0.2">
      <c r="A471" s="68">
        <f>'THE BOARD'!A224</f>
        <v>0</v>
      </c>
      <c r="B471" s="68">
        <f>'THE BOARD'!B224</f>
        <v>0</v>
      </c>
      <c r="C471" s="99" t="str">
        <f>IF('THE BOARD'!U230 = "NESTED","",IF('THE BOARD'!D224&lt;&gt;"",'THE BOARD'!D224+0.72,""))</f>
        <v/>
      </c>
      <c r="D471" s="99" t="str">
        <f>IF(C471&lt;&gt;"", IF('THE BOARD'!U230 = "NESTED","",'THE BOARD'!D224 + IF(C471&lt;&gt;"", 0.72,0)),"")</f>
        <v/>
      </c>
      <c r="E471" s="68">
        <f>'THE BOARD'!E224</f>
        <v>0</v>
      </c>
      <c r="F471" s="68">
        <f>'THE BOARD'!F224</f>
        <v>0</v>
      </c>
      <c r="G471" s="68">
        <f>'THE BOARD'!G224</f>
        <v>0</v>
      </c>
      <c r="H471" s="68">
        <f>'THE BOARD'!H224</f>
        <v>0</v>
      </c>
      <c r="I471" s="68">
        <f>'THE BOARD'!I224</f>
        <v>0</v>
      </c>
      <c r="J471" s="68">
        <f>'THE BOARD'!Q231</f>
        <v>0</v>
      </c>
      <c r="K471" s="99">
        <f>'THE BOARD'!U230</f>
        <v>0</v>
      </c>
    </row>
    <row r="472" spans="1:11" ht="12.75" x14ac:dyDescent="0.2">
      <c r="A472" s="68">
        <f>'THE BOARD'!A225</f>
        <v>0</v>
      </c>
      <c r="B472" s="68">
        <f>'THE BOARD'!B225</f>
        <v>0</v>
      </c>
      <c r="C472" s="99" t="str">
        <f>IF('THE BOARD'!U231 = "NESTED","",IF('THE BOARD'!D225&lt;&gt;"",'THE BOARD'!D225+0.72,""))</f>
        <v/>
      </c>
      <c r="D472" s="99" t="str">
        <f>IF(C472&lt;&gt;"", IF('THE BOARD'!U231 = "NESTED","",'THE BOARD'!D225 + IF(C472&lt;&gt;"", 0.72,0)),"")</f>
        <v/>
      </c>
      <c r="E472" s="68">
        <f>'THE BOARD'!E225</f>
        <v>0</v>
      </c>
      <c r="F472" s="68">
        <f>'THE BOARD'!F225</f>
        <v>0</v>
      </c>
      <c r="G472" s="68">
        <f>'THE BOARD'!G225</f>
        <v>0</v>
      </c>
      <c r="H472" s="68">
        <f>'THE BOARD'!H225</f>
        <v>0</v>
      </c>
      <c r="I472" s="68">
        <f>'THE BOARD'!I225</f>
        <v>0</v>
      </c>
      <c r="J472" s="68">
        <f>'THE BOARD'!Q232</f>
        <v>0</v>
      </c>
      <c r="K472" s="99">
        <f>'THE BOARD'!U231</f>
        <v>0</v>
      </c>
    </row>
    <row r="473" spans="1:11" ht="12.75" x14ac:dyDescent="0.2">
      <c r="A473" s="68">
        <f>'THE BOARD'!A226</f>
        <v>0</v>
      </c>
      <c r="B473" s="68">
        <f>'THE BOARD'!B226</f>
        <v>0</v>
      </c>
      <c r="C473" s="99" t="str">
        <f>IF('THE BOARD'!U232 = "NESTED","",IF('THE BOARD'!D226&lt;&gt;"",'THE BOARD'!D226+0.72,""))</f>
        <v/>
      </c>
      <c r="D473" s="99" t="str">
        <f>IF(C473&lt;&gt;"", IF('THE BOARD'!U232 = "NESTED","",'THE BOARD'!D226 + IF(C473&lt;&gt;"", 0.72,0)),"")</f>
        <v/>
      </c>
      <c r="E473" s="68">
        <f>'THE BOARD'!E226</f>
        <v>0</v>
      </c>
      <c r="F473" s="68">
        <f>'THE BOARD'!F226</f>
        <v>0</v>
      </c>
      <c r="G473" s="68">
        <f>'THE BOARD'!G226</f>
        <v>0</v>
      </c>
      <c r="H473" s="68">
        <f>'THE BOARD'!H226</f>
        <v>0</v>
      </c>
      <c r="I473" s="68">
        <f>'THE BOARD'!I226</f>
        <v>0</v>
      </c>
      <c r="J473" s="68">
        <f>'THE BOARD'!Q233</f>
        <v>0</v>
      </c>
      <c r="K473" s="99">
        <f>'THE BOARD'!U232</f>
        <v>0</v>
      </c>
    </row>
    <row r="474" spans="1:11" ht="12.75" x14ac:dyDescent="0.2">
      <c r="A474" s="68">
        <f>'THE BOARD'!A227</f>
        <v>0</v>
      </c>
      <c r="B474" s="68">
        <f>'THE BOARD'!B227</f>
        <v>0</v>
      </c>
      <c r="C474" s="99" t="str">
        <f>IF('THE BOARD'!U233 = "NESTED","",IF('THE BOARD'!D227&lt;&gt;"",'THE BOARD'!D227+0.72,""))</f>
        <v/>
      </c>
      <c r="D474" s="99" t="str">
        <f>IF(C474&lt;&gt;"", IF('THE BOARD'!U233 = "NESTED","",'THE BOARD'!D227 + IF(C474&lt;&gt;"", 0.72,0)),"")</f>
        <v/>
      </c>
      <c r="E474" s="68">
        <f>'THE BOARD'!E227</f>
        <v>0</v>
      </c>
      <c r="F474" s="68">
        <f>'THE BOARD'!F227</f>
        <v>0</v>
      </c>
      <c r="G474" s="68">
        <f>'THE BOARD'!G227</f>
        <v>0</v>
      </c>
      <c r="H474" s="68">
        <f>'THE BOARD'!H227</f>
        <v>0</v>
      </c>
      <c r="I474" s="68">
        <f>'THE BOARD'!I227</f>
        <v>0</v>
      </c>
      <c r="J474" s="68">
        <f>'THE BOARD'!Q234</f>
        <v>0</v>
      </c>
      <c r="K474" s="99">
        <f>'THE BOARD'!U233</f>
        <v>0</v>
      </c>
    </row>
    <row r="475" spans="1:11" ht="12.75" x14ac:dyDescent="0.2">
      <c r="A475" s="68">
        <f>'THE BOARD'!A228</f>
        <v>0</v>
      </c>
      <c r="B475" s="68">
        <f>'THE BOARD'!B228</f>
        <v>0</v>
      </c>
      <c r="C475" s="99" t="str">
        <f>IF('THE BOARD'!U234 = "NESTED","",IF('THE BOARD'!D228&lt;&gt;"",'THE BOARD'!D228+0.72,""))</f>
        <v/>
      </c>
      <c r="D475" s="99" t="str">
        <f>IF(C475&lt;&gt;"", IF('THE BOARD'!U234 = "NESTED","",'THE BOARD'!D228 + IF(C475&lt;&gt;"", 0.72,0)),"")</f>
        <v/>
      </c>
      <c r="E475" s="68">
        <f>'THE BOARD'!E228</f>
        <v>0</v>
      </c>
      <c r="F475" s="68">
        <f>'THE BOARD'!F228</f>
        <v>0</v>
      </c>
      <c r="G475" s="68">
        <f>'THE BOARD'!G228</f>
        <v>0</v>
      </c>
      <c r="H475" s="68">
        <f>'THE BOARD'!H228</f>
        <v>0</v>
      </c>
      <c r="I475" s="68">
        <f>'THE BOARD'!I228</f>
        <v>0</v>
      </c>
      <c r="J475" s="68">
        <f>'THE BOARD'!Q235</f>
        <v>0</v>
      </c>
      <c r="K475" s="99">
        <f>'THE BOARD'!U234</f>
        <v>0</v>
      </c>
    </row>
    <row r="476" spans="1:11" ht="12.75" x14ac:dyDescent="0.2">
      <c r="A476" s="68">
        <f>'THE BOARD'!A229</f>
        <v>0</v>
      </c>
      <c r="B476" s="68">
        <f>'THE BOARD'!B229</f>
        <v>0</v>
      </c>
      <c r="C476" s="99" t="str">
        <f>IF('THE BOARD'!U235 = "NESTED","",IF('THE BOARD'!D229&lt;&gt;"",'THE BOARD'!D229+0.72,""))</f>
        <v/>
      </c>
      <c r="D476" s="99" t="str">
        <f>IF(C476&lt;&gt;"", IF('THE BOARD'!U235 = "NESTED","",'THE BOARD'!D229 + IF(C476&lt;&gt;"", 0.72,0)),"")</f>
        <v/>
      </c>
      <c r="E476" s="68">
        <f>'THE BOARD'!E229</f>
        <v>0</v>
      </c>
      <c r="F476" s="68">
        <f>'THE BOARD'!F229</f>
        <v>0</v>
      </c>
      <c r="G476" s="68">
        <f>'THE BOARD'!G229</f>
        <v>0</v>
      </c>
      <c r="H476" s="68">
        <f>'THE BOARD'!H229</f>
        <v>0</v>
      </c>
      <c r="I476" s="68">
        <f>'THE BOARD'!I229</f>
        <v>0</v>
      </c>
      <c r="J476" s="68">
        <f>'THE BOARD'!Q236</f>
        <v>0</v>
      </c>
      <c r="K476" s="99">
        <f>'THE BOARD'!U235</f>
        <v>0</v>
      </c>
    </row>
    <row r="477" spans="1:11" ht="12.75" x14ac:dyDescent="0.2">
      <c r="A477" s="68">
        <f>'THE BOARD'!A230</f>
        <v>0</v>
      </c>
      <c r="B477" s="68">
        <f>'THE BOARD'!B230</f>
        <v>0</v>
      </c>
      <c r="C477" s="99" t="str">
        <f>IF('THE BOARD'!U236 = "NESTED","",IF('THE BOARD'!D230&lt;&gt;"",'THE BOARD'!D230+0.72,""))</f>
        <v/>
      </c>
      <c r="D477" s="99" t="str">
        <f>IF(C477&lt;&gt;"", IF('THE BOARD'!U236 = "NESTED","",'THE BOARD'!D230 + IF(C477&lt;&gt;"", 0.72,0)),"")</f>
        <v/>
      </c>
      <c r="E477" s="68">
        <f>'THE BOARD'!E230</f>
        <v>0</v>
      </c>
      <c r="F477" s="68">
        <f>'THE BOARD'!F230</f>
        <v>0</v>
      </c>
      <c r="G477" s="68">
        <f>'THE BOARD'!G230</f>
        <v>0</v>
      </c>
      <c r="H477" s="68">
        <f>'THE BOARD'!H230</f>
        <v>0</v>
      </c>
      <c r="I477" s="68">
        <f>'THE BOARD'!I230</f>
        <v>0</v>
      </c>
      <c r="J477" s="68">
        <f>'THE BOARD'!Q237</f>
        <v>0</v>
      </c>
      <c r="K477" s="99">
        <f>'THE BOARD'!U236</f>
        <v>0</v>
      </c>
    </row>
    <row r="478" spans="1:11" ht="12.75" x14ac:dyDescent="0.2">
      <c r="A478" s="68">
        <f>'THE BOARD'!A231</f>
        <v>0</v>
      </c>
      <c r="B478" s="68">
        <f>'THE BOARD'!B231</f>
        <v>0</v>
      </c>
      <c r="C478" s="99" t="str">
        <f>IF('THE BOARD'!U237 = "NESTED","",IF('THE BOARD'!D231&lt;&gt;"",'THE BOARD'!D231+0.72,""))</f>
        <v/>
      </c>
      <c r="D478" s="99" t="str">
        <f>IF(C478&lt;&gt;"", IF('THE BOARD'!U237 = "NESTED","",'THE BOARD'!D231 + IF(C478&lt;&gt;"", 0.72,0)),"")</f>
        <v/>
      </c>
      <c r="E478" s="68">
        <f>'THE BOARD'!E231</f>
        <v>0</v>
      </c>
      <c r="F478" s="68">
        <f>'THE BOARD'!F231</f>
        <v>0</v>
      </c>
      <c r="G478" s="68">
        <f>'THE BOARD'!G231</f>
        <v>0</v>
      </c>
      <c r="H478" s="68">
        <f>'THE BOARD'!H231</f>
        <v>0</v>
      </c>
      <c r="I478" s="68">
        <f>'THE BOARD'!I231</f>
        <v>0</v>
      </c>
      <c r="J478" s="68">
        <f>'THE BOARD'!Q238</f>
        <v>0</v>
      </c>
      <c r="K478" s="99">
        <f>'THE BOARD'!U237</f>
        <v>0</v>
      </c>
    </row>
    <row r="479" spans="1:11" ht="12.75" x14ac:dyDescent="0.2">
      <c r="A479" s="68">
        <f>'THE BOARD'!A232</f>
        <v>0</v>
      </c>
      <c r="B479" s="68">
        <f>'THE BOARD'!B232</f>
        <v>0</v>
      </c>
      <c r="C479" s="99" t="str">
        <f>IF('THE BOARD'!U238 = "NESTED","",IF('THE BOARD'!D232&lt;&gt;"",'THE BOARD'!D232+0.72,""))</f>
        <v/>
      </c>
      <c r="D479" s="99" t="str">
        <f>IF(C479&lt;&gt;"", IF('THE BOARD'!U238 = "NESTED","",'THE BOARD'!D232 + IF(C479&lt;&gt;"", 0.72,0)),"")</f>
        <v/>
      </c>
      <c r="E479" s="68">
        <f>'THE BOARD'!E232</f>
        <v>0</v>
      </c>
      <c r="F479" s="68">
        <f>'THE BOARD'!F232</f>
        <v>0</v>
      </c>
      <c r="G479" s="68">
        <f>'THE BOARD'!G232</f>
        <v>0</v>
      </c>
      <c r="H479" s="68">
        <f>'THE BOARD'!H232</f>
        <v>0</v>
      </c>
      <c r="I479" s="68">
        <f>'THE BOARD'!I232</f>
        <v>0</v>
      </c>
      <c r="J479" s="68">
        <f>'THE BOARD'!Q239</f>
        <v>0</v>
      </c>
      <c r="K479" s="99">
        <f>'THE BOARD'!U238</f>
        <v>0</v>
      </c>
    </row>
    <row r="480" spans="1:11" ht="12.75" x14ac:dyDescent="0.2">
      <c r="A480" s="68">
        <f>'THE BOARD'!A233</f>
        <v>0</v>
      </c>
      <c r="B480" s="68">
        <f>'THE BOARD'!B233</f>
        <v>0</v>
      </c>
      <c r="C480" s="99" t="str">
        <f>IF('THE BOARD'!U239 = "NESTED","",IF('THE BOARD'!D233&lt;&gt;"",'THE BOARD'!D233+0.72,""))</f>
        <v/>
      </c>
      <c r="D480" s="99" t="str">
        <f>IF(C480&lt;&gt;"", IF('THE BOARD'!U239 = "NESTED","",'THE BOARD'!D233 + IF(C480&lt;&gt;"", 0.72,0)),"")</f>
        <v/>
      </c>
      <c r="E480" s="68">
        <f>'THE BOARD'!E233</f>
        <v>0</v>
      </c>
      <c r="F480" s="68">
        <f>'THE BOARD'!F233</f>
        <v>0</v>
      </c>
      <c r="G480" s="68">
        <f>'THE BOARD'!G233</f>
        <v>0</v>
      </c>
      <c r="H480" s="68">
        <f>'THE BOARD'!H233</f>
        <v>0</v>
      </c>
      <c r="I480" s="68">
        <f>'THE BOARD'!I233</f>
        <v>0</v>
      </c>
      <c r="J480" s="68">
        <f>'THE BOARD'!Q240</f>
        <v>0</v>
      </c>
      <c r="K480" s="99">
        <f>'THE BOARD'!U239</f>
        <v>0</v>
      </c>
    </row>
    <row r="481" spans="1:11" ht="12.75" x14ac:dyDescent="0.2">
      <c r="A481" s="68">
        <f>'THE BOARD'!A234</f>
        <v>0</v>
      </c>
      <c r="B481" s="68">
        <f>'THE BOARD'!B234</f>
        <v>0</v>
      </c>
      <c r="C481" s="99" t="str">
        <f>IF('THE BOARD'!U240 = "NESTED","",IF('THE BOARD'!D234&lt;&gt;"",'THE BOARD'!D234+0.72,""))</f>
        <v/>
      </c>
      <c r="D481" s="99" t="str">
        <f>IF(C481&lt;&gt;"", IF('THE BOARD'!U240 = "NESTED","",'THE BOARD'!D234 + IF(C481&lt;&gt;"", 0.72,0)),"")</f>
        <v/>
      </c>
      <c r="E481" s="68">
        <f>'THE BOARD'!E234</f>
        <v>0</v>
      </c>
      <c r="F481" s="68">
        <f>'THE BOARD'!F234</f>
        <v>0</v>
      </c>
      <c r="G481" s="68">
        <f>'THE BOARD'!G234</f>
        <v>0</v>
      </c>
      <c r="H481" s="68">
        <f>'THE BOARD'!H234</f>
        <v>0</v>
      </c>
      <c r="I481" s="68">
        <f>'THE BOARD'!I234</f>
        <v>0</v>
      </c>
      <c r="J481" s="68">
        <f>'THE BOARD'!Q241</f>
        <v>0</v>
      </c>
      <c r="K481" s="99">
        <f>'THE BOARD'!U240</f>
        <v>0</v>
      </c>
    </row>
    <row r="482" spans="1:11" ht="12.75" x14ac:dyDescent="0.2">
      <c r="A482" s="68">
        <f>'THE BOARD'!A235</f>
        <v>0</v>
      </c>
      <c r="B482" s="68">
        <f>'THE BOARD'!B235</f>
        <v>0</v>
      </c>
      <c r="C482" s="99" t="str">
        <f>IF('THE BOARD'!U241 = "NESTED","",IF('THE BOARD'!D235&lt;&gt;"",'THE BOARD'!D235+0.72,""))</f>
        <v/>
      </c>
      <c r="D482" s="99" t="str">
        <f>IF(C482&lt;&gt;"", IF('THE BOARD'!U241 = "NESTED","",'THE BOARD'!D235 + IF(C482&lt;&gt;"", 0.72,0)),"")</f>
        <v/>
      </c>
      <c r="E482" s="68">
        <f>'THE BOARD'!E235</f>
        <v>0</v>
      </c>
      <c r="F482" s="68">
        <f>'THE BOARD'!F235</f>
        <v>0</v>
      </c>
      <c r="G482" s="68">
        <f>'THE BOARD'!G235</f>
        <v>0</v>
      </c>
      <c r="H482" s="68">
        <f>'THE BOARD'!H235</f>
        <v>0</v>
      </c>
      <c r="I482" s="68">
        <f>'THE BOARD'!I235</f>
        <v>0</v>
      </c>
      <c r="J482" s="68">
        <f>'THE BOARD'!Q242</f>
        <v>0</v>
      </c>
      <c r="K482" s="99">
        <f>'THE BOARD'!U241</f>
        <v>0</v>
      </c>
    </row>
    <row r="483" spans="1:11" ht="12.75" x14ac:dyDescent="0.2">
      <c r="A483" s="68">
        <f>'THE BOARD'!A236</f>
        <v>0</v>
      </c>
      <c r="B483" s="68">
        <f>'THE BOARD'!B236</f>
        <v>0</v>
      </c>
      <c r="C483" s="99" t="str">
        <f>IF('THE BOARD'!U242 = "NESTED","",IF('THE BOARD'!D236&lt;&gt;"",'THE BOARD'!D236+0.72,""))</f>
        <v/>
      </c>
      <c r="D483" s="99" t="str">
        <f>IF(C483&lt;&gt;"", IF('THE BOARD'!U242 = "NESTED","",'THE BOARD'!D236 + IF(C483&lt;&gt;"", 0.72,0)),"")</f>
        <v/>
      </c>
      <c r="E483" s="68">
        <f>'THE BOARD'!E236</f>
        <v>0</v>
      </c>
      <c r="F483" s="68">
        <f>'THE BOARD'!F236</f>
        <v>0</v>
      </c>
      <c r="G483" s="68">
        <f>'THE BOARD'!G236</f>
        <v>0</v>
      </c>
      <c r="H483" s="68">
        <f>'THE BOARD'!H236</f>
        <v>0</v>
      </c>
      <c r="I483" s="68">
        <f>'THE BOARD'!I236</f>
        <v>0</v>
      </c>
      <c r="J483" s="68">
        <f>'THE BOARD'!Q243</f>
        <v>0</v>
      </c>
      <c r="K483" s="99">
        <f>'THE BOARD'!U242</f>
        <v>0</v>
      </c>
    </row>
    <row r="484" spans="1:11" ht="12.75" x14ac:dyDescent="0.2">
      <c r="A484" s="68">
        <f>'THE BOARD'!A237</f>
        <v>0</v>
      </c>
      <c r="B484" s="68">
        <f>'THE BOARD'!B237</f>
        <v>0</v>
      </c>
      <c r="C484" s="99" t="str">
        <f>IF('THE BOARD'!U243 = "NESTED","",IF('THE BOARD'!D237&lt;&gt;"",'THE BOARD'!D237+0.72,""))</f>
        <v/>
      </c>
      <c r="D484" s="99" t="str">
        <f>IF(C484&lt;&gt;"", IF('THE BOARD'!U243 = "NESTED","",'THE BOARD'!D237 + IF(C484&lt;&gt;"", 0.72,0)),"")</f>
        <v/>
      </c>
      <c r="E484" s="68">
        <f>'THE BOARD'!E237</f>
        <v>0</v>
      </c>
      <c r="F484" s="68">
        <f>'THE BOARD'!F237</f>
        <v>0</v>
      </c>
      <c r="G484" s="68">
        <f>'THE BOARD'!G237</f>
        <v>0</v>
      </c>
      <c r="H484" s="68">
        <f>'THE BOARD'!H237</f>
        <v>0</v>
      </c>
      <c r="I484" s="68">
        <f>'THE BOARD'!I237</f>
        <v>0</v>
      </c>
      <c r="J484" s="68">
        <f>'THE BOARD'!Q244</f>
        <v>0</v>
      </c>
      <c r="K484" s="99">
        <f>'THE BOARD'!U243</f>
        <v>0</v>
      </c>
    </row>
    <row r="485" spans="1:11" ht="12.75" x14ac:dyDescent="0.2">
      <c r="A485" s="68">
        <f>'THE BOARD'!A238</f>
        <v>0</v>
      </c>
      <c r="B485" s="68">
        <f>'THE BOARD'!B238</f>
        <v>0</v>
      </c>
      <c r="C485" s="99" t="str">
        <f>IF('THE BOARD'!U244 = "NESTED","",IF('THE BOARD'!D238&lt;&gt;"",'THE BOARD'!D238+0.72,""))</f>
        <v/>
      </c>
      <c r="D485" s="99" t="str">
        <f>IF(C485&lt;&gt;"", IF('THE BOARD'!U244 = "NESTED","",'THE BOARD'!D238 + IF(C485&lt;&gt;"", 0.72,0)),"")</f>
        <v/>
      </c>
      <c r="E485" s="68">
        <f>'THE BOARD'!E238</f>
        <v>0</v>
      </c>
      <c r="F485" s="68">
        <f>'THE BOARD'!F238</f>
        <v>0</v>
      </c>
      <c r="G485" s="68">
        <f>'THE BOARD'!G238</f>
        <v>0</v>
      </c>
      <c r="H485" s="68">
        <f>'THE BOARD'!H238</f>
        <v>0</v>
      </c>
      <c r="I485" s="68">
        <f>'THE BOARD'!I238</f>
        <v>0</v>
      </c>
      <c r="J485" s="68">
        <f>'THE BOARD'!Q245</f>
        <v>0</v>
      </c>
      <c r="K485" s="99">
        <f>'THE BOARD'!U244</f>
        <v>0</v>
      </c>
    </row>
    <row r="486" spans="1:11" ht="12.75" x14ac:dyDescent="0.2">
      <c r="A486" s="68">
        <f>'THE BOARD'!A239</f>
        <v>0</v>
      </c>
      <c r="B486" s="68">
        <f>'THE BOARD'!B239</f>
        <v>0</v>
      </c>
      <c r="C486" s="99" t="str">
        <f>IF('THE BOARD'!U245 = "NESTED","",IF('THE BOARD'!D239&lt;&gt;"",'THE BOARD'!D239+0.72,""))</f>
        <v/>
      </c>
      <c r="D486" s="99" t="str">
        <f>IF(C486&lt;&gt;"", IF('THE BOARD'!U245 = "NESTED","",'THE BOARD'!D239 + IF(C486&lt;&gt;"", 0.72,0)),"")</f>
        <v/>
      </c>
      <c r="E486" s="68">
        <f>'THE BOARD'!E239</f>
        <v>0</v>
      </c>
      <c r="F486" s="68">
        <f>'THE BOARD'!F239</f>
        <v>0</v>
      </c>
      <c r="G486" s="68">
        <f>'THE BOARD'!G239</f>
        <v>0</v>
      </c>
      <c r="H486" s="68">
        <f>'THE BOARD'!H239</f>
        <v>0</v>
      </c>
      <c r="I486" s="68">
        <f>'THE BOARD'!I239</f>
        <v>0</v>
      </c>
      <c r="J486" s="68">
        <f>'THE BOARD'!Q246</f>
        <v>0</v>
      </c>
      <c r="K486" s="99">
        <f>'THE BOARD'!U245</f>
        <v>0</v>
      </c>
    </row>
    <row r="487" spans="1:11" ht="12.75" x14ac:dyDescent="0.2">
      <c r="A487" s="68">
        <f>'THE BOARD'!A240</f>
        <v>0</v>
      </c>
      <c r="B487" s="68">
        <f>'THE BOARD'!B240</f>
        <v>0</v>
      </c>
      <c r="C487" s="99" t="str">
        <f>IF('THE BOARD'!U246 = "NESTED","",IF('THE BOARD'!D240&lt;&gt;"",'THE BOARD'!D240+0.72,""))</f>
        <v/>
      </c>
      <c r="D487" s="99" t="str">
        <f>IF(C487&lt;&gt;"", IF('THE BOARD'!U246 = "NESTED","",'THE BOARD'!D240 + IF(C487&lt;&gt;"", 0.72,0)),"")</f>
        <v/>
      </c>
      <c r="E487" s="68">
        <f>'THE BOARD'!E240</f>
        <v>0</v>
      </c>
      <c r="F487" s="68">
        <f>'THE BOARD'!F240</f>
        <v>0</v>
      </c>
      <c r="G487" s="68">
        <f>'THE BOARD'!G240</f>
        <v>0</v>
      </c>
      <c r="H487" s="68">
        <f>'THE BOARD'!H240</f>
        <v>0</v>
      </c>
      <c r="I487" s="68">
        <f>'THE BOARD'!I240</f>
        <v>0</v>
      </c>
      <c r="J487" s="68">
        <f>'THE BOARD'!Q247</f>
        <v>0</v>
      </c>
      <c r="K487" s="99">
        <f>'THE BOARD'!U246</f>
        <v>0</v>
      </c>
    </row>
    <row r="488" spans="1:11" ht="12.75" x14ac:dyDescent="0.2">
      <c r="A488" s="68">
        <f>'THE BOARD'!A241</f>
        <v>0</v>
      </c>
      <c r="B488" s="68">
        <f>'THE BOARD'!B241</f>
        <v>0</v>
      </c>
      <c r="C488" s="99" t="str">
        <f>IF('THE BOARD'!U247 = "NESTED","",IF('THE BOARD'!D241&lt;&gt;"",'THE BOARD'!D241+0.72,""))</f>
        <v/>
      </c>
      <c r="D488" s="99" t="str">
        <f>IF(C488&lt;&gt;"", IF('THE BOARD'!U247 = "NESTED","",'THE BOARD'!D241 + IF(C488&lt;&gt;"", 0.72,0)),"")</f>
        <v/>
      </c>
      <c r="E488" s="68">
        <f>'THE BOARD'!E241</f>
        <v>0</v>
      </c>
      <c r="F488" s="68">
        <f>'THE BOARD'!F241</f>
        <v>0</v>
      </c>
      <c r="G488" s="68">
        <f>'THE BOARD'!G241</f>
        <v>0</v>
      </c>
      <c r="H488" s="68">
        <f>'THE BOARD'!H241</f>
        <v>0</v>
      </c>
      <c r="I488" s="68">
        <f>'THE BOARD'!I241</f>
        <v>0</v>
      </c>
      <c r="J488" s="68">
        <f>'THE BOARD'!Q248</f>
        <v>0</v>
      </c>
      <c r="K488" s="99">
        <f>'THE BOARD'!U247</f>
        <v>0</v>
      </c>
    </row>
    <row r="489" spans="1:11" ht="12.75" x14ac:dyDescent="0.2">
      <c r="A489" s="68">
        <f>'THE BOARD'!A242</f>
        <v>0</v>
      </c>
      <c r="B489" s="68">
        <f>'THE BOARD'!B242</f>
        <v>0</v>
      </c>
      <c r="C489" s="99" t="str">
        <f>IF('THE BOARD'!U248 = "NESTED","",IF('THE BOARD'!D242&lt;&gt;"",'THE BOARD'!D242+0.72,""))</f>
        <v/>
      </c>
      <c r="D489" s="99" t="str">
        <f>IF(C489&lt;&gt;"", IF('THE BOARD'!U248 = "NESTED","",'THE BOARD'!D242 + IF(C489&lt;&gt;"", 0.72,0)),"")</f>
        <v/>
      </c>
      <c r="E489" s="68">
        <f>'THE BOARD'!E242</f>
        <v>0</v>
      </c>
      <c r="F489" s="68">
        <f>'THE BOARD'!F242</f>
        <v>0</v>
      </c>
      <c r="G489" s="68">
        <f>'THE BOARD'!G242</f>
        <v>0</v>
      </c>
      <c r="H489" s="68">
        <f>'THE BOARD'!H242</f>
        <v>0</v>
      </c>
      <c r="I489" s="68">
        <f>'THE BOARD'!I242</f>
        <v>0</v>
      </c>
      <c r="J489" s="68">
        <f>'THE BOARD'!Q249</f>
        <v>0</v>
      </c>
      <c r="K489" s="99">
        <f>'THE BOARD'!U248</f>
        <v>0</v>
      </c>
    </row>
    <row r="490" spans="1:11" ht="12.75" x14ac:dyDescent="0.2">
      <c r="A490" s="68">
        <f>'THE BOARD'!A243</f>
        <v>0</v>
      </c>
      <c r="B490" s="68">
        <f>'THE BOARD'!B243</f>
        <v>0</v>
      </c>
      <c r="C490" s="99" t="str">
        <f>IF('THE BOARD'!U249 = "NESTED","",IF('THE BOARD'!D243&lt;&gt;"",'THE BOARD'!D243+0.72,""))</f>
        <v/>
      </c>
      <c r="D490" s="99" t="str">
        <f>IF(C490&lt;&gt;"", IF('THE BOARD'!U249 = "NESTED","",'THE BOARD'!D243 + IF(C490&lt;&gt;"", 0.72,0)),"")</f>
        <v/>
      </c>
      <c r="E490" s="68">
        <f>'THE BOARD'!E243</f>
        <v>0</v>
      </c>
      <c r="F490" s="68">
        <f>'THE BOARD'!F243</f>
        <v>0</v>
      </c>
      <c r="G490" s="68">
        <f>'THE BOARD'!G243</f>
        <v>0</v>
      </c>
      <c r="H490" s="68">
        <f>'THE BOARD'!H243</f>
        <v>0</v>
      </c>
      <c r="I490" s="68">
        <f>'THE BOARD'!I243</f>
        <v>0</v>
      </c>
      <c r="J490" s="68">
        <f>'THE BOARD'!Q250</f>
        <v>0</v>
      </c>
      <c r="K490" s="99">
        <f>'THE BOARD'!U249</f>
        <v>0</v>
      </c>
    </row>
    <row r="491" spans="1:11" ht="12.75" x14ac:dyDescent="0.2">
      <c r="A491" s="68">
        <f>'THE BOARD'!A244</f>
        <v>0</v>
      </c>
      <c r="B491" s="68">
        <f>'THE BOARD'!B244</f>
        <v>0</v>
      </c>
      <c r="C491" s="99" t="str">
        <f>IF('THE BOARD'!U250 = "NESTED","",IF('THE BOARD'!D244&lt;&gt;"",'THE BOARD'!D244+0.72,""))</f>
        <v/>
      </c>
      <c r="D491" s="99" t="str">
        <f>IF(C491&lt;&gt;"", IF('THE BOARD'!U250 = "NESTED","",'THE BOARD'!D244 + IF(C491&lt;&gt;"", 0.72,0)),"")</f>
        <v/>
      </c>
      <c r="E491" s="68">
        <f>'THE BOARD'!E244</f>
        <v>0</v>
      </c>
      <c r="F491" s="68">
        <f>'THE BOARD'!F244</f>
        <v>0</v>
      </c>
      <c r="G491" s="68">
        <f>'THE BOARD'!G244</f>
        <v>0</v>
      </c>
      <c r="H491" s="68">
        <f>'THE BOARD'!H244</f>
        <v>0</v>
      </c>
      <c r="I491" s="68">
        <f>'THE BOARD'!I244</f>
        <v>0</v>
      </c>
      <c r="J491" s="68">
        <f>'THE BOARD'!Q251</f>
        <v>0</v>
      </c>
      <c r="K491" s="99">
        <f>'THE BOARD'!U250</f>
        <v>0</v>
      </c>
    </row>
    <row r="492" spans="1:11" ht="12.75" x14ac:dyDescent="0.2">
      <c r="A492" s="68">
        <f>'THE BOARD'!A245</f>
        <v>0</v>
      </c>
      <c r="B492" s="68">
        <f>'THE BOARD'!B245</f>
        <v>0</v>
      </c>
      <c r="C492" s="99" t="str">
        <f>IF('THE BOARD'!U251 = "NESTED","",IF('THE BOARD'!D245&lt;&gt;"",'THE BOARD'!D245+0.72,""))</f>
        <v/>
      </c>
      <c r="D492" s="99" t="str">
        <f>IF(C492&lt;&gt;"", IF('THE BOARD'!U251 = "NESTED","",'THE BOARD'!D245 + IF(C492&lt;&gt;"", 0.72,0)),"")</f>
        <v/>
      </c>
      <c r="E492" s="68">
        <f>'THE BOARD'!E245</f>
        <v>0</v>
      </c>
      <c r="F492" s="68">
        <f>'THE BOARD'!F245</f>
        <v>0</v>
      </c>
      <c r="G492" s="68">
        <f>'THE BOARD'!G245</f>
        <v>0</v>
      </c>
      <c r="H492" s="68">
        <f>'THE BOARD'!H245</f>
        <v>0</v>
      </c>
      <c r="I492" s="68">
        <f>'THE BOARD'!I245</f>
        <v>0</v>
      </c>
      <c r="J492" s="68">
        <f>'THE BOARD'!Q252</f>
        <v>0</v>
      </c>
      <c r="K492" s="99">
        <f>'THE BOARD'!U251</f>
        <v>0</v>
      </c>
    </row>
    <row r="493" spans="1:11" ht="12.75" x14ac:dyDescent="0.2">
      <c r="A493" s="68">
        <f>'THE BOARD'!A246</f>
        <v>0</v>
      </c>
      <c r="B493" s="68">
        <f>'THE BOARD'!B246</f>
        <v>0</v>
      </c>
      <c r="C493" s="99" t="str">
        <f>IF('THE BOARD'!U252 = "NESTED","",IF('THE BOARD'!D246&lt;&gt;"",'THE BOARD'!D246+0.72,""))</f>
        <v/>
      </c>
      <c r="D493" s="99" t="str">
        <f>IF(C493&lt;&gt;"", IF('THE BOARD'!U252 = "NESTED","",'THE BOARD'!D246 + IF(C493&lt;&gt;"", 0.72,0)),"")</f>
        <v/>
      </c>
      <c r="E493" s="68">
        <f>'THE BOARD'!E246</f>
        <v>0</v>
      </c>
      <c r="F493" s="68">
        <f>'THE BOARD'!F246</f>
        <v>0</v>
      </c>
      <c r="G493" s="68">
        <f>'THE BOARD'!G246</f>
        <v>0</v>
      </c>
      <c r="H493" s="68">
        <f>'THE BOARD'!H246</f>
        <v>0</v>
      </c>
      <c r="I493" s="68">
        <f>'THE BOARD'!I246</f>
        <v>0</v>
      </c>
      <c r="J493" s="68">
        <f>'THE BOARD'!Q253</f>
        <v>0</v>
      </c>
      <c r="K493" s="99">
        <f>'THE BOARD'!U252</f>
        <v>0</v>
      </c>
    </row>
    <row r="494" spans="1:11" ht="12.75" x14ac:dyDescent="0.2">
      <c r="A494" s="68">
        <f>'THE BOARD'!A247</f>
        <v>0</v>
      </c>
      <c r="B494" s="68">
        <f>'THE BOARD'!B247</f>
        <v>0</v>
      </c>
      <c r="C494" s="99" t="str">
        <f>IF('THE BOARD'!U253 = "NESTED","",IF('THE BOARD'!D247&lt;&gt;"",'THE BOARD'!D247+0.72,""))</f>
        <v/>
      </c>
      <c r="D494" s="99" t="str">
        <f>IF(C494&lt;&gt;"", IF('THE BOARD'!U253 = "NESTED","",'THE BOARD'!D247 + IF(C494&lt;&gt;"", 0.72,0)),"")</f>
        <v/>
      </c>
      <c r="E494" s="68">
        <f>'THE BOARD'!E247</f>
        <v>0</v>
      </c>
      <c r="F494" s="68">
        <f>'THE BOARD'!F247</f>
        <v>0</v>
      </c>
      <c r="G494" s="68">
        <f>'THE BOARD'!G247</f>
        <v>0</v>
      </c>
      <c r="H494" s="68">
        <f>'THE BOARD'!H247</f>
        <v>0</v>
      </c>
      <c r="I494" s="68">
        <f>'THE BOARD'!I247</f>
        <v>0</v>
      </c>
      <c r="J494" s="68">
        <f>'THE BOARD'!Q254</f>
        <v>0</v>
      </c>
      <c r="K494" s="99">
        <f>'THE BOARD'!U253</f>
        <v>0</v>
      </c>
    </row>
    <row r="495" spans="1:11" ht="12.75" x14ac:dyDescent="0.2">
      <c r="A495" s="68">
        <f>'THE BOARD'!A248</f>
        <v>0</v>
      </c>
      <c r="B495" s="68">
        <f>'THE BOARD'!B248</f>
        <v>0</v>
      </c>
      <c r="C495" s="99" t="str">
        <f>IF('THE BOARD'!U254 = "NESTED","",IF('THE BOARD'!D248&lt;&gt;"",'THE BOARD'!D248+0.72,""))</f>
        <v/>
      </c>
      <c r="D495" s="99" t="str">
        <f>IF(C495&lt;&gt;"", IF('THE BOARD'!U254 = "NESTED","",'THE BOARD'!D248 + IF(C495&lt;&gt;"", 0.72,0)),"")</f>
        <v/>
      </c>
      <c r="E495" s="68">
        <f>'THE BOARD'!E248</f>
        <v>0</v>
      </c>
      <c r="F495" s="68">
        <f>'THE BOARD'!F248</f>
        <v>0</v>
      </c>
      <c r="G495" s="68">
        <f>'THE BOARD'!G248</f>
        <v>0</v>
      </c>
      <c r="H495" s="68">
        <f>'THE BOARD'!H248</f>
        <v>0</v>
      </c>
      <c r="I495" s="68">
        <f>'THE BOARD'!I248</f>
        <v>0</v>
      </c>
      <c r="J495" s="68">
        <f>'THE BOARD'!Q255</f>
        <v>0</v>
      </c>
      <c r="K495" s="99">
        <f>'THE BOARD'!U254</f>
        <v>0</v>
      </c>
    </row>
    <row r="496" spans="1:11" ht="12.75" x14ac:dyDescent="0.2">
      <c r="A496" s="68">
        <f>'THE BOARD'!A249</f>
        <v>0</v>
      </c>
      <c r="B496" s="68">
        <f>'THE BOARD'!B249</f>
        <v>0</v>
      </c>
      <c r="C496" s="99" t="str">
        <f>IF('THE BOARD'!U255 = "NESTED","",IF('THE BOARD'!D249&lt;&gt;"",'THE BOARD'!D249+0.72,""))</f>
        <v/>
      </c>
      <c r="D496" s="99" t="str">
        <f>IF(C496&lt;&gt;"", IF('THE BOARD'!U255 = "NESTED","",'THE BOARD'!D249 + IF(C496&lt;&gt;"", 0.72,0)),"")</f>
        <v/>
      </c>
      <c r="E496" s="68">
        <f>'THE BOARD'!E249</f>
        <v>0</v>
      </c>
      <c r="F496" s="68">
        <f>'THE BOARD'!F249</f>
        <v>0</v>
      </c>
      <c r="G496" s="68">
        <f>'THE BOARD'!G249</f>
        <v>0</v>
      </c>
      <c r="H496" s="68">
        <f>'THE BOARD'!H249</f>
        <v>0</v>
      </c>
      <c r="I496" s="68">
        <f>'THE BOARD'!I249</f>
        <v>0</v>
      </c>
      <c r="J496" s="68">
        <f>'THE BOARD'!Q256</f>
        <v>0</v>
      </c>
      <c r="K496" s="99">
        <f>'THE BOARD'!U255</f>
        <v>0</v>
      </c>
    </row>
    <row r="497" spans="1:11" ht="12.75" x14ac:dyDescent="0.2">
      <c r="A497" s="68">
        <f>'THE BOARD'!A250</f>
        <v>0</v>
      </c>
      <c r="B497" s="68">
        <f>'THE BOARD'!B250</f>
        <v>0</v>
      </c>
      <c r="C497" s="99" t="str">
        <f>IF('THE BOARD'!U256 = "NESTED","",IF('THE BOARD'!D250&lt;&gt;"",'THE BOARD'!D250+0.72,""))</f>
        <v/>
      </c>
      <c r="D497" s="99" t="str">
        <f>IF(C497&lt;&gt;"", IF('THE BOARD'!U256 = "NESTED","",'THE BOARD'!D250 + IF(C497&lt;&gt;"", 0.72,0)),"")</f>
        <v/>
      </c>
      <c r="E497" s="68">
        <f>'THE BOARD'!E250</f>
        <v>0</v>
      </c>
      <c r="F497" s="68">
        <f>'THE BOARD'!F250</f>
        <v>0</v>
      </c>
      <c r="G497" s="68">
        <f>'THE BOARD'!G250</f>
        <v>0</v>
      </c>
      <c r="H497" s="68">
        <f>'THE BOARD'!H250</f>
        <v>0</v>
      </c>
      <c r="I497" s="68">
        <f>'THE BOARD'!I250</f>
        <v>0</v>
      </c>
      <c r="J497" s="68">
        <f>'THE BOARD'!Q257</f>
        <v>0</v>
      </c>
      <c r="K497" s="99">
        <f>'THE BOARD'!U256</f>
        <v>0</v>
      </c>
    </row>
    <row r="498" spans="1:11" ht="12.75" x14ac:dyDescent="0.2">
      <c r="A498" s="68">
        <f>'THE BOARD'!A251</f>
        <v>0</v>
      </c>
      <c r="B498" s="68">
        <f>'THE BOARD'!B251</f>
        <v>0</v>
      </c>
      <c r="C498" s="99" t="str">
        <f>IF('THE BOARD'!U257 = "NESTED","",IF('THE BOARD'!D251&lt;&gt;"",'THE BOARD'!D251+0.72,""))</f>
        <v/>
      </c>
      <c r="D498" s="99" t="str">
        <f>IF(C498&lt;&gt;"", IF('THE BOARD'!U257 = "NESTED","",'THE BOARD'!D251 + IF(C498&lt;&gt;"", 0.72,0)),"")</f>
        <v/>
      </c>
      <c r="E498" s="68">
        <f>'THE BOARD'!E251</f>
        <v>0</v>
      </c>
      <c r="F498" s="68">
        <f>'THE BOARD'!F251</f>
        <v>0</v>
      </c>
      <c r="G498" s="68">
        <f>'THE BOARD'!G251</f>
        <v>0</v>
      </c>
      <c r="H498" s="68">
        <f>'THE BOARD'!H251</f>
        <v>0</v>
      </c>
      <c r="I498" s="68">
        <f>'THE BOARD'!I251</f>
        <v>0</v>
      </c>
      <c r="J498" s="68">
        <f>'THE BOARD'!Q258</f>
        <v>0</v>
      </c>
      <c r="K498" s="99">
        <f>'THE BOARD'!U257</f>
        <v>0</v>
      </c>
    </row>
    <row r="499" spans="1:11" ht="12.75" x14ac:dyDescent="0.2">
      <c r="A499" s="68">
        <f>'THE BOARD'!A252</f>
        <v>0</v>
      </c>
      <c r="B499" s="68">
        <f>'THE BOARD'!B252</f>
        <v>0</v>
      </c>
      <c r="C499" s="99" t="str">
        <f>IF('THE BOARD'!U258 = "NESTED","",IF('THE BOARD'!D252&lt;&gt;"",'THE BOARD'!D252+0.72,""))</f>
        <v/>
      </c>
      <c r="D499" s="99" t="str">
        <f>IF(C499&lt;&gt;"", IF('THE BOARD'!U258 = "NESTED","",'THE BOARD'!D252 + IF(C499&lt;&gt;"", 0.72,0)),"")</f>
        <v/>
      </c>
      <c r="E499" s="68">
        <f>'THE BOARD'!E252</f>
        <v>0</v>
      </c>
      <c r="F499" s="68">
        <f>'THE BOARD'!F252</f>
        <v>0</v>
      </c>
      <c r="G499" s="68">
        <f>'THE BOARD'!G252</f>
        <v>0</v>
      </c>
      <c r="H499" s="68">
        <f>'THE BOARD'!H252</f>
        <v>0</v>
      </c>
      <c r="I499" s="68">
        <f>'THE BOARD'!I252</f>
        <v>0</v>
      </c>
      <c r="J499" s="68">
        <f>'THE BOARD'!Q259</f>
        <v>0</v>
      </c>
      <c r="K499" s="99">
        <f>'THE BOARD'!U258</f>
        <v>0</v>
      </c>
    </row>
    <row r="500" spans="1:11" ht="12.75" x14ac:dyDescent="0.2">
      <c r="A500" s="68">
        <f>'THE BOARD'!A253</f>
        <v>0</v>
      </c>
      <c r="B500" s="68">
        <f>'THE BOARD'!B253</f>
        <v>0</v>
      </c>
      <c r="C500" s="99" t="str">
        <f>IF('THE BOARD'!U259 = "NESTED","",IF('THE BOARD'!D253&lt;&gt;"",'THE BOARD'!D253+0.72,""))</f>
        <v/>
      </c>
      <c r="D500" s="99" t="str">
        <f>IF(C500&lt;&gt;"", IF('THE BOARD'!U259 = "NESTED","",'THE BOARD'!D253 + IF(C500&lt;&gt;"", 0.72,0)),"")</f>
        <v/>
      </c>
      <c r="E500" s="68">
        <f>'THE BOARD'!E253</f>
        <v>0</v>
      </c>
      <c r="F500" s="68">
        <f>'THE BOARD'!F253</f>
        <v>0</v>
      </c>
      <c r="G500" s="68">
        <f>'THE BOARD'!G253</f>
        <v>0</v>
      </c>
      <c r="H500" s="68">
        <f>'THE BOARD'!H253</f>
        <v>0</v>
      </c>
      <c r="I500" s="68">
        <f>'THE BOARD'!I253</f>
        <v>0</v>
      </c>
      <c r="J500" s="68">
        <f>'THE BOARD'!Q260</f>
        <v>0</v>
      </c>
      <c r="K500" s="99">
        <f>'THE BOARD'!U259</f>
        <v>0</v>
      </c>
    </row>
    <row r="501" spans="1:11" ht="12.75" x14ac:dyDescent="0.2">
      <c r="A501" s="68">
        <f>'THE BOARD'!A254</f>
        <v>0</v>
      </c>
      <c r="B501" s="68">
        <f>'THE BOARD'!B254</f>
        <v>0</v>
      </c>
      <c r="C501" s="99" t="str">
        <f>IF('THE BOARD'!U260 = "NESTED","",IF('THE BOARD'!D254&lt;&gt;"",'THE BOARD'!D254+0.72,""))</f>
        <v/>
      </c>
      <c r="D501" s="99" t="str">
        <f>IF(C501&lt;&gt;"", IF('THE BOARD'!U260 = "NESTED","",'THE BOARD'!D254 + IF(C501&lt;&gt;"", 0.72,0)),"")</f>
        <v/>
      </c>
      <c r="E501" s="68">
        <f>'THE BOARD'!E254</f>
        <v>0</v>
      </c>
      <c r="F501" s="68">
        <f>'THE BOARD'!F254</f>
        <v>0</v>
      </c>
      <c r="G501" s="68">
        <f>'THE BOARD'!G254</f>
        <v>0</v>
      </c>
      <c r="H501" s="68">
        <f>'THE BOARD'!H254</f>
        <v>0</v>
      </c>
      <c r="I501" s="68">
        <f>'THE BOARD'!I254</f>
        <v>0</v>
      </c>
      <c r="J501" s="68">
        <f>'THE BOARD'!Q261</f>
        <v>0</v>
      </c>
      <c r="K501" s="99">
        <f>'THE BOARD'!U260</f>
        <v>0</v>
      </c>
    </row>
    <row r="502" spans="1:11" ht="12.75" x14ac:dyDescent="0.2">
      <c r="A502" s="68">
        <f>'THE BOARD'!A255</f>
        <v>0</v>
      </c>
      <c r="B502" s="68">
        <f>'THE BOARD'!B255</f>
        <v>0</v>
      </c>
      <c r="C502" s="99" t="str">
        <f>IF('THE BOARD'!U261 = "NESTED","",IF('THE BOARD'!D255&lt;&gt;"",'THE BOARD'!D255+0.72,""))</f>
        <v/>
      </c>
      <c r="D502" s="99" t="str">
        <f>IF(C502&lt;&gt;"", IF('THE BOARD'!U261 = "NESTED","",'THE BOARD'!D255 + IF(C502&lt;&gt;"", 0.72,0)),"")</f>
        <v/>
      </c>
      <c r="E502" s="68">
        <f>'THE BOARD'!E255</f>
        <v>0</v>
      </c>
      <c r="F502" s="68">
        <f>'THE BOARD'!F255</f>
        <v>0</v>
      </c>
      <c r="G502" s="68">
        <f>'THE BOARD'!G255</f>
        <v>0</v>
      </c>
      <c r="H502" s="68">
        <f>'THE BOARD'!H255</f>
        <v>0</v>
      </c>
      <c r="I502" s="68">
        <f>'THE BOARD'!I255</f>
        <v>0</v>
      </c>
      <c r="J502" s="68">
        <f>'THE BOARD'!Q262</f>
        <v>0</v>
      </c>
      <c r="K502" s="99">
        <f>'THE BOARD'!U261</f>
        <v>0</v>
      </c>
    </row>
    <row r="503" spans="1:11" ht="12.75" x14ac:dyDescent="0.2">
      <c r="A503" s="68">
        <f>'THE BOARD'!A256</f>
        <v>0</v>
      </c>
      <c r="B503" s="68">
        <f>'THE BOARD'!B256</f>
        <v>0</v>
      </c>
      <c r="C503" s="99" t="str">
        <f>IF('THE BOARD'!U262 = "NESTED","",IF('THE BOARD'!D256&lt;&gt;"",'THE BOARD'!D256+0.72,""))</f>
        <v/>
      </c>
      <c r="D503" s="99" t="str">
        <f>IF(C503&lt;&gt;"", IF('THE BOARD'!U262 = "NESTED","",'THE BOARD'!D256 + IF(C503&lt;&gt;"", 0.72,0)),"")</f>
        <v/>
      </c>
      <c r="E503" s="68">
        <f>'THE BOARD'!E256</f>
        <v>0</v>
      </c>
      <c r="F503" s="68">
        <f>'THE BOARD'!F256</f>
        <v>0</v>
      </c>
      <c r="G503" s="68">
        <f>'THE BOARD'!G256</f>
        <v>0</v>
      </c>
      <c r="H503" s="68">
        <f>'THE BOARD'!H256</f>
        <v>0</v>
      </c>
      <c r="I503" s="68">
        <f>'THE BOARD'!I256</f>
        <v>0</v>
      </c>
      <c r="J503" s="68">
        <f>'THE BOARD'!Q263</f>
        <v>0</v>
      </c>
      <c r="K503" s="99">
        <f>'THE BOARD'!U262</f>
        <v>0</v>
      </c>
    </row>
    <row r="504" spans="1:11" ht="12.75" x14ac:dyDescent="0.2">
      <c r="A504" s="68">
        <f>'THE BOARD'!A257</f>
        <v>0</v>
      </c>
      <c r="B504" s="68">
        <f>'THE BOARD'!B257</f>
        <v>0</v>
      </c>
      <c r="C504" s="99" t="str">
        <f>IF('THE BOARD'!U263 = "NESTED","",IF('THE BOARD'!D257&lt;&gt;"",'THE BOARD'!D257+0.72,""))</f>
        <v/>
      </c>
      <c r="D504" s="99" t="str">
        <f>IF(C504&lt;&gt;"", IF('THE BOARD'!U263 = "NESTED","",'THE BOARD'!D257 + IF(C504&lt;&gt;"", 0.72,0)),"")</f>
        <v/>
      </c>
      <c r="E504" s="68">
        <f>'THE BOARD'!E257</f>
        <v>0</v>
      </c>
      <c r="F504" s="68">
        <f>'THE BOARD'!F257</f>
        <v>0</v>
      </c>
      <c r="G504" s="68">
        <f>'THE BOARD'!G257</f>
        <v>0</v>
      </c>
      <c r="H504" s="68">
        <f>'THE BOARD'!H257</f>
        <v>0</v>
      </c>
      <c r="I504" s="68">
        <f>'THE BOARD'!I257</f>
        <v>0</v>
      </c>
      <c r="J504" s="68">
        <f>'THE BOARD'!Q264</f>
        <v>0</v>
      </c>
      <c r="K504" s="99">
        <f>'THE BOARD'!U263</f>
        <v>0</v>
      </c>
    </row>
    <row r="505" spans="1:11" ht="12.75" x14ac:dyDescent="0.2">
      <c r="A505" s="68">
        <f>'THE BOARD'!A258</f>
        <v>0</v>
      </c>
      <c r="B505" s="68">
        <f>'THE BOARD'!B258</f>
        <v>0</v>
      </c>
      <c r="C505" s="99" t="str">
        <f>IF('THE BOARD'!U264 = "NESTED","",IF('THE BOARD'!D258&lt;&gt;"",'THE BOARD'!D258+0.72,""))</f>
        <v/>
      </c>
      <c r="D505" s="99" t="str">
        <f>IF(C505&lt;&gt;"", IF('THE BOARD'!U264 = "NESTED","",'THE BOARD'!D258 + IF(C505&lt;&gt;"", 0.72,0)),"")</f>
        <v/>
      </c>
      <c r="E505" s="68">
        <f>'THE BOARD'!E258</f>
        <v>0</v>
      </c>
      <c r="F505" s="68">
        <f>'THE BOARD'!F258</f>
        <v>0</v>
      </c>
      <c r="G505" s="68">
        <f>'THE BOARD'!G258</f>
        <v>0</v>
      </c>
      <c r="H505" s="68">
        <f>'THE BOARD'!H258</f>
        <v>0</v>
      </c>
      <c r="I505" s="68">
        <f>'THE BOARD'!I258</f>
        <v>0</v>
      </c>
      <c r="J505" s="68">
        <f>'THE BOARD'!Q265</f>
        <v>0</v>
      </c>
      <c r="K505" s="99">
        <f>'THE BOARD'!U264</f>
        <v>0</v>
      </c>
    </row>
    <row r="506" spans="1:11" ht="12.75" x14ac:dyDescent="0.2">
      <c r="A506" s="68">
        <f>'THE BOARD'!A259</f>
        <v>0</v>
      </c>
      <c r="B506" s="68">
        <f>'THE BOARD'!B259</f>
        <v>0</v>
      </c>
      <c r="C506" s="99" t="str">
        <f>IF('THE BOARD'!U265 = "NESTED","",IF('THE BOARD'!D259&lt;&gt;"",'THE BOARD'!D259+0.72,""))</f>
        <v/>
      </c>
      <c r="D506" s="99" t="str">
        <f>IF(C506&lt;&gt;"", IF('THE BOARD'!U265 = "NESTED","",'THE BOARD'!D259 + IF(C506&lt;&gt;"", 0.72,0)),"")</f>
        <v/>
      </c>
      <c r="E506" s="68">
        <f>'THE BOARD'!E259</f>
        <v>0</v>
      </c>
      <c r="F506" s="68">
        <f>'THE BOARD'!F259</f>
        <v>0</v>
      </c>
      <c r="G506" s="68">
        <f>'THE BOARD'!G259</f>
        <v>0</v>
      </c>
      <c r="H506" s="68">
        <f>'THE BOARD'!H259</f>
        <v>0</v>
      </c>
      <c r="I506" s="68">
        <f>'THE BOARD'!I259</f>
        <v>0</v>
      </c>
      <c r="J506" s="68">
        <f>'THE BOARD'!Q266</f>
        <v>0</v>
      </c>
      <c r="K506" s="99">
        <f>'THE BOARD'!U265</f>
        <v>0</v>
      </c>
    </row>
    <row r="507" spans="1:11" ht="12.75" x14ac:dyDescent="0.2">
      <c r="A507" s="68">
        <f>'THE BOARD'!A260</f>
        <v>0</v>
      </c>
      <c r="B507" s="68">
        <f>'THE BOARD'!B260</f>
        <v>0</v>
      </c>
      <c r="C507" s="99" t="str">
        <f>IF('THE BOARD'!U266 = "NESTED","",IF('THE BOARD'!D260&lt;&gt;"",'THE BOARD'!D260+0.72,""))</f>
        <v/>
      </c>
      <c r="D507" s="99" t="str">
        <f>IF(C507&lt;&gt;"", IF('THE BOARD'!U266 = "NESTED","",'THE BOARD'!D260 + IF(C507&lt;&gt;"", 0.72,0)),"")</f>
        <v/>
      </c>
      <c r="E507" s="68">
        <f>'THE BOARD'!E260</f>
        <v>0</v>
      </c>
      <c r="F507" s="68">
        <f>'THE BOARD'!F260</f>
        <v>0</v>
      </c>
      <c r="G507" s="68">
        <f>'THE BOARD'!G260</f>
        <v>0</v>
      </c>
      <c r="H507" s="68">
        <f>'THE BOARD'!H260</f>
        <v>0</v>
      </c>
      <c r="I507" s="68">
        <f>'THE BOARD'!I260</f>
        <v>0</v>
      </c>
      <c r="J507" s="68">
        <f>'THE BOARD'!Q267</f>
        <v>0</v>
      </c>
      <c r="K507" s="99">
        <f>'THE BOARD'!U266</f>
        <v>0</v>
      </c>
    </row>
    <row r="508" spans="1:11" ht="12.75" x14ac:dyDescent="0.2">
      <c r="A508" s="68">
        <f>'THE BOARD'!A261</f>
        <v>0</v>
      </c>
      <c r="B508" s="68">
        <f>'THE BOARD'!B261</f>
        <v>0</v>
      </c>
      <c r="C508" s="99" t="str">
        <f>IF('THE BOARD'!U267 = "NESTED","",IF('THE BOARD'!D261&lt;&gt;"",'THE BOARD'!D261+0.72,""))</f>
        <v/>
      </c>
      <c r="D508" s="99" t="str">
        <f>IF(C508&lt;&gt;"", IF('THE BOARD'!U267 = "NESTED","",'THE BOARD'!D261 + IF(C508&lt;&gt;"", 0.72,0)),"")</f>
        <v/>
      </c>
      <c r="E508" s="68">
        <f>'THE BOARD'!E261</f>
        <v>0</v>
      </c>
      <c r="F508" s="68">
        <f>'THE BOARD'!F261</f>
        <v>0</v>
      </c>
      <c r="G508" s="68">
        <f>'THE BOARD'!G261</f>
        <v>0</v>
      </c>
      <c r="H508" s="68">
        <f>'THE BOARD'!H261</f>
        <v>0</v>
      </c>
      <c r="I508" s="68">
        <f>'THE BOARD'!I261</f>
        <v>0</v>
      </c>
      <c r="J508" s="68">
        <f>'THE BOARD'!Q268</f>
        <v>0</v>
      </c>
      <c r="K508" s="99">
        <f>'THE BOARD'!U267</f>
        <v>0</v>
      </c>
    </row>
    <row r="509" spans="1:11" ht="12.75" x14ac:dyDescent="0.2">
      <c r="A509" s="68">
        <f>'THE BOARD'!A262</f>
        <v>0</v>
      </c>
      <c r="B509" s="68">
        <f>'THE BOARD'!B262</f>
        <v>0</v>
      </c>
      <c r="C509" s="99" t="str">
        <f>IF('THE BOARD'!U268 = "NESTED","",IF('THE BOARD'!D262&lt;&gt;"",'THE BOARD'!D262+0.72,""))</f>
        <v/>
      </c>
      <c r="D509" s="99" t="str">
        <f>IF(C509&lt;&gt;"", IF('THE BOARD'!U268 = "NESTED","",'THE BOARD'!D262 + IF(C509&lt;&gt;"", 0.72,0)),"")</f>
        <v/>
      </c>
      <c r="E509" s="68">
        <f>'THE BOARD'!E262</f>
        <v>0</v>
      </c>
      <c r="F509" s="68">
        <f>'THE BOARD'!F262</f>
        <v>0</v>
      </c>
      <c r="G509" s="68">
        <f>'THE BOARD'!G262</f>
        <v>0</v>
      </c>
      <c r="H509" s="68">
        <f>'THE BOARD'!H262</f>
        <v>0</v>
      </c>
      <c r="I509" s="68">
        <f>'THE BOARD'!I262</f>
        <v>0</v>
      </c>
      <c r="J509" s="68">
        <f>'THE BOARD'!Q269</f>
        <v>0</v>
      </c>
      <c r="K509" s="99">
        <f>'THE BOARD'!U268</f>
        <v>0</v>
      </c>
    </row>
    <row r="510" spans="1:11" ht="12.75" x14ac:dyDescent="0.2">
      <c r="A510" s="68">
        <f>'THE BOARD'!A263</f>
        <v>0</v>
      </c>
      <c r="B510" s="68">
        <f>'THE BOARD'!B263</f>
        <v>0</v>
      </c>
      <c r="C510" s="99" t="str">
        <f>IF('THE BOARD'!U269 = "NESTED","",IF('THE BOARD'!D263&lt;&gt;"",'THE BOARD'!D263+0.72,""))</f>
        <v/>
      </c>
      <c r="D510" s="99" t="str">
        <f>IF(C510&lt;&gt;"", IF('THE BOARD'!U269 = "NESTED","",'THE BOARD'!D263 + IF(C510&lt;&gt;"", 0.72,0)),"")</f>
        <v/>
      </c>
      <c r="E510" s="68">
        <f>'THE BOARD'!E263</f>
        <v>0</v>
      </c>
      <c r="F510" s="68">
        <f>'THE BOARD'!F263</f>
        <v>0</v>
      </c>
      <c r="G510" s="68">
        <f>'THE BOARD'!G263</f>
        <v>0</v>
      </c>
      <c r="H510" s="68">
        <f>'THE BOARD'!H263</f>
        <v>0</v>
      </c>
      <c r="I510" s="68">
        <f>'THE BOARD'!I263</f>
        <v>0</v>
      </c>
      <c r="J510" s="68">
        <f>'THE BOARD'!Q270</f>
        <v>0</v>
      </c>
      <c r="K510" s="99">
        <f>'THE BOARD'!U269</f>
        <v>0</v>
      </c>
    </row>
    <row r="511" spans="1:11" ht="12.75" x14ac:dyDescent="0.2">
      <c r="A511" s="68">
        <f>'THE BOARD'!A264</f>
        <v>0</v>
      </c>
      <c r="B511" s="68">
        <f>'THE BOARD'!B264</f>
        <v>0</v>
      </c>
      <c r="C511" s="99" t="str">
        <f>IF('THE BOARD'!U270 = "NESTED","",IF('THE BOARD'!D264&lt;&gt;"",'THE BOARD'!D264+0.72,""))</f>
        <v/>
      </c>
      <c r="D511" s="99" t="str">
        <f>IF(C511&lt;&gt;"", IF('THE BOARD'!U270 = "NESTED","",'THE BOARD'!D264 + IF(C511&lt;&gt;"", 0.72,0)),"")</f>
        <v/>
      </c>
      <c r="E511" s="68">
        <f>'THE BOARD'!E264</f>
        <v>0</v>
      </c>
      <c r="F511" s="68">
        <f>'THE BOARD'!F264</f>
        <v>0</v>
      </c>
      <c r="G511" s="68">
        <f>'THE BOARD'!G264</f>
        <v>0</v>
      </c>
      <c r="H511" s="68">
        <f>'THE BOARD'!H264</f>
        <v>0</v>
      </c>
      <c r="I511" s="68">
        <f>'THE BOARD'!I264</f>
        <v>0</v>
      </c>
      <c r="J511" s="68">
        <f>'THE BOARD'!Q271</f>
        <v>0</v>
      </c>
      <c r="K511" s="99">
        <f>'THE BOARD'!U270</f>
        <v>0</v>
      </c>
    </row>
    <row r="512" spans="1:11" ht="12.75" x14ac:dyDescent="0.2">
      <c r="A512" s="68">
        <f>'THE BOARD'!A265</f>
        <v>0</v>
      </c>
      <c r="B512" s="68">
        <f>'THE BOARD'!B265</f>
        <v>0</v>
      </c>
      <c r="C512" s="99" t="str">
        <f>IF('THE BOARD'!U271 = "NESTED","",IF('THE BOARD'!D265&lt;&gt;"",'THE BOARD'!D265+0.72,""))</f>
        <v/>
      </c>
      <c r="D512" s="99" t="str">
        <f>IF(C512&lt;&gt;"", IF('THE BOARD'!U271 = "NESTED","",'THE BOARD'!D265 + IF(C512&lt;&gt;"", 0.72,0)),"")</f>
        <v/>
      </c>
      <c r="E512" s="68">
        <f>'THE BOARD'!E265</f>
        <v>0</v>
      </c>
      <c r="F512" s="68">
        <f>'THE BOARD'!F265</f>
        <v>0</v>
      </c>
      <c r="G512" s="68">
        <f>'THE BOARD'!G265</f>
        <v>0</v>
      </c>
      <c r="H512" s="68">
        <f>'THE BOARD'!H265</f>
        <v>0</v>
      </c>
      <c r="I512" s="68">
        <f>'THE BOARD'!I265</f>
        <v>0</v>
      </c>
      <c r="J512" s="68">
        <f>'THE BOARD'!Q272</f>
        <v>0</v>
      </c>
      <c r="K512" s="99">
        <f>'THE BOARD'!U271</f>
        <v>0</v>
      </c>
    </row>
    <row r="513" spans="1:11" ht="12.75" x14ac:dyDescent="0.2">
      <c r="A513" s="68">
        <f>'THE BOARD'!A266</f>
        <v>0</v>
      </c>
      <c r="B513" s="68">
        <f>'THE BOARD'!B266</f>
        <v>0</v>
      </c>
      <c r="C513" s="99" t="str">
        <f>IF('THE BOARD'!U272 = "NESTED","",IF('THE BOARD'!D266&lt;&gt;"",'THE BOARD'!D266+0.72,""))</f>
        <v/>
      </c>
      <c r="D513" s="99" t="str">
        <f>IF(C513&lt;&gt;"", IF('THE BOARD'!U272 = "NESTED","",'THE BOARD'!D266 + IF(C513&lt;&gt;"", 0.72,0)),"")</f>
        <v/>
      </c>
      <c r="E513" s="68">
        <f>'THE BOARD'!E266</f>
        <v>0</v>
      </c>
      <c r="F513" s="68">
        <f>'THE BOARD'!F266</f>
        <v>0</v>
      </c>
      <c r="G513" s="68">
        <f>'THE BOARD'!G266</f>
        <v>0</v>
      </c>
      <c r="H513" s="68">
        <f>'THE BOARD'!H266</f>
        <v>0</v>
      </c>
      <c r="I513" s="68">
        <f>'THE BOARD'!I266</f>
        <v>0</v>
      </c>
      <c r="J513" s="68">
        <f>'THE BOARD'!Q273</f>
        <v>0</v>
      </c>
      <c r="K513" s="99">
        <f>'THE BOARD'!U272</f>
        <v>0</v>
      </c>
    </row>
    <row r="514" spans="1:11" ht="12.75" x14ac:dyDescent="0.2">
      <c r="A514" s="68">
        <f>'THE BOARD'!A267</f>
        <v>0</v>
      </c>
      <c r="B514" s="68">
        <f>'THE BOARD'!B267</f>
        <v>0</v>
      </c>
      <c r="C514" s="99" t="str">
        <f>IF('THE BOARD'!U273 = "NESTED","",IF('THE BOARD'!D267&lt;&gt;"",'THE BOARD'!D267+0.72,""))</f>
        <v/>
      </c>
      <c r="D514" s="99" t="str">
        <f>IF(C514&lt;&gt;"", IF('THE BOARD'!U273 = "NESTED","",'THE BOARD'!D267 + IF(C514&lt;&gt;"", 0.72,0)),"")</f>
        <v/>
      </c>
      <c r="E514" s="68">
        <f>'THE BOARD'!E267</f>
        <v>0</v>
      </c>
      <c r="F514" s="68">
        <f>'THE BOARD'!F267</f>
        <v>0</v>
      </c>
      <c r="G514" s="68">
        <f>'THE BOARD'!G267</f>
        <v>0</v>
      </c>
      <c r="H514" s="68">
        <f>'THE BOARD'!H267</f>
        <v>0</v>
      </c>
      <c r="I514" s="68">
        <f>'THE BOARD'!I267</f>
        <v>0</v>
      </c>
      <c r="J514" s="68">
        <f>'THE BOARD'!Q274</f>
        <v>0</v>
      </c>
      <c r="K514" s="99">
        <f>'THE BOARD'!U273</f>
        <v>0</v>
      </c>
    </row>
    <row r="515" spans="1:11" ht="12.75" x14ac:dyDescent="0.2">
      <c r="A515" s="68">
        <f>'THE BOARD'!A268</f>
        <v>0</v>
      </c>
      <c r="B515" s="68">
        <f>'THE BOARD'!B268</f>
        <v>0</v>
      </c>
      <c r="C515" s="99" t="str">
        <f>IF('THE BOARD'!U274 = "NESTED","",IF('THE BOARD'!D268&lt;&gt;"",'THE BOARD'!D268+0.72,""))</f>
        <v/>
      </c>
      <c r="D515" s="99" t="str">
        <f>IF(C515&lt;&gt;"", IF('THE BOARD'!U274 = "NESTED","",'THE BOARD'!D268 + IF(C515&lt;&gt;"", 0.72,0)),"")</f>
        <v/>
      </c>
      <c r="E515" s="68">
        <f>'THE BOARD'!E268</f>
        <v>0</v>
      </c>
      <c r="F515" s="68">
        <f>'THE BOARD'!F268</f>
        <v>0</v>
      </c>
      <c r="G515" s="68">
        <f>'THE BOARD'!G268</f>
        <v>0</v>
      </c>
      <c r="H515" s="68">
        <f>'THE BOARD'!H268</f>
        <v>0</v>
      </c>
      <c r="I515" s="68">
        <f>'THE BOARD'!I268</f>
        <v>0</v>
      </c>
      <c r="J515" s="68">
        <f>'THE BOARD'!Q275</f>
        <v>0</v>
      </c>
      <c r="K515" s="99">
        <f>'THE BOARD'!U274</f>
        <v>0</v>
      </c>
    </row>
    <row r="516" spans="1:11" ht="12.75" x14ac:dyDescent="0.2">
      <c r="A516" s="68">
        <f>'THE BOARD'!A269</f>
        <v>0</v>
      </c>
      <c r="B516" s="68">
        <f>'THE BOARD'!B269</f>
        <v>0</v>
      </c>
      <c r="C516" s="99" t="str">
        <f>IF('THE BOARD'!U275 = "NESTED","",IF('THE BOARD'!D269&lt;&gt;"",'THE BOARD'!D269+0.72,""))</f>
        <v/>
      </c>
      <c r="D516" s="99" t="str">
        <f>IF(C516&lt;&gt;"", IF('THE BOARD'!U275 = "NESTED","",'THE BOARD'!D269 + IF(C516&lt;&gt;"", 0.72,0)),"")</f>
        <v/>
      </c>
      <c r="E516" s="68">
        <f>'THE BOARD'!E269</f>
        <v>0</v>
      </c>
      <c r="F516" s="68">
        <f>'THE BOARD'!F269</f>
        <v>0</v>
      </c>
      <c r="G516" s="68">
        <f>'THE BOARD'!G269</f>
        <v>0</v>
      </c>
      <c r="H516" s="68">
        <f>'THE BOARD'!H269</f>
        <v>0</v>
      </c>
      <c r="I516" s="68">
        <f>'THE BOARD'!I269</f>
        <v>0</v>
      </c>
      <c r="J516" s="68">
        <f>'THE BOARD'!Q276</f>
        <v>0</v>
      </c>
      <c r="K516" s="99">
        <f>'THE BOARD'!U275</f>
        <v>0</v>
      </c>
    </row>
    <row r="517" spans="1:11" ht="12.75" x14ac:dyDescent="0.2">
      <c r="A517" s="68">
        <f>'THE BOARD'!A270</f>
        <v>0</v>
      </c>
      <c r="B517" s="68">
        <f>'THE BOARD'!B270</f>
        <v>0</v>
      </c>
      <c r="C517" s="99" t="str">
        <f>IF('THE BOARD'!U276 = "NESTED","",IF('THE BOARD'!D270&lt;&gt;"",'THE BOARD'!D270+0.72,""))</f>
        <v/>
      </c>
      <c r="D517" s="99" t="str">
        <f>IF(C517&lt;&gt;"", IF('THE BOARD'!U276 = "NESTED","",'THE BOARD'!D270 + IF(C517&lt;&gt;"", 0.72,0)),"")</f>
        <v/>
      </c>
      <c r="E517" s="68">
        <f>'THE BOARD'!E270</f>
        <v>0</v>
      </c>
      <c r="F517" s="68">
        <f>'THE BOARD'!F270</f>
        <v>0</v>
      </c>
      <c r="G517" s="68">
        <f>'THE BOARD'!G270</f>
        <v>0</v>
      </c>
      <c r="H517" s="68">
        <f>'THE BOARD'!H270</f>
        <v>0</v>
      </c>
      <c r="I517" s="68">
        <f>'THE BOARD'!I270</f>
        <v>0</v>
      </c>
      <c r="J517" s="68">
        <f>'THE BOARD'!Q277</f>
        <v>0</v>
      </c>
      <c r="K517" s="99">
        <f>'THE BOARD'!U276</f>
        <v>0</v>
      </c>
    </row>
    <row r="518" spans="1:11" ht="12.75" x14ac:dyDescent="0.2">
      <c r="A518" s="68">
        <f>'THE BOARD'!A271</f>
        <v>0</v>
      </c>
      <c r="B518" s="68">
        <f>'THE BOARD'!B271</f>
        <v>0</v>
      </c>
      <c r="C518" s="99" t="str">
        <f>IF('THE BOARD'!U277 = "NESTED","",IF('THE BOARD'!D271&lt;&gt;"",'THE BOARD'!D271+0.72,""))</f>
        <v/>
      </c>
      <c r="D518" s="99" t="str">
        <f>IF(C518&lt;&gt;"", IF('THE BOARD'!U277 = "NESTED","",'THE BOARD'!D271 + IF(C518&lt;&gt;"", 0.72,0)),"")</f>
        <v/>
      </c>
      <c r="E518" s="68">
        <f>'THE BOARD'!E271</f>
        <v>0</v>
      </c>
      <c r="F518" s="68">
        <f>'THE BOARD'!F271</f>
        <v>0</v>
      </c>
      <c r="G518" s="68">
        <f>'THE BOARD'!G271</f>
        <v>0</v>
      </c>
      <c r="H518" s="68">
        <f>'THE BOARD'!H271</f>
        <v>0</v>
      </c>
      <c r="I518" s="68">
        <f>'THE BOARD'!I271</f>
        <v>0</v>
      </c>
      <c r="J518" s="68">
        <f>'THE BOARD'!Q278</f>
        <v>0</v>
      </c>
      <c r="K518" s="99">
        <f>'THE BOARD'!U277</f>
        <v>0</v>
      </c>
    </row>
    <row r="519" spans="1:11" ht="12.75" x14ac:dyDescent="0.2">
      <c r="A519" s="68">
        <f>'THE BOARD'!A272</f>
        <v>0</v>
      </c>
      <c r="B519" s="68">
        <f>'THE BOARD'!B272</f>
        <v>0</v>
      </c>
      <c r="C519" s="99" t="str">
        <f>IF('THE BOARD'!U278 = "NESTED","",IF('THE BOARD'!D272&lt;&gt;"",'THE BOARD'!D272+0.72,""))</f>
        <v/>
      </c>
      <c r="D519" s="99" t="str">
        <f>IF(C519&lt;&gt;"", IF('THE BOARD'!U278 = "NESTED","",'THE BOARD'!D272 + IF(C519&lt;&gt;"", 0.72,0)),"")</f>
        <v/>
      </c>
      <c r="E519" s="68">
        <f>'THE BOARD'!E272</f>
        <v>0</v>
      </c>
      <c r="F519" s="68">
        <f>'THE BOARD'!F272</f>
        <v>0</v>
      </c>
      <c r="G519" s="68">
        <f>'THE BOARD'!G272</f>
        <v>0</v>
      </c>
      <c r="H519" s="68">
        <f>'THE BOARD'!H272</f>
        <v>0</v>
      </c>
      <c r="I519" s="68">
        <f>'THE BOARD'!I272</f>
        <v>0</v>
      </c>
      <c r="J519" s="68">
        <f>'THE BOARD'!Q279</f>
        <v>0</v>
      </c>
      <c r="K519" s="99">
        <f>'THE BOARD'!U278</f>
        <v>0</v>
      </c>
    </row>
    <row r="520" spans="1:11" ht="12.75" x14ac:dyDescent="0.2">
      <c r="A520" s="68">
        <f>'THE BOARD'!A273</f>
        <v>0</v>
      </c>
      <c r="B520" s="68">
        <f>'THE BOARD'!B273</f>
        <v>0</v>
      </c>
      <c r="C520" s="99" t="str">
        <f>IF('THE BOARD'!U279 = "NESTED","",IF('THE BOARD'!D273&lt;&gt;"",'THE BOARD'!D273+0.72,""))</f>
        <v/>
      </c>
      <c r="D520" s="99" t="str">
        <f>IF(C520&lt;&gt;"", IF('THE BOARD'!U279 = "NESTED","",'THE BOARD'!D273 + IF(C520&lt;&gt;"", 0.72,0)),"")</f>
        <v/>
      </c>
      <c r="E520" s="68">
        <f>'THE BOARD'!E273</f>
        <v>0</v>
      </c>
      <c r="F520" s="68">
        <f>'THE BOARD'!F273</f>
        <v>0</v>
      </c>
      <c r="G520" s="68">
        <f>'THE BOARD'!G273</f>
        <v>0</v>
      </c>
      <c r="H520" s="68">
        <f>'THE BOARD'!H273</f>
        <v>0</v>
      </c>
      <c r="I520" s="68">
        <f>'THE BOARD'!I273</f>
        <v>0</v>
      </c>
      <c r="J520" s="68">
        <f>'THE BOARD'!Q280</f>
        <v>0</v>
      </c>
      <c r="K520" s="99">
        <f>'THE BOARD'!U279</f>
        <v>0</v>
      </c>
    </row>
    <row r="521" spans="1:11" ht="12.75" x14ac:dyDescent="0.2">
      <c r="A521" s="68">
        <f>'THE BOARD'!A274</f>
        <v>0</v>
      </c>
      <c r="B521" s="68">
        <f>'THE BOARD'!B274</f>
        <v>0</v>
      </c>
      <c r="C521" s="99" t="str">
        <f>IF('THE BOARD'!U280 = "NESTED","",IF('THE BOARD'!D274&lt;&gt;"",'THE BOARD'!D274+0.72,""))</f>
        <v/>
      </c>
      <c r="D521" s="99" t="str">
        <f>IF(C521&lt;&gt;"", IF('THE BOARD'!U280 = "NESTED","",'THE BOARD'!D274 + IF(C521&lt;&gt;"", 0.72,0)),"")</f>
        <v/>
      </c>
      <c r="E521" s="68">
        <f>'THE BOARD'!E274</f>
        <v>0</v>
      </c>
      <c r="F521" s="68">
        <f>'THE BOARD'!F274</f>
        <v>0</v>
      </c>
      <c r="G521" s="68">
        <f>'THE BOARD'!G274</f>
        <v>0</v>
      </c>
      <c r="H521" s="68">
        <f>'THE BOARD'!H274</f>
        <v>0</v>
      </c>
      <c r="I521" s="68">
        <f>'THE BOARD'!I274</f>
        <v>0</v>
      </c>
      <c r="J521" s="68">
        <f>'THE BOARD'!Q281</f>
        <v>0</v>
      </c>
      <c r="K521" s="99">
        <f>'THE BOARD'!U280</f>
        <v>0</v>
      </c>
    </row>
    <row r="522" spans="1:11" ht="12.75" x14ac:dyDescent="0.2">
      <c r="A522" s="68">
        <f>'THE BOARD'!A275</f>
        <v>0</v>
      </c>
      <c r="B522" s="68">
        <f>'THE BOARD'!B275</f>
        <v>0</v>
      </c>
      <c r="C522" s="99" t="str">
        <f>IF('THE BOARD'!U281 = "NESTED","",IF('THE BOARD'!D275&lt;&gt;"",'THE BOARD'!D275+0.72,""))</f>
        <v/>
      </c>
      <c r="D522" s="99" t="str">
        <f>IF(C522&lt;&gt;"", IF('THE BOARD'!U281 = "NESTED","",'THE BOARD'!D275 + IF(C522&lt;&gt;"", 0.72,0)),"")</f>
        <v/>
      </c>
      <c r="E522" s="68">
        <f>'THE BOARD'!E275</f>
        <v>0</v>
      </c>
      <c r="F522" s="68">
        <f>'THE BOARD'!F275</f>
        <v>0</v>
      </c>
      <c r="G522" s="68">
        <f>'THE BOARD'!G275</f>
        <v>0</v>
      </c>
      <c r="H522" s="68">
        <f>'THE BOARD'!H275</f>
        <v>0</v>
      </c>
      <c r="I522" s="68">
        <f>'THE BOARD'!I275</f>
        <v>0</v>
      </c>
      <c r="J522" s="68">
        <f>'THE BOARD'!Q282</f>
        <v>0</v>
      </c>
      <c r="K522" s="99">
        <f>'THE BOARD'!U281</f>
        <v>0</v>
      </c>
    </row>
    <row r="523" spans="1:11" ht="12.75" x14ac:dyDescent="0.2">
      <c r="A523" s="68">
        <f>'THE BOARD'!A276</f>
        <v>0</v>
      </c>
      <c r="B523" s="68">
        <f>'THE BOARD'!B276</f>
        <v>0</v>
      </c>
      <c r="C523" s="99" t="str">
        <f>IF('THE BOARD'!U282 = "NESTED","",IF('THE BOARD'!D276&lt;&gt;"",'THE BOARD'!D276+0.72,""))</f>
        <v/>
      </c>
      <c r="D523" s="99" t="str">
        <f>IF(C523&lt;&gt;"", IF('THE BOARD'!U282 = "NESTED","",'THE BOARD'!D276 + IF(C523&lt;&gt;"", 0.72,0)),"")</f>
        <v/>
      </c>
      <c r="E523" s="68">
        <f>'THE BOARD'!E276</f>
        <v>0</v>
      </c>
      <c r="F523" s="68">
        <f>'THE BOARD'!F276</f>
        <v>0</v>
      </c>
      <c r="G523" s="68">
        <f>'THE BOARD'!G276</f>
        <v>0</v>
      </c>
      <c r="H523" s="68">
        <f>'THE BOARD'!H276</f>
        <v>0</v>
      </c>
      <c r="I523" s="68">
        <f>'THE BOARD'!I276</f>
        <v>0</v>
      </c>
      <c r="J523" s="68">
        <f>'THE BOARD'!Q283</f>
        <v>0</v>
      </c>
      <c r="K523" s="99">
        <f>'THE BOARD'!U282</f>
        <v>0</v>
      </c>
    </row>
    <row r="524" spans="1:11" ht="12.75" x14ac:dyDescent="0.2">
      <c r="A524" s="68">
        <f>'THE BOARD'!A277</f>
        <v>0</v>
      </c>
      <c r="B524" s="68">
        <f>'THE BOARD'!B277</f>
        <v>0</v>
      </c>
      <c r="C524" s="99" t="str">
        <f>IF('THE BOARD'!U283 = "NESTED","",IF('THE BOARD'!D277&lt;&gt;"",'THE BOARD'!D277+0.72,""))</f>
        <v/>
      </c>
      <c r="D524" s="99" t="str">
        <f>IF(C524&lt;&gt;"", IF('THE BOARD'!U283 = "NESTED","",'THE BOARD'!D277 + IF(C524&lt;&gt;"", 0.72,0)),"")</f>
        <v/>
      </c>
      <c r="E524" s="68">
        <f>'THE BOARD'!E277</f>
        <v>0</v>
      </c>
      <c r="F524" s="68">
        <f>'THE BOARD'!F277</f>
        <v>0</v>
      </c>
      <c r="G524" s="68">
        <f>'THE BOARD'!G277</f>
        <v>0</v>
      </c>
      <c r="H524" s="68">
        <f>'THE BOARD'!H277</f>
        <v>0</v>
      </c>
      <c r="I524" s="68">
        <f>'THE BOARD'!I277</f>
        <v>0</v>
      </c>
      <c r="J524" s="68">
        <f>'THE BOARD'!Q284</f>
        <v>0</v>
      </c>
      <c r="K524" s="99">
        <f>'THE BOARD'!U283</f>
        <v>0</v>
      </c>
    </row>
    <row r="525" spans="1:11" ht="12.75" x14ac:dyDescent="0.2">
      <c r="A525" s="68">
        <f>'THE BOARD'!A278</f>
        <v>0</v>
      </c>
      <c r="B525" s="68">
        <f>'THE BOARD'!B278</f>
        <v>0</v>
      </c>
      <c r="C525" s="99" t="str">
        <f>IF('THE BOARD'!U284 = "NESTED","",IF('THE BOARD'!D278&lt;&gt;"",'THE BOARD'!D278+0.72,""))</f>
        <v/>
      </c>
      <c r="D525" s="99" t="str">
        <f>IF(C525&lt;&gt;"", IF('THE BOARD'!U284 = "NESTED","",'THE BOARD'!D278 + IF(C525&lt;&gt;"", 0.72,0)),"")</f>
        <v/>
      </c>
      <c r="E525" s="68">
        <f>'THE BOARD'!E278</f>
        <v>0</v>
      </c>
      <c r="F525" s="68">
        <f>'THE BOARD'!F278</f>
        <v>0</v>
      </c>
      <c r="G525" s="68">
        <f>'THE BOARD'!G278</f>
        <v>0</v>
      </c>
      <c r="H525" s="68">
        <f>'THE BOARD'!H278</f>
        <v>0</v>
      </c>
      <c r="I525" s="68">
        <f>'THE BOARD'!I278</f>
        <v>0</v>
      </c>
      <c r="J525" s="68">
        <f>'THE BOARD'!Q285</f>
        <v>0</v>
      </c>
      <c r="K525" s="99">
        <f>'THE BOARD'!U284</f>
        <v>0</v>
      </c>
    </row>
    <row r="526" spans="1:11" ht="12.75" x14ac:dyDescent="0.2">
      <c r="A526" s="68">
        <f>'THE BOARD'!A279</f>
        <v>0</v>
      </c>
      <c r="B526" s="68">
        <f>'THE BOARD'!B279</f>
        <v>0</v>
      </c>
      <c r="C526" s="99" t="str">
        <f>IF('THE BOARD'!U285 = "NESTED","",IF('THE BOARD'!D279&lt;&gt;"",'THE BOARD'!D279+0.72,""))</f>
        <v/>
      </c>
      <c r="D526" s="99" t="str">
        <f>IF(C526&lt;&gt;"", IF('THE BOARD'!U285 = "NESTED","",'THE BOARD'!D279 + IF(C526&lt;&gt;"", 0.72,0)),"")</f>
        <v/>
      </c>
      <c r="E526" s="68">
        <f>'THE BOARD'!E279</f>
        <v>0</v>
      </c>
      <c r="F526" s="68">
        <f>'THE BOARD'!F279</f>
        <v>0</v>
      </c>
      <c r="G526" s="68">
        <f>'THE BOARD'!G279</f>
        <v>0</v>
      </c>
      <c r="H526" s="68">
        <f>'THE BOARD'!H279</f>
        <v>0</v>
      </c>
      <c r="I526" s="68">
        <f>'THE BOARD'!I279</f>
        <v>0</v>
      </c>
      <c r="J526" s="68">
        <f>'THE BOARD'!Q286</f>
        <v>0</v>
      </c>
      <c r="K526" s="99">
        <f>'THE BOARD'!U285</f>
        <v>0</v>
      </c>
    </row>
    <row r="527" spans="1:11" ht="12.75" x14ac:dyDescent="0.2">
      <c r="A527" s="68">
        <f>'THE BOARD'!A280</f>
        <v>0</v>
      </c>
      <c r="B527" s="68">
        <f>'THE BOARD'!B280</f>
        <v>0</v>
      </c>
      <c r="C527" s="99" t="str">
        <f>IF('THE BOARD'!U286 = "NESTED","",IF('THE BOARD'!D280&lt;&gt;"",'THE BOARD'!D280+0.72,""))</f>
        <v/>
      </c>
      <c r="D527" s="99" t="str">
        <f>IF(C527&lt;&gt;"", IF('THE BOARD'!U286 = "NESTED","",'THE BOARD'!D280 + IF(C527&lt;&gt;"", 0.72,0)),"")</f>
        <v/>
      </c>
      <c r="E527" s="68">
        <f>'THE BOARD'!E280</f>
        <v>0</v>
      </c>
      <c r="F527" s="68">
        <f>'THE BOARD'!F280</f>
        <v>0</v>
      </c>
      <c r="G527" s="68">
        <f>'THE BOARD'!G280</f>
        <v>0</v>
      </c>
      <c r="H527" s="68">
        <f>'THE BOARD'!H280</f>
        <v>0</v>
      </c>
      <c r="I527" s="68">
        <f>'THE BOARD'!I280</f>
        <v>0</v>
      </c>
      <c r="J527" s="68">
        <f>'THE BOARD'!Q287</f>
        <v>0</v>
      </c>
      <c r="K527" s="99">
        <f>'THE BOARD'!U286</f>
        <v>0</v>
      </c>
    </row>
    <row r="528" spans="1:11" ht="12.75" x14ac:dyDescent="0.2">
      <c r="A528" s="68">
        <f>'THE BOARD'!A281</f>
        <v>0</v>
      </c>
      <c r="B528" s="68">
        <f>'THE BOARD'!B281</f>
        <v>0</v>
      </c>
      <c r="C528" s="99" t="str">
        <f>IF('THE BOARD'!U287 = "NESTED","",IF('THE BOARD'!D281&lt;&gt;"",'THE BOARD'!D281+0.72,""))</f>
        <v/>
      </c>
      <c r="D528" s="99" t="str">
        <f>IF(C528&lt;&gt;"", IF('THE BOARD'!U287 = "NESTED","",'THE BOARD'!D281 + IF(C528&lt;&gt;"", 0.72,0)),"")</f>
        <v/>
      </c>
      <c r="E528" s="68">
        <f>'THE BOARD'!E281</f>
        <v>0</v>
      </c>
      <c r="F528" s="68">
        <f>'THE BOARD'!F281</f>
        <v>0</v>
      </c>
      <c r="G528" s="68">
        <f>'THE BOARD'!G281</f>
        <v>0</v>
      </c>
      <c r="H528" s="68">
        <f>'THE BOARD'!H281</f>
        <v>0</v>
      </c>
      <c r="I528" s="68">
        <f>'THE BOARD'!I281</f>
        <v>0</v>
      </c>
      <c r="J528" s="68">
        <f>'THE BOARD'!Q288</f>
        <v>0</v>
      </c>
      <c r="K528" s="99">
        <f>'THE BOARD'!U287</f>
        <v>0</v>
      </c>
    </row>
    <row r="529" spans="1:11" ht="12.75" x14ac:dyDescent="0.2">
      <c r="A529" s="68">
        <f>'THE BOARD'!A282</f>
        <v>0</v>
      </c>
      <c r="B529" s="68">
        <f>'THE BOARD'!B282</f>
        <v>0</v>
      </c>
      <c r="C529" s="99" t="str">
        <f>IF('THE BOARD'!U288 = "NESTED","",IF('THE BOARD'!D282&lt;&gt;"",'THE BOARD'!D282+0.72,""))</f>
        <v/>
      </c>
      <c r="D529" s="99" t="str">
        <f>IF(C529&lt;&gt;"", IF('THE BOARD'!U288 = "NESTED","",'THE BOARD'!D282 + IF(C529&lt;&gt;"", 0.72,0)),"")</f>
        <v/>
      </c>
      <c r="E529" s="68">
        <f>'THE BOARD'!E282</f>
        <v>0</v>
      </c>
      <c r="F529" s="68">
        <f>'THE BOARD'!F282</f>
        <v>0</v>
      </c>
      <c r="G529" s="68">
        <f>'THE BOARD'!G282</f>
        <v>0</v>
      </c>
      <c r="H529" s="68">
        <f>'THE BOARD'!H282</f>
        <v>0</v>
      </c>
      <c r="I529" s="68">
        <f>'THE BOARD'!I282</f>
        <v>0</v>
      </c>
      <c r="J529" s="68">
        <f>'THE BOARD'!Q289</f>
        <v>0</v>
      </c>
      <c r="K529" s="99">
        <f>'THE BOARD'!U288</f>
        <v>0</v>
      </c>
    </row>
    <row r="530" spans="1:11" ht="12.75" x14ac:dyDescent="0.2">
      <c r="A530" s="68">
        <f>'THE BOARD'!A283</f>
        <v>0</v>
      </c>
      <c r="B530" s="68">
        <f>'THE BOARD'!B283</f>
        <v>0</v>
      </c>
      <c r="C530" s="99" t="str">
        <f>IF('THE BOARD'!U289 = "NESTED","",IF('THE BOARD'!D283&lt;&gt;"",'THE BOARD'!D283+0.72,""))</f>
        <v/>
      </c>
      <c r="D530" s="99" t="str">
        <f>IF(C530&lt;&gt;"", IF('THE BOARD'!U289 = "NESTED","",'THE BOARD'!D283 + IF(C530&lt;&gt;"", 0.72,0)),"")</f>
        <v/>
      </c>
      <c r="E530" s="68">
        <f>'THE BOARD'!E283</f>
        <v>0</v>
      </c>
      <c r="F530" s="68">
        <f>'THE BOARD'!F283</f>
        <v>0</v>
      </c>
      <c r="G530" s="68">
        <f>'THE BOARD'!G283</f>
        <v>0</v>
      </c>
      <c r="H530" s="68">
        <f>'THE BOARD'!H283</f>
        <v>0</v>
      </c>
      <c r="I530" s="68">
        <f>'THE BOARD'!I283</f>
        <v>0</v>
      </c>
      <c r="J530" s="68">
        <f>'THE BOARD'!Q290</f>
        <v>0</v>
      </c>
      <c r="K530" s="99">
        <f>'THE BOARD'!U289</f>
        <v>0</v>
      </c>
    </row>
    <row r="531" spans="1:11" ht="12.75" x14ac:dyDescent="0.2">
      <c r="A531" s="68">
        <f>'THE BOARD'!A284</f>
        <v>0</v>
      </c>
      <c r="B531" s="68">
        <f>'THE BOARD'!B284</f>
        <v>0</v>
      </c>
      <c r="C531" s="99" t="str">
        <f>IF('THE BOARD'!U290 = "NESTED","",IF('THE BOARD'!D284&lt;&gt;"",'THE BOARD'!D284+0.72,""))</f>
        <v/>
      </c>
      <c r="D531" s="99" t="str">
        <f>IF(C531&lt;&gt;"", IF('THE BOARD'!U290 = "NESTED","",'THE BOARD'!D284 + IF(C531&lt;&gt;"", 0.72,0)),"")</f>
        <v/>
      </c>
      <c r="E531" s="68">
        <f>'THE BOARD'!E284</f>
        <v>0</v>
      </c>
      <c r="F531" s="68">
        <f>'THE BOARD'!F284</f>
        <v>0</v>
      </c>
      <c r="G531" s="68">
        <f>'THE BOARD'!G284</f>
        <v>0</v>
      </c>
      <c r="H531" s="68">
        <f>'THE BOARD'!H284</f>
        <v>0</v>
      </c>
      <c r="I531" s="68">
        <f>'THE BOARD'!I284</f>
        <v>0</v>
      </c>
      <c r="J531" s="68">
        <f>'THE BOARD'!Q291</f>
        <v>0</v>
      </c>
      <c r="K531" s="99">
        <f>'THE BOARD'!U290</f>
        <v>0</v>
      </c>
    </row>
    <row r="532" spans="1:11" ht="12.75" x14ac:dyDescent="0.2">
      <c r="A532" s="68">
        <f>'THE BOARD'!A285</f>
        <v>0</v>
      </c>
      <c r="B532" s="68">
        <f>'THE BOARD'!B285</f>
        <v>0</v>
      </c>
      <c r="C532" s="99" t="str">
        <f>IF('THE BOARD'!U291 = "NESTED","",IF('THE BOARD'!D285&lt;&gt;"",'THE BOARD'!D285+0.72,""))</f>
        <v/>
      </c>
      <c r="D532" s="99" t="str">
        <f>IF(C532&lt;&gt;"", IF('THE BOARD'!U291 = "NESTED","",'THE BOARD'!D285 + IF(C532&lt;&gt;"", 0.72,0)),"")</f>
        <v/>
      </c>
      <c r="E532" s="68">
        <f>'THE BOARD'!E285</f>
        <v>0</v>
      </c>
      <c r="F532" s="68">
        <f>'THE BOARD'!F285</f>
        <v>0</v>
      </c>
      <c r="G532" s="68">
        <f>'THE BOARD'!G285</f>
        <v>0</v>
      </c>
      <c r="H532" s="68">
        <f>'THE BOARD'!H285</f>
        <v>0</v>
      </c>
      <c r="I532" s="68">
        <f>'THE BOARD'!I285</f>
        <v>0</v>
      </c>
      <c r="J532" s="68">
        <f>'THE BOARD'!Q292</f>
        <v>0</v>
      </c>
      <c r="K532" s="99">
        <f>'THE BOARD'!U291</f>
        <v>0</v>
      </c>
    </row>
    <row r="533" spans="1:11" ht="12.75" x14ac:dyDescent="0.2">
      <c r="A533" s="68">
        <f>'THE BOARD'!A286</f>
        <v>0</v>
      </c>
      <c r="B533" s="68">
        <f>'THE BOARD'!B286</f>
        <v>0</v>
      </c>
      <c r="C533" s="99" t="str">
        <f>IF('THE BOARD'!U292 = "NESTED","",IF('THE BOARD'!D286&lt;&gt;"",'THE BOARD'!D286+0.72,""))</f>
        <v/>
      </c>
      <c r="D533" s="99" t="str">
        <f>IF(C533&lt;&gt;"", IF('THE BOARD'!U292 = "NESTED","",'THE BOARD'!D286 + IF(C533&lt;&gt;"", 0.72,0)),"")</f>
        <v/>
      </c>
      <c r="E533" s="68">
        <f>'THE BOARD'!E286</f>
        <v>0</v>
      </c>
      <c r="F533" s="68">
        <f>'THE BOARD'!F286</f>
        <v>0</v>
      </c>
      <c r="G533" s="68">
        <f>'THE BOARD'!G286</f>
        <v>0</v>
      </c>
      <c r="H533" s="68">
        <f>'THE BOARD'!H286</f>
        <v>0</v>
      </c>
      <c r="I533" s="68">
        <f>'THE BOARD'!I286</f>
        <v>0</v>
      </c>
      <c r="J533" s="68">
        <f>'THE BOARD'!Q293</f>
        <v>0</v>
      </c>
      <c r="K533" s="99">
        <f>'THE BOARD'!U292</f>
        <v>0</v>
      </c>
    </row>
    <row r="534" spans="1:11" ht="12.75" x14ac:dyDescent="0.2">
      <c r="A534" s="68">
        <f>'THE BOARD'!A287</f>
        <v>0</v>
      </c>
      <c r="B534" s="68">
        <f>'THE BOARD'!B287</f>
        <v>0</v>
      </c>
      <c r="C534" s="99" t="str">
        <f>IF('THE BOARD'!U293 = "NESTED","",IF('THE BOARD'!D287&lt;&gt;"",'THE BOARD'!D287+0.72,""))</f>
        <v/>
      </c>
      <c r="D534" s="99" t="str">
        <f>IF(C534&lt;&gt;"", IF('THE BOARD'!U293 = "NESTED","",'THE BOARD'!D287 + IF(C534&lt;&gt;"", 0.72,0)),"")</f>
        <v/>
      </c>
      <c r="E534" s="68">
        <f>'THE BOARD'!E287</f>
        <v>0</v>
      </c>
      <c r="F534" s="68">
        <f>'THE BOARD'!F287</f>
        <v>0</v>
      </c>
      <c r="G534" s="68">
        <f>'THE BOARD'!G287</f>
        <v>0</v>
      </c>
      <c r="H534" s="68">
        <f>'THE BOARD'!H287</f>
        <v>0</v>
      </c>
      <c r="I534" s="68">
        <f>'THE BOARD'!I287</f>
        <v>0</v>
      </c>
      <c r="J534" s="68">
        <f>'THE BOARD'!Q294</f>
        <v>0</v>
      </c>
      <c r="K534" s="99">
        <f>'THE BOARD'!U293</f>
        <v>0</v>
      </c>
    </row>
    <row r="535" spans="1:11" ht="12.75" x14ac:dyDescent="0.2">
      <c r="A535" s="68">
        <f>'THE BOARD'!A288</f>
        <v>0</v>
      </c>
      <c r="B535" s="68">
        <f>'THE BOARD'!B288</f>
        <v>0</v>
      </c>
      <c r="C535" s="99" t="str">
        <f>IF('THE BOARD'!U294 = "NESTED","",IF('THE BOARD'!D288&lt;&gt;"",'THE BOARD'!D288+0.72,""))</f>
        <v/>
      </c>
      <c r="D535" s="99" t="str">
        <f>IF(C535&lt;&gt;"", IF('THE BOARD'!U294 = "NESTED","",'THE BOARD'!D288 + IF(C535&lt;&gt;"", 0.72,0)),"")</f>
        <v/>
      </c>
      <c r="E535" s="68">
        <f>'THE BOARD'!E288</f>
        <v>0</v>
      </c>
      <c r="F535" s="68">
        <f>'THE BOARD'!F288</f>
        <v>0</v>
      </c>
      <c r="G535" s="68">
        <f>'THE BOARD'!G288</f>
        <v>0</v>
      </c>
      <c r="H535" s="68">
        <f>'THE BOARD'!H288</f>
        <v>0</v>
      </c>
      <c r="I535" s="68">
        <f>'THE BOARD'!I288</f>
        <v>0</v>
      </c>
      <c r="J535" s="68">
        <f>'THE BOARD'!Q295</f>
        <v>0</v>
      </c>
      <c r="K535" s="99">
        <f>'THE BOARD'!U294</f>
        <v>0</v>
      </c>
    </row>
    <row r="536" spans="1:11" ht="12.75" x14ac:dyDescent="0.2">
      <c r="A536" s="68">
        <f>'THE BOARD'!A289</f>
        <v>0</v>
      </c>
      <c r="B536" s="68">
        <f>'THE BOARD'!B289</f>
        <v>0</v>
      </c>
      <c r="C536" s="99" t="str">
        <f>IF('THE BOARD'!U295 = "NESTED","",IF('THE BOARD'!D289&lt;&gt;"",'THE BOARD'!D289+0.72,""))</f>
        <v/>
      </c>
      <c r="D536" s="99" t="str">
        <f>IF(C536&lt;&gt;"", IF('THE BOARD'!U295 = "NESTED","",'THE BOARD'!D289 + IF(C536&lt;&gt;"", 0.72,0)),"")</f>
        <v/>
      </c>
      <c r="E536" s="68">
        <f>'THE BOARD'!E289</f>
        <v>0</v>
      </c>
      <c r="F536" s="68">
        <f>'THE BOARD'!F289</f>
        <v>0</v>
      </c>
      <c r="G536" s="68">
        <f>'THE BOARD'!G289</f>
        <v>0</v>
      </c>
      <c r="H536" s="68">
        <f>'THE BOARD'!H289</f>
        <v>0</v>
      </c>
      <c r="I536" s="68">
        <f>'THE BOARD'!I289</f>
        <v>0</v>
      </c>
      <c r="J536" s="68">
        <f>'THE BOARD'!Q296</f>
        <v>0</v>
      </c>
      <c r="K536" s="99">
        <f>'THE BOARD'!U295</f>
        <v>0</v>
      </c>
    </row>
    <row r="537" spans="1:11" ht="12.75" x14ac:dyDescent="0.2">
      <c r="A537" s="68">
        <f>'THE BOARD'!A290</f>
        <v>0</v>
      </c>
      <c r="B537" s="68">
        <f>'THE BOARD'!B290</f>
        <v>0</v>
      </c>
      <c r="C537" s="99" t="str">
        <f>IF('THE BOARD'!U296 = "NESTED","",IF('THE BOARD'!D290&lt;&gt;"",'THE BOARD'!D290+0.72,""))</f>
        <v/>
      </c>
      <c r="D537" s="99" t="str">
        <f>IF(C537&lt;&gt;"", IF('THE BOARD'!U296 = "NESTED","",'THE BOARD'!D290 + IF(C537&lt;&gt;"", 0.72,0)),"")</f>
        <v/>
      </c>
      <c r="E537" s="68">
        <f>'THE BOARD'!E290</f>
        <v>0</v>
      </c>
      <c r="F537" s="68">
        <f>'THE BOARD'!F290</f>
        <v>0</v>
      </c>
      <c r="G537" s="68">
        <f>'THE BOARD'!G290</f>
        <v>0</v>
      </c>
      <c r="H537" s="68">
        <f>'THE BOARD'!H290</f>
        <v>0</v>
      </c>
      <c r="I537" s="68">
        <f>'THE BOARD'!I290</f>
        <v>0</v>
      </c>
      <c r="J537" s="68">
        <f>'THE BOARD'!Q297</f>
        <v>0</v>
      </c>
      <c r="K537" s="99">
        <f>'THE BOARD'!U296</f>
        <v>0</v>
      </c>
    </row>
    <row r="538" spans="1:11" ht="12.75" x14ac:dyDescent="0.2">
      <c r="A538" s="68">
        <f>'THE BOARD'!A291</f>
        <v>0</v>
      </c>
      <c r="B538" s="68">
        <f>'THE BOARD'!B291</f>
        <v>0</v>
      </c>
      <c r="C538" s="99" t="str">
        <f>IF('THE BOARD'!U297 = "NESTED","",IF('THE BOARD'!D291&lt;&gt;"",'THE BOARD'!D291+0.72,""))</f>
        <v/>
      </c>
      <c r="D538" s="99" t="str">
        <f>IF(C538&lt;&gt;"", IF('THE BOARD'!U297 = "NESTED","",'THE BOARD'!D291 + IF(C538&lt;&gt;"", 0.72,0)),"")</f>
        <v/>
      </c>
      <c r="E538" s="68">
        <f>'THE BOARD'!E291</f>
        <v>0</v>
      </c>
      <c r="F538" s="68">
        <f>'THE BOARD'!F291</f>
        <v>0</v>
      </c>
      <c r="G538" s="68">
        <f>'THE BOARD'!G291</f>
        <v>0</v>
      </c>
      <c r="H538" s="68">
        <f>'THE BOARD'!H291</f>
        <v>0</v>
      </c>
      <c r="I538" s="68">
        <f>'THE BOARD'!I291</f>
        <v>0</v>
      </c>
      <c r="J538" s="68">
        <f>'THE BOARD'!Q298</f>
        <v>0</v>
      </c>
      <c r="K538" s="99">
        <f>'THE BOARD'!U297</f>
        <v>0</v>
      </c>
    </row>
    <row r="539" spans="1:11" ht="12.75" x14ac:dyDescent="0.2">
      <c r="A539" s="68">
        <f>'THE BOARD'!A292</f>
        <v>0</v>
      </c>
      <c r="B539" s="68">
        <f>'THE BOARD'!B292</f>
        <v>0</v>
      </c>
      <c r="C539" s="99" t="str">
        <f>IF('THE BOARD'!U298 = "NESTED","",IF('THE BOARD'!D292&lt;&gt;"",'THE BOARD'!D292+0.72,""))</f>
        <v/>
      </c>
      <c r="D539" s="99" t="str">
        <f>IF(C539&lt;&gt;"", IF('THE BOARD'!U298 = "NESTED","",'THE BOARD'!D292 + IF(C539&lt;&gt;"", 0.72,0)),"")</f>
        <v/>
      </c>
      <c r="E539" s="68">
        <f>'THE BOARD'!E292</f>
        <v>0</v>
      </c>
      <c r="F539" s="68">
        <f>'THE BOARD'!F292</f>
        <v>0</v>
      </c>
      <c r="G539" s="68">
        <f>'THE BOARD'!G292</f>
        <v>0</v>
      </c>
      <c r="H539" s="68">
        <f>'THE BOARD'!H292</f>
        <v>0</v>
      </c>
      <c r="I539" s="68">
        <f>'THE BOARD'!I292</f>
        <v>0</v>
      </c>
      <c r="J539" s="68">
        <f>'THE BOARD'!Q299</f>
        <v>0</v>
      </c>
      <c r="K539" s="99">
        <f>'THE BOARD'!U298</f>
        <v>0</v>
      </c>
    </row>
    <row r="540" spans="1:11" ht="12.75" x14ac:dyDescent="0.2">
      <c r="A540" s="68">
        <f>'THE BOARD'!A293</f>
        <v>0</v>
      </c>
      <c r="B540" s="68">
        <f>'THE BOARD'!B293</f>
        <v>0</v>
      </c>
      <c r="C540" s="99" t="str">
        <f>IF('THE BOARD'!U299 = "NESTED","",IF('THE BOARD'!D293&lt;&gt;"",'THE BOARD'!D293+0.72,""))</f>
        <v/>
      </c>
      <c r="D540" s="99" t="str">
        <f>IF(C540&lt;&gt;"", IF('THE BOARD'!U299 = "NESTED","",'THE BOARD'!D293 + IF(C540&lt;&gt;"", 0.72,0)),"")</f>
        <v/>
      </c>
      <c r="E540" s="68">
        <f>'THE BOARD'!E293</f>
        <v>0</v>
      </c>
      <c r="F540" s="68">
        <f>'THE BOARD'!F293</f>
        <v>0</v>
      </c>
      <c r="G540" s="68">
        <f>'THE BOARD'!G293</f>
        <v>0</v>
      </c>
      <c r="H540" s="68">
        <f>'THE BOARD'!H293</f>
        <v>0</v>
      </c>
      <c r="I540" s="68">
        <f>'THE BOARD'!I293</f>
        <v>0</v>
      </c>
      <c r="J540" s="68">
        <f>'THE BOARD'!Q300</f>
        <v>0</v>
      </c>
      <c r="K540" s="99">
        <f>'THE BOARD'!U299</f>
        <v>0</v>
      </c>
    </row>
    <row r="541" spans="1:11" ht="12.75" x14ac:dyDescent="0.2">
      <c r="A541" s="68">
        <f>'THE BOARD'!A294</f>
        <v>0</v>
      </c>
      <c r="B541" s="68">
        <f>'THE BOARD'!B294</f>
        <v>0</v>
      </c>
      <c r="C541" s="99" t="str">
        <f>IF('THE BOARD'!U300 = "NESTED","",IF('THE BOARD'!D294&lt;&gt;"",'THE BOARD'!D294+0.72,""))</f>
        <v/>
      </c>
      <c r="D541" s="99" t="str">
        <f>IF(C541&lt;&gt;"", IF('THE BOARD'!U300 = "NESTED","",'THE BOARD'!D294 + IF(C541&lt;&gt;"", 0.72,0)),"")</f>
        <v/>
      </c>
      <c r="E541" s="68">
        <f>'THE BOARD'!E294</f>
        <v>0</v>
      </c>
      <c r="F541" s="68">
        <f>'THE BOARD'!F294</f>
        <v>0</v>
      </c>
      <c r="G541" s="68">
        <f>'THE BOARD'!G294</f>
        <v>0</v>
      </c>
      <c r="H541" s="68">
        <f>'THE BOARD'!H294</f>
        <v>0</v>
      </c>
      <c r="I541" s="68">
        <f>'THE BOARD'!I294</f>
        <v>0</v>
      </c>
      <c r="J541" s="68">
        <f>'THE BOARD'!Q301</f>
        <v>0</v>
      </c>
      <c r="K541" s="99">
        <f>'THE BOARD'!U300</f>
        <v>0</v>
      </c>
    </row>
    <row r="542" spans="1:11" ht="12.75" x14ac:dyDescent="0.2">
      <c r="A542" s="68">
        <f>'THE BOARD'!A295</f>
        <v>0</v>
      </c>
      <c r="B542" s="68">
        <f>'THE BOARD'!B295</f>
        <v>0</v>
      </c>
      <c r="C542" s="99" t="str">
        <f>IF('THE BOARD'!U301 = "NESTED","",IF('THE BOARD'!D295&lt;&gt;"",'THE BOARD'!D295+0.72,""))</f>
        <v/>
      </c>
      <c r="D542" s="99" t="str">
        <f>IF(C542&lt;&gt;"", IF('THE BOARD'!U301 = "NESTED","",'THE BOARD'!D295 + IF(C542&lt;&gt;"", 0.72,0)),"")</f>
        <v/>
      </c>
      <c r="E542" s="68">
        <f>'THE BOARD'!E295</f>
        <v>0</v>
      </c>
      <c r="F542" s="68">
        <f>'THE BOARD'!F295</f>
        <v>0</v>
      </c>
      <c r="G542" s="68">
        <f>'THE BOARD'!G295</f>
        <v>0</v>
      </c>
      <c r="H542" s="68">
        <f>'THE BOARD'!H295</f>
        <v>0</v>
      </c>
      <c r="I542" s="68">
        <f>'THE BOARD'!I295</f>
        <v>0</v>
      </c>
      <c r="J542" s="68">
        <f>'THE BOARD'!Q302</f>
        <v>0</v>
      </c>
      <c r="K542" s="99">
        <f>'THE BOARD'!U301</f>
        <v>0</v>
      </c>
    </row>
    <row r="543" spans="1:11" ht="12.75" x14ac:dyDescent="0.2">
      <c r="A543" s="68">
        <f>'THE BOARD'!A296</f>
        <v>0</v>
      </c>
      <c r="B543" s="68">
        <f>'THE BOARD'!B296</f>
        <v>0</v>
      </c>
      <c r="C543" s="99" t="str">
        <f>IF('THE BOARD'!U302 = "NESTED","",IF('THE BOARD'!D296&lt;&gt;"",'THE BOARD'!D296+0.72,""))</f>
        <v/>
      </c>
      <c r="D543" s="99" t="str">
        <f>IF(C543&lt;&gt;"", IF('THE BOARD'!U302 = "NESTED","",'THE BOARD'!D296 + IF(C543&lt;&gt;"", 0.72,0)),"")</f>
        <v/>
      </c>
      <c r="E543" s="68">
        <f>'THE BOARD'!E296</f>
        <v>0</v>
      </c>
      <c r="F543" s="68">
        <f>'THE BOARD'!F296</f>
        <v>0</v>
      </c>
      <c r="G543" s="68">
        <f>'THE BOARD'!G296</f>
        <v>0</v>
      </c>
      <c r="H543" s="68">
        <f>'THE BOARD'!H296</f>
        <v>0</v>
      </c>
      <c r="I543" s="68">
        <f>'THE BOARD'!I296</f>
        <v>0</v>
      </c>
      <c r="J543" s="68">
        <f>'THE BOARD'!Q303</f>
        <v>0</v>
      </c>
      <c r="K543" s="99">
        <f>'THE BOARD'!U302</f>
        <v>0</v>
      </c>
    </row>
    <row r="544" spans="1:11" ht="12.75" x14ac:dyDescent="0.2">
      <c r="A544" s="68">
        <f>'THE BOARD'!A297</f>
        <v>0</v>
      </c>
      <c r="B544" s="68">
        <f>'THE BOARD'!B297</f>
        <v>0</v>
      </c>
      <c r="C544" s="99" t="str">
        <f>IF('THE BOARD'!U303 = "NESTED","",IF('THE BOARD'!D297&lt;&gt;"",'THE BOARD'!D297+0.72,""))</f>
        <v/>
      </c>
      <c r="D544" s="99" t="str">
        <f>IF(C544&lt;&gt;"", IF('THE BOARD'!U303 = "NESTED","",'THE BOARD'!D297 + IF(C544&lt;&gt;"", 0.72,0)),"")</f>
        <v/>
      </c>
      <c r="E544" s="68">
        <f>'THE BOARD'!E297</f>
        <v>0</v>
      </c>
      <c r="F544" s="68">
        <f>'THE BOARD'!F297</f>
        <v>0</v>
      </c>
      <c r="G544" s="68">
        <f>'THE BOARD'!G297</f>
        <v>0</v>
      </c>
      <c r="H544" s="68">
        <f>'THE BOARD'!H297</f>
        <v>0</v>
      </c>
      <c r="I544" s="68">
        <f>'THE BOARD'!I297</f>
        <v>0</v>
      </c>
      <c r="J544" s="68">
        <f>'THE BOARD'!Q304</f>
        <v>0</v>
      </c>
      <c r="K544" s="99">
        <f>'THE BOARD'!U303</f>
        <v>0</v>
      </c>
    </row>
    <row r="545" spans="1:11" ht="12.75" x14ac:dyDescent="0.2">
      <c r="A545" s="68">
        <f>'THE BOARD'!A298</f>
        <v>0</v>
      </c>
      <c r="B545" s="68">
        <f>'THE BOARD'!B298</f>
        <v>0</v>
      </c>
      <c r="C545" s="99" t="str">
        <f>IF('THE BOARD'!U304 = "NESTED","",IF('THE BOARD'!D298&lt;&gt;"",'THE BOARD'!D298+0.72,""))</f>
        <v/>
      </c>
      <c r="D545" s="99" t="str">
        <f>IF(C545&lt;&gt;"", IF('THE BOARD'!U304 = "NESTED","",'THE BOARD'!D298 + IF(C545&lt;&gt;"", 0.72,0)),"")</f>
        <v/>
      </c>
      <c r="E545" s="68">
        <f>'THE BOARD'!E298</f>
        <v>0</v>
      </c>
      <c r="F545" s="68">
        <f>'THE BOARD'!F298</f>
        <v>0</v>
      </c>
      <c r="G545" s="68">
        <f>'THE BOARD'!G298</f>
        <v>0</v>
      </c>
      <c r="H545" s="68">
        <f>'THE BOARD'!H298</f>
        <v>0</v>
      </c>
      <c r="I545" s="68">
        <f>'THE BOARD'!I298</f>
        <v>0</v>
      </c>
      <c r="J545" s="68">
        <f>'THE BOARD'!Q305</f>
        <v>0</v>
      </c>
      <c r="K545" s="99">
        <f>'THE BOARD'!U304</f>
        <v>0</v>
      </c>
    </row>
    <row r="546" spans="1:11" ht="12.75" x14ac:dyDescent="0.2">
      <c r="A546" s="68">
        <f>'THE BOARD'!A299</f>
        <v>0</v>
      </c>
      <c r="B546" s="68">
        <f>'THE BOARD'!B299</f>
        <v>0</v>
      </c>
      <c r="C546" s="99" t="str">
        <f>IF('THE BOARD'!U305 = "NESTED","",IF('THE BOARD'!D299&lt;&gt;"",'THE BOARD'!D299+0.72,""))</f>
        <v/>
      </c>
      <c r="D546" s="99" t="str">
        <f>IF(C546&lt;&gt;"", IF('THE BOARD'!U305 = "NESTED","",'THE BOARD'!D299 + IF(C546&lt;&gt;"", 0.72,0)),"")</f>
        <v/>
      </c>
      <c r="E546" s="68">
        <f>'THE BOARD'!E299</f>
        <v>0</v>
      </c>
      <c r="F546" s="68">
        <f>'THE BOARD'!F299</f>
        <v>0</v>
      </c>
      <c r="G546" s="68">
        <f>'THE BOARD'!G299</f>
        <v>0</v>
      </c>
      <c r="H546" s="68">
        <f>'THE BOARD'!H299</f>
        <v>0</v>
      </c>
      <c r="I546" s="68">
        <f>'THE BOARD'!I299</f>
        <v>0</v>
      </c>
      <c r="J546" s="68">
        <f>'THE BOARD'!Q306</f>
        <v>0</v>
      </c>
      <c r="K546" s="99">
        <f>'THE BOARD'!U305</f>
        <v>0</v>
      </c>
    </row>
    <row r="547" spans="1:11" ht="12.75" x14ac:dyDescent="0.2">
      <c r="A547" s="68">
        <f>'THE BOARD'!A300</f>
        <v>0</v>
      </c>
      <c r="B547" s="68">
        <f>'THE BOARD'!B300</f>
        <v>0</v>
      </c>
      <c r="C547" s="99" t="str">
        <f>IF('THE BOARD'!U306 = "NESTED","",IF('THE BOARD'!D300&lt;&gt;"",'THE BOARD'!D300+0.72,""))</f>
        <v/>
      </c>
      <c r="D547" s="99" t="str">
        <f>IF(C547&lt;&gt;"", IF('THE BOARD'!U306 = "NESTED","",'THE BOARD'!D300 + IF(C547&lt;&gt;"", 0.72,0)),"")</f>
        <v/>
      </c>
      <c r="E547" s="68">
        <f>'THE BOARD'!E300</f>
        <v>0</v>
      </c>
      <c r="F547" s="68">
        <f>'THE BOARD'!F300</f>
        <v>0</v>
      </c>
      <c r="G547" s="68">
        <f>'THE BOARD'!G300</f>
        <v>0</v>
      </c>
      <c r="H547" s="68">
        <f>'THE BOARD'!H300</f>
        <v>0</v>
      </c>
      <c r="I547" s="68">
        <f>'THE BOARD'!I300</f>
        <v>0</v>
      </c>
      <c r="J547" s="68">
        <f>'THE BOARD'!Q307</f>
        <v>0</v>
      </c>
      <c r="K547" s="99">
        <f>'THE BOARD'!U306</f>
        <v>0</v>
      </c>
    </row>
    <row r="548" spans="1:11" ht="12.75" x14ac:dyDescent="0.2">
      <c r="A548" s="68">
        <f>'THE BOARD'!A301</f>
        <v>0</v>
      </c>
      <c r="B548" s="68">
        <f>'THE BOARD'!B301</f>
        <v>0</v>
      </c>
      <c r="C548" s="99" t="str">
        <f>IF('THE BOARD'!U307 = "NESTED","",IF('THE BOARD'!D301&lt;&gt;"",'THE BOARD'!D301+0.72,""))</f>
        <v/>
      </c>
      <c r="D548" s="99" t="str">
        <f>IF(C548&lt;&gt;"", IF('THE BOARD'!U307 = "NESTED","",'THE BOARD'!D301 + IF(C548&lt;&gt;"", 0.72,0)),"")</f>
        <v/>
      </c>
      <c r="E548" s="68">
        <f>'THE BOARD'!E301</f>
        <v>0</v>
      </c>
      <c r="F548" s="68">
        <f>'THE BOARD'!F301</f>
        <v>0</v>
      </c>
      <c r="G548" s="68">
        <f>'THE BOARD'!G301</f>
        <v>0</v>
      </c>
      <c r="H548" s="68">
        <f>'THE BOARD'!H301</f>
        <v>0</v>
      </c>
      <c r="I548" s="68">
        <f>'THE BOARD'!I301</f>
        <v>0</v>
      </c>
      <c r="J548" s="68">
        <f>'THE BOARD'!Q308</f>
        <v>0</v>
      </c>
      <c r="K548" s="99">
        <f>'THE BOARD'!U307</f>
        <v>0</v>
      </c>
    </row>
    <row r="549" spans="1:11" ht="12.75" x14ac:dyDescent="0.2">
      <c r="A549" s="68">
        <f>'THE BOARD'!A302</f>
        <v>0</v>
      </c>
      <c r="B549" s="68">
        <f>'THE BOARD'!B302</f>
        <v>0</v>
      </c>
      <c r="C549" s="99" t="str">
        <f>IF('THE BOARD'!U308 = "NESTED","",IF('THE BOARD'!D302&lt;&gt;"",'THE BOARD'!D302+0.72,""))</f>
        <v/>
      </c>
      <c r="D549" s="99" t="str">
        <f>IF(C549&lt;&gt;"", IF('THE BOARD'!U308 = "NESTED","",'THE BOARD'!D302 + IF(C549&lt;&gt;"", 0.72,0)),"")</f>
        <v/>
      </c>
      <c r="E549" s="68">
        <f>'THE BOARD'!E302</f>
        <v>0</v>
      </c>
      <c r="F549" s="68">
        <f>'THE BOARD'!F302</f>
        <v>0</v>
      </c>
      <c r="G549" s="68">
        <f>'THE BOARD'!G302</f>
        <v>0</v>
      </c>
      <c r="H549" s="68">
        <f>'THE BOARD'!H302</f>
        <v>0</v>
      </c>
      <c r="I549" s="68">
        <f>'THE BOARD'!I302</f>
        <v>0</v>
      </c>
      <c r="J549" s="68">
        <f>'THE BOARD'!Q309</f>
        <v>0</v>
      </c>
      <c r="K549" s="99">
        <f>'THE BOARD'!U308</f>
        <v>0</v>
      </c>
    </row>
    <row r="550" spans="1:11" ht="12.75" x14ac:dyDescent="0.2">
      <c r="A550" s="68">
        <f>'THE BOARD'!A303</f>
        <v>0</v>
      </c>
      <c r="B550" s="68">
        <f>'THE BOARD'!B303</f>
        <v>0</v>
      </c>
      <c r="C550" s="99" t="str">
        <f>IF('THE BOARD'!U309 = "NESTED","",IF('THE BOARD'!D303&lt;&gt;"",'THE BOARD'!D303+0.72,""))</f>
        <v/>
      </c>
      <c r="D550" s="99" t="str">
        <f>IF(C550&lt;&gt;"", IF('THE BOARD'!U309 = "NESTED","",'THE BOARD'!D303 + IF(C550&lt;&gt;"", 0.72,0)),"")</f>
        <v/>
      </c>
      <c r="E550" s="68">
        <f>'THE BOARD'!E303</f>
        <v>0</v>
      </c>
      <c r="F550" s="68">
        <f>'THE BOARD'!F303</f>
        <v>0</v>
      </c>
      <c r="G550" s="68">
        <f>'THE BOARD'!G303</f>
        <v>0</v>
      </c>
      <c r="H550" s="68">
        <f>'THE BOARD'!H303</f>
        <v>0</v>
      </c>
      <c r="I550" s="68">
        <f>'THE BOARD'!I303</f>
        <v>0</v>
      </c>
      <c r="J550" s="68">
        <f>'THE BOARD'!Q310</f>
        <v>0</v>
      </c>
      <c r="K550" s="99">
        <f>'THE BOARD'!U309</f>
        <v>0</v>
      </c>
    </row>
    <row r="551" spans="1:11" ht="12.75" x14ac:dyDescent="0.2">
      <c r="A551" s="68">
        <f>'THE BOARD'!A304</f>
        <v>0</v>
      </c>
      <c r="B551" s="68">
        <f>'THE BOARD'!B304</f>
        <v>0</v>
      </c>
      <c r="C551" s="99" t="str">
        <f>IF('THE BOARD'!U310 = "NESTED","",IF('THE BOARD'!D304&lt;&gt;"",'THE BOARD'!D304+0.72,""))</f>
        <v/>
      </c>
      <c r="D551" s="99" t="str">
        <f>IF(C551&lt;&gt;"", IF('THE BOARD'!U310 = "NESTED","",'THE BOARD'!D304 + IF(C551&lt;&gt;"", 0.72,0)),"")</f>
        <v/>
      </c>
      <c r="E551" s="68">
        <f>'THE BOARD'!E304</f>
        <v>0</v>
      </c>
      <c r="F551" s="68">
        <f>'THE BOARD'!F304</f>
        <v>0</v>
      </c>
      <c r="G551" s="68">
        <f>'THE BOARD'!G304</f>
        <v>0</v>
      </c>
      <c r="H551" s="68">
        <f>'THE BOARD'!H304</f>
        <v>0</v>
      </c>
      <c r="I551" s="68">
        <f>'THE BOARD'!I304</f>
        <v>0</v>
      </c>
      <c r="J551" s="68">
        <f>'THE BOARD'!Q311</f>
        <v>0</v>
      </c>
      <c r="K551" s="99">
        <f>'THE BOARD'!U310</f>
        <v>0</v>
      </c>
    </row>
    <row r="552" spans="1:11" ht="12.75" x14ac:dyDescent="0.2">
      <c r="A552" s="68">
        <f>'THE BOARD'!A305</f>
        <v>0</v>
      </c>
      <c r="B552" s="68">
        <f>'THE BOARD'!B305</f>
        <v>0</v>
      </c>
      <c r="C552" s="99" t="str">
        <f>IF('THE BOARD'!U311 = "NESTED","",IF('THE BOARD'!D305&lt;&gt;"",'THE BOARD'!D305+0.72,""))</f>
        <v/>
      </c>
      <c r="D552" s="99" t="str">
        <f>IF(C552&lt;&gt;"", IF('THE BOARD'!U311 = "NESTED","",'THE BOARD'!D305 + IF(C552&lt;&gt;"", 0.72,0)),"")</f>
        <v/>
      </c>
      <c r="E552" s="68">
        <f>'THE BOARD'!E305</f>
        <v>0</v>
      </c>
      <c r="F552" s="68">
        <f>'THE BOARD'!F305</f>
        <v>0</v>
      </c>
      <c r="G552" s="68">
        <f>'THE BOARD'!G305</f>
        <v>0</v>
      </c>
      <c r="H552" s="68">
        <f>'THE BOARD'!H305</f>
        <v>0</v>
      </c>
      <c r="I552" s="68">
        <f>'THE BOARD'!I305</f>
        <v>0</v>
      </c>
      <c r="J552" s="68">
        <f>'THE BOARD'!Q312</f>
        <v>0</v>
      </c>
      <c r="K552" s="99">
        <f>'THE BOARD'!U311</f>
        <v>0</v>
      </c>
    </row>
    <row r="553" spans="1:11" ht="12.75" x14ac:dyDescent="0.2">
      <c r="A553" s="68">
        <f>'THE BOARD'!A306</f>
        <v>0</v>
      </c>
      <c r="B553" s="68">
        <f>'THE BOARD'!B306</f>
        <v>0</v>
      </c>
      <c r="C553" s="99" t="str">
        <f>IF('THE BOARD'!U312 = "NESTED","",IF('THE BOARD'!D306&lt;&gt;"",'THE BOARD'!D306+0.72,""))</f>
        <v/>
      </c>
      <c r="D553" s="99" t="str">
        <f>IF(C553&lt;&gt;"", IF('THE BOARD'!U312 = "NESTED","",'THE BOARD'!D306 + IF(C553&lt;&gt;"", 0.72,0)),"")</f>
        <v/>
      </c>
      <c r="E553" s="68">
        <f>'THE BOARD'!E306</f>
        <v>0</v>
      </c>
      <c r="F553" s="68">
        <f>'THE BOARD'!F306</f>
        <v>0</v>
      </c>
      <c r="G553" s="68">
        <f>'THE BOARD'!G306</f>
        <v>0</v>
      </c>
      <c r="H553" s="68">
        <f>'THE BOARD'!H306</f>
        <v>0</v>
      </c>
      <c r="I553" s="68">
        <f>'THE BOARD'!I306</f>
        <v>0</v>
      </c>
      <c r="J553" s="68">
        <f>'THE BOARD'!Q313</f>
        <v>0</v>
      </c>
      <c r="K553" s="99">
        <f>'THE BOARD'!U312</f>
        <v>0</v>
      </c>
    </row>
    <row r="554" spans="1:11" ht="12.75" x14ac:dyDescent="0.2">
      <c r="A554" s="68">
        <f>'THE BOARD'!A307</f>
        <v>0</v>
      </c>
      <c r="B554" s="68">
        <f>'THE BOARD'!B307</f>
        <v>0</v>
      </c>
      <c r="C554" s="99" t="str">
        <f>IF('THE BOARD'!U313 = "NESTED","",IF('THE BOARD'!D307&lt;&gt;"",'THE BOARD'!D307+0.72,""))</f>
        <v/>
      </c>
      <c r="D554" s="99" t="str">
        <f>IF(C554&lt;&gt;"", IF('THE BOARD'!U313 = "NESTED","",'THE BOARD'!D307 + IF(C554&lt;&gt;"", 0.72,0)),"")</f>
        <v/>
      </c>
      <c r="E554" s="68">
        <f>'THE BOARD'!E307</f>
        <v>0</v>
      </c>
      <c r="F554" s="68">
        <f>'THE BOARD'!F307</f>
        <v>0</v>
      </c>
      <c r="G554" s="68">
        <f>'THE BOARD'!G307</f>
        <v>0</v>
      </c>
      <c r="H554" s="68">
        <f>'THE BOARD'!H307</f>
        <v>0</v>
      </c>
      <c r="I554" s="68">
        <f>'THE BOARD'!I307</f>
        <v>0</v>
      </c>
      <c r="J554" s="68">
        <f>'THE BOARD'!Q314</f>
        <v>0</v>
      </c>
      <c r="K554" s="99">
        <f>'THE BOARD'!U313</f>
        <v>0</v>
      </c>
    </row>
    <row r="555" spans="1:11" ht="12.75" x14ac:dyDescent="0.2">
      <c r="A555" s="68">
        <f>'THE BOARD'!A308</f>
        <v>0</v>
      </c>
      <c r="B555" s="68">
        <f>'THE BOARD'!B308</f>
        <v>0</v>
      </c>
      <c r="C555" s="99" t="str">
        <f>IF('THE BOARD'!U314 = "NESTED","",IF('THE BOARD'!D308&lt;&gt;"",'THE BOARD'!D308+0.72,""))</f>
        <v/>
      </c>
      <c r="D555" s="99" t="str">
        <f>IF(C555&lt;&gt;"", IF('THE BOARD'!U314 = "NESTED","",'THE BOARD'!D308 + IF(C555&lt;&gt;"", 0.72,0)),"")</f>
        <v/>
      </c>
      <c r="E555" s="68">
        <f>'THE BOARD'!E308</f>
        <v>0</v>
      </c>
      <c r="F555" s="68">
        <f>'THE BOARD'!F308</f>
        <v>0</v>
      </c>
      <c r="G555" s="68">
        <f>'THE BOARD'!G308</f>
        <v>0</v>
      </c>
      <c r="H555" s="68">
        <f>'THE BOARD'!H308</f>
        <v>0</v>
      </c>
      <c r="I555" s="68">
        <f>'THE BOARD'!I308</f>
        <v>0</v>
      </c>
      <c r="J555" s="68">
        <f>'THE BOARD'!Q315</f>
        <v>0</v>
      </c>
      <c r="K555" s="99">
        <f>'THE BOARD'!U314</f>
        <v>0</v>
      </c>
    </row>
    <row r="556" spans="1:11" ht="12.75" x14ac:dyDescent="0.2">
      <c r="A556" s="68">
        <f>'THE BOARD'!A309</f>
        <v>0</v>
      </c>
      <c r="B556" s="68">
        <f>'THE BOARD'!B309</f>
        <v>0</v>
      </c>
      <c r="C556" s="99" t="str">
        <f>IF('THE BOARD'!U315 = "NESTED","",IF('THE BOARD'!D309&lt;&gt;"",'THE BOARD'!D309+0.72,""))</f>
        <v/>
      </c>
      <c r="D556" s="99" t="str">
        <f>IF(C556&lt;&gt;"", IF('THE BOARD'!U315 = "NESTED","",'THE BOARD'!D309 + IF(C556&lt;&gt;"", 0.72,0)),"")</f>
        <v/>
      </c>
      <c r="E556" s="68">
        <f>'THE BOARD'!E309</f>
        <v>0</v>
      </c>
      <c r="F556" s="68">
        <f>'THE BOARD'!F309</f>
        <v>0</v>
      </c>
      <c r="G556" s="68">
        <f>'THE BOARD'!G309</f>
        <v>0</v>
      </c>
      <c r="H556" s="68">
        <f>'THE BOARD'!H309</f>
        <v>0</v>
      </c>
      <c r="I556" s="68">
        <f>'THE BOARD'!I309</f>
        <v>0</v>
      </c>
      <c r="J556" s="68">
        <f>'THE BOARD'!Q316</f>
        <v>0</v>
      </c>
      <c r="K556" s="99">
        <f>'THE BOARD'!U315</f>
        <v>0</v>
      </c>
    </row>
    <row r="557" spans="1:11" ht="12.75" x14ac:dyDescent="0.2">
      <c r="A557" s="68">
        <f>'THE BOARD'!A310</f>
        <v>0</v>
      </c>
      <c r="B557" s="68">
        <f>'THE BOARD'!B310</f>
        <v>0</v>
      </c>
      <c r="C557" s="99" t="str">
        <f>IF('THE BOARD'!U316 = "NESTED","",IF('THE BOARD'!D310&lt;&gt;"",'THE BOARD'!D310+0.72,""))</f>
        <v/>
      </c>
      <c r="D557" s="99" t="str">
        <f>IF(C557&lt;&gt;"", IF('THE BOARD'!U316 = "NESTED","",'THE BOARD'!D310 + IF(C557&lt;&gt;"", 0.72,0)),"")</f>
        <v/>
      </c>
      <c r="E557" s="68">
        <f>'THE BOARD'!E310</f>
        <v>0</v>
      </c>
      <c r="F557" s="68">
        <f>'THE BOARD'!F310</f>
        <v>0</v>
      </c>
      <c r="G557" s="68">
        <f>'THE BOARD'!G310</f>
        <v>0</v>
      </c>
      <c r="H557" s="68">
        <f>'THE BOARD'!H310</f>
        <v>0</v>
      </c>
      <c r="I557" s="68">
        <f>'THE BOARD'!I310</f>
        <v>0</v>
      </c>
      <c r="J557" s="68">
        <f>'THE BOARD'!Q317</f>
        <v>0</v>
      </c>
      <c r="K557" s="99">
        <f>'THE BOARD'!U316</f>
        <v>0</v>
      </c>
    </row>
    <row r="558" spans="1:11" ht="12.75" x14ac:dyDescent="0.2">
      <c r="A558" s="68">
        <f>'THE BOARD'!A311</f>
        <v>0</v>
      </c>
      <c r="B558" s="68">
        <f>'THE BOARD'!B311</f>
        <v>0</v>
      </c>
      <c r="C558" s="99" t="str">
        <f>IF('THE BOARD'!U317 = "NESTED","",IF('THE BOARD'!D311&lt;&gt;"",'THE BOARD'!D311+0.72,""))</f>
        <v/>
      </c>
      <c r="D558" s="99" t="str">
        <f>IF(C558&lt;&gt;"", IF('THE BOARD'!U317 = "NESTED","",'THE BOARD'!D311 + IF(C558&lt;&gt;"", 0.72,0)),"")</f>
        <v/>
      </c>
      <c r="E558" s="68">
        <f>'THE BOARD'!E311</f>
        <v>0</v>
      </c>
      <c r="F558" s="68">
        <f>'THE BOARD'!F311</f>
        <v>0</v>
      </c>
      <c r="G558" s="68">
        <f>'THE BOARD'!G311</f>
        <v>0</v>
      </c>
      <c r="H558" s="68">
        <f>'THE BOARD'!H311</f>
        <v>0</v>
      </c>
      <c r="I558" s="68">
        <f>'THE BOARD'!I311</f>
        <v>0</v>
      </c>
      <c r="J558" s="68">
        <f>'THE BOARD'!Q318</f>
        <v>0</v>
      </c>
      <c r="K558" s="99">
        <f>'THE BOARD'!U317</f>
        <v>0</v>
      </c>
    </row>
    <row r="559" spans="1:11" ht="12.75" x14ac:dyDescent="0.2">
      <c r="A559" s="68">
        <f>'THE BOARD'!A312</f>
        <v>0</v>
      </c>
      <c r="B559" s="68">
        <f>'THE BOARD'!B312</f>
        <v>0</v>
      </c>
      <c r="C559" s="99" t="str">
        <f>IF('THE BOARD'!U318 = "NESTED","",IF('THE BOARD'!D312&lt;&gt;"",'THE BOARD'!D312+0.72,""))</f>
        <v/>
      </c>
      <c r="D559" s="99" t="str">
        <f>IF(C559&lt;&gt;"", IF('THE BOARD'!U318 = "NESTED","",'THE BOARD'!D312 + IF(C559&lt;&gt;"", 0.72,0)),"")</f>
        <v/>
      </c>
      <c r="E559" s="68">
        <f>'THE BOARD'!E312</f>
        <v>0</v>
      </c>
      <c r="F559" s="68">
        <f>'THE BOARD'!F312</f>
        <v>0</v>
      </c>
      <c r="G559" s="68">
        <f>'THE BOARD'!G312</f>
        <v>0</v>
      </c>
      <c r="H559" s="68">
        <f>'THE BOARD'!H312</f>
        <v>0</v>
      </c>
      <c r="I559" s="68">
        <f>'THE BOARD'!I312</f>
        <v>0</v>
      </c>
      <c r="J559" s="68">
        <f>'THE BOARD'!Q319</f>
        <v>0</v>
      </c>
      <c r="K559" s="99">
        <f>'THE BOARD'!U318</f>
        <v>0</v>
      </c>
    </row>
    <row r="560" spans="1:11" ht="12.75" x14ac:dyDescent="0.2">
      <c r="A560" s="68">
        <f>'THE BOARD'!A313</f>
        <v>0</v>
      </c>
      <c r="B560" s="68">
        <f>'THE BOARD'!B313</f>
        <v>0</v>
      </c>
      <c r="C560" s="99" t="str">
        <f>IF('THE BOARD'!U319 = "NESTED","",IF('THE BOARD'!D313&lt;&gt;"",'THE BOARD'!D313+0.72,""))</f>
        <v/>
      </c>
      <c r="D560" s="99" t="str">
        <f>IF(C560&lt;&gt;"", IF('THE BOARD'!U319 = "NESTED","",'THE BOARD'!D313 + IF(C560&lt;&gt;"", 0.72,0)),"")</f>
        <v/>
      </c>
      <c r="E560" s="68">
        <f>'THE BOARD'!E313</f>
        <v>0</v>
      </c>
      <c r="F560" s="68">
        <f>'THE BOARD'!F313</f>
        <v>0</v>
      </c>
      <c r="G560" s="68">
        <f>'THE BOARD'!G313</f>
        <v>0</v>
      </c>
      <c r="H560" s="68">
        <f>'THE BOARD'!H313</f>
        <v>0</v>
      </c>
      <c r="I560" s="68">
        <f>'THE BOARD'!I313</f>
        <v>0</v>
      </c>
      <c r="J560" s="68">
        <f>'THE BOARD'!Q320</f>
        <v>0</v>
      </c>
      <c r="K560" s="99">
        <f>'THE BOARD'!U319</f>
        <v>0</v>
      </c>
    </row>
    <row r="561" spans="1:11" ht="12.75" x14ac:dyDescent="0.2">
      <c r="A561" s="68">
        <f>'THE BOARD'!A314</f>
        <v>0</v>
      </c>
      <c r="B561" s="68">
        <f>'THE BOARD'!B314</f>
        <v>0</v>
      </c>
      <c r="C561" s="99" t="str">
        <f>IF('THE BOARD'!U320 = "NESTED","",IF('THE BOARD'!D314&lt;&gt;"",'THE BOARD'!D314+0.72,""))</f>
        <v/>
      </c>
      <c r="D561" s="99" t="str">
        <f>IF(C561&lt;&gt;"", IF('THE BOARD'!U320 = "NESTED","",'THE BOARD'!D314 + IF(C561&lt;&gt;"", 0.72,0)),"")</f>
        <v/>
      </c>
      <c r="E561" s="68">
        <f>'THE BOARD'!E314</f>
        <v>0</v>
      </c>
      <c r="F561" s="68">
        <f>'THE BOARD'!F314</f>
        <v>0</v>
      </c>
      <c r="G561" s="68">
        <f>'THE BOARD'!G314</f>
        <v>0</v>
      </c>
      <c r="H561" s="68">
        <f>'THE BOARD'!H314</f>
        <v>0</v>
      </c>
      <c r="I561" s="68">
        <f>'THE BOARD'!I314</f>
        <v>0</v>
      </c>
      <c r="J561" s="68">
        <f>'THE BOARD'!Q321</f>
        <v>0</v>
      </c>
      <c r="K561" s="99">
        <f>'THE BOARD'!U320</f>
        <v>0</v>
      </c>
    </row>
    <row r="562" spans="1:11" ht="12.75" x14ac:dyDescent="0.2">
      <c r="A562" s="68">
        <f>'THE BOARD'!A315</f>
        <v>0</v>
      </c>
      <c r="B562" s="68">
        <f>'THE BOARD'!B315</f>
        <v>0</v>
      </c>
      <c r="C562" s="99" t="str">
        <f>IF('THE BOARD'!U321 = "NESTED","",IF('THE BOARD'!D315&lt;&gt;"",'THE BOARD'!D315+0.72,""))</f>
        <v/>
      </c>
      <c r="D562" s="99" t="str">
        <f>IF(C562&lt;&gt;"", IF('THE BOARD'!U321 = "NESTED","",'THE BOARD'!D315 + IF(C562&lt;&gt;"", 0.72,0)),"")</f>
        <v/>
      </c>
      <c r="E562" s="68">
        <f>'THE BOARD'!E315</f>
        <v>0</v>
      </c>
      <c r="F562" s="68">
        <f>'THE BOARD'!F315</f>
        <v>0</v>
      </c>
      <c r="G562" s="68">
        <f>'THE BOARD'!G315</f>
        <v>0</v>
      </c>
      <c r="H562" s="68">
        <f>'THE BOARD'!H315</f>
        <v>0</v>
      </c>
      <c r="I562" s="68">
        <f>'THE BOARD'!I315</f>
        <v>0</v>
      </c>
      <c r="J562" s="68">
        <f>'THE BOARD'!Q322</f>
        <v>0</v>
      </c>
      <c r="K562" s="99">
        <f>'THE BOARD'!U321</f>
        <v>0</v>
      </c>
    </row>
    <row r="563" spans="1:11" ht="12.75" x14ac:dyDescent="0.2">
      <c r="A563" s="68">
        <f>'THE BOARD'!A316</f>
        <v>0</v>
      </c>
      <c r="B563" s="68">
        <f>'THE BOARD'!B316</f>
        <v>0</v>
      </c>
      <c r="C563" s="99" t="str">
        <f>IF('THE BOARD'!U322 = "NESTED","",IF('THE BOARD'!D316&lt;&gt;"",'THE BOARD'!D316+0.72,""))</f>
        <v/>
      </c>
      <c r="D563" s="99" t="str">
        <f>IF(C563&lt;&gt;"", IF('THE BOARD'!U322 = "NESTED","",'THE BOARD'!D316 + IF(C563&lt;&gt;"", 0.72,0)),"")</f>
        <v/>
      </c>
      <c r="E563" s="68">
        <f>'THE BOARD'!E316</f>
        <v>0</v>
      </c>
      <c r="F563" s="68">
        <f>'THE BOARD'!F316</f>
        <v>0</v>
      </c>
      <c r="G563" s="68">
        <f>'THE BOARD'!G316</f>
        <v>0</v>
      </c>
      <c r="H563" s="68">
        <f>'THE BOARD'!H316</f>
        <v>0</v>
      </c>
      <c r="I563" s="68">
        <f>'THE BOARD'!I316</f>
        <v>0</v>
      </c>
      <c r="J563" s="68">
        <f>'THE BOARD'!Q323</f>
        <v>0</v>
      </c>
      <c r="K563" s="99">
        <f>'THE BOARD'!U322</f>
        <v>0</v>
      </c>
    </row>
    <row r="564" spans="1:11" ht="12.75" x14ac:dyDescent="0.2">
      <c r="A564" s="68">
        <f>'THE BOARD'!A317</f>
        <v>0</v>
      </c>
      <c r="B564" s="68">
        <f>'THE BOARD'!B317</f>
        <v>0</v>
      </c>
      <c r="C564" s="99" t="str">
        <f>IF('THE BOARD'!U323 = "NESTED","",IF('THE BOARD'!D317&lt;&gt;"",'THE BOARD'!D317+0.72,""))</f>
        <v/>
      </c>
      <c r="D564" s="99" t="str">
        <f>IF(C564&lt;&gt;"", IF('THE BOARD'!U323 = "NESTED","",'THE BOARD'!D317 + IF(C564&lt;&gt;"", 0.72,0)),"")</f>
        <v/>
      </c>
      <c r="E564" s="68">
        <f>'THE BOARD'!E317</f>
        <v>0</v>
      </c>
      <c r="F564" s="68">
        <f>'THE BOARD'!F317</f>
        <v>0</v>
      </c>
      <c r="G564" s="68">
        <f>'THE BOARD'!G317</f>
        <v>0</v>
      </c>
      <c r="H564" s="68">
        <f>'THE BOARD'!H317</f>
        <v>0</v>
      </c>
      <c r="I564" s="68">
        <f>'THE BOARD'!I317</f>
        <v>0</v>
      </c>
      <c r="J564" s="68">
        <f>'THE BOARD'!Q324</f>
        <v>0</v>
      </c>
      <c r="K564" s="99">
        <f>'THE BOARD'!U323</f>
        <v>0</v>
      </c>
    </row>
    <row r="565" spans="1:11" ht="12.75" x14ac:dyDescent="0.2">
      <c r="A565" s="68">
        <f>'THE BOARD'!A318</f>
        <v>0</v>
      </c>
      <c r="B565" s="68">
        <f>'THE BOARD'!B318</f>
        <v>0</v>
      </c>
      <c r="C565" s="99" t="str">
        <f>IF('THE BOARD'!U324 = "NESTED","",IF('THE BOARD'!D318&lt;&gt;"",'THE BOARD'!D318+0.72,""))</f>
        <v/>
      </c>
      <c r="D565" s="99" t="str">
        <f>IF(C565&lt;&gt;"", IF('THE BOARD'!U324 = "NESTED","",'THE BOARD'!D318 + IF(C565&lt;&gt;"", 0.72,0)),"")</f>
        <v/>
      </c>
      <c r="E565" s="68">
        <f>'THE BOARD'!E318</f>
        <v>0</v>
      </c>
      <c r="F565" s="68">
        <f>'THE BOARD'!F318</f>
        <v>0</v>
      </c>
      <c r="G565" s="68">
        <f>'THE BOARD'!G318</f>
        <v>0</v>
      </c>
      <c r="H565" s="68">
        <f>'THE BOARD'!H318</f>
        <v>0</v>
      </c>
      <c r="I565" s="68">
        <f>'THE BOARD'!I318</f>
        <v>0</v>
      </c>
      <c r="J565" s="68">
        <f>'THE BOARD'!Q325</f>
        <v>0</v>
      </c>
      <c r="K565" s="99">
        <f>'THE BOARD'!U324</f>
        <v>0</v>
      </c>
    </row>
    <row r="566" spans="1:11" ht="12.75" x14ac:dyDescent="0.2">
      <c r="A566" s="68">
        <f>'THE BOARD'!A319</f>
        <v>0</v>
      </c>
      <c r="B566" s="68">
        <f>'THE BOARD'!B319</f>
        <v>0</v>
      </c>
      <c r="C566" s="99" t="str">
        <f>IF('THE BOARD'!U325 = "NESTED","",IF('THE BOARD'!D319&lt;&gt;"",'THE BOARD'!D319+0.72,""))</f>
        <v/>
      </c>
      <c r="D566" s="99" t="str">
        <f>IF(C566&lt;&gt;"", IF('THE BOARD'!U325 = "NESTED","",'THE BOARD'!D319 + IF(C566&lt;&gt;"", 0.72,0)),"")</f>
        <v/>
      </c>
      <c r="E566" s="68">
        <f>'THE BOARD'!E319</f>
        <v>0</v>
      </c>
      <c r="F566" s="68">
        <f>'THE BOARD'!F319</f>
        <v>0</v>
      </c>
      <c r="G566" s="68">
        <f>'THE BOARD'!G319</f>
        <v>0</v>
      </c>
      <c r="H566" s="68">
        <f>'THE BOARD'!H319</f>
        <v>0</v>
      </c>
      <c r="I566" s="68">
        <f>'THE BOARD'!I319</f>
        <v>0</v>
      </c>
      <c r="J566" s="68">
        <f>'THE BOARD'!Q326</f>
        <v>0</v>
      </c>
      <c r="K566" s="99">
        <f>'THE BOARD'!U325</f>
        <v>0</v>
      </c>
    </row>
    <row r="567" spans="1:11" ht="12.75" x14ac:dyDescent="0.2">
      <c r="A567" s="68">
        <f>'THE BOARD'!A320</f>
        <v>0</v>
      </c>
      <c r="B567" s="68">
        <f>'THE BOARD'!B320</f>
        <v>0</v>
      </c>
      <c r="C567" s="99" t="str">
        <f>IF('THE BOARD'!U326 = "NESTED","",IF('THE BOARD'!D320&lt;&gt;"",'THE BOARD'!D320+0.72,""))</f>
        <v/>
      </c>
      <c r="D567" s="99" t="str">
        <f>IF(C567&lt;&gt;"", IF('THE BOARD'!U326 = "NESTED","",'THE BOARD'!D320 + IF(C567&lt;&gt;"", 0.72,0)),"")</f>
        <v/>
      </c>
      <c r="E567" s="68">
        <f>'THE BOARD'!E320</f>
        <v>0</v>
      </c>
      <c r="F567" s="68">
        <f>'THE BOARD'!F320</f>
        <v>0</v>
      </c>
      <c r="G567" s="68">
        <f>'THE BOARD'!G320</f>
        <v>0</v>
      </c>
      <c r="H567" s="68">
        <f>'THE BOARD'!H320</f>
        <v>0</v>
      </c>
      <c r="I567" s="68">
        <f>'THE BOARD'!I320</f>
        <v>0</v>
      </c>
      <c r="J567" s="68">
        <f>'THE BOARD'!Q327</f>
        <v>0</v>
      </c>
      <c r="K567" s="99">
        <f>'THE BOARD'!U326</f>
        <v>0</v>
      </c>
    </row>
    <row r="568" spans="1:11" ht="12.75" x14ac:dyDescent="0.2">
      <c r="A568" s="68">
        <f>'THE BOARD'!A321</f>
        <v>0</v>
      </c>
      <c r="B568" s="68">
        <f>'THE BOARD'!B321</f>
        <v>0</v>
      </c>
      <c r="C568" s="99" t="str">
        <f>IF('THE BOARD'!U327 = "NESTED","",IF('THE BOARD'!D321&lt;&gt;"",'THE BOARD'!D321+0.72,""))</f>
        <v/>
      </c>
      <c r="D568" s="99" t="str">
        <f>IF(C568&lt;&gt;"", IF('THE BOARD'!U327 = "NESTED","",'THE BOARD'!D321 + IF(C568&lt;&gt;"", 0.72,0)),"")</f>
        <v/>
      </c>
      <c r="E568" s="68">
        <f>'THE BOARD'!E321</f>
        <v>0</v>
      </c>
      <c r="F568" s="68">
        <f>'THE BOARD'!F321</f>
        <v>0</v>
      </c>
      <c r="G568" s="68">
        <f>'THE BOARD'!G321</f>
        <v>0</v>
      </c>
      <c r="H568" s="68">
        <f>'THE BOARD'!H321</f>
        <v>0</v>
      </c>
      <c r="I568" s="68">
        <f>'THE BOARD'!I321</f>
        <v>0</v>
      </c>
      <c r="J568" s="68">
        <f>'THE BOARD'!Q328</f>
        <v>0</v>
      </c>
      <c r="K568" s="99">
        <f>'THE BOARD'!U327</f>
        <v>0</v>
      </c>
    </row>
    <row r="569" spans="1:11" ht="12.75" x14ac:dyDescent="0.2">
      <c r="A569" s="68">
        <f>'THE BOARD'!A322</f>
        <v>0</v>
      </c>
      <c r="B569" s="68">
        <f>'THE BOARD'!B322</f>
        <v>0</v>
      </c>
      <c r="C569" s="99" t="str">
        <f>IF('THE BOARD'!U328 = "NESTED","",IF('THE BOARD'!D322&lt;&gt;"",'THE BOARD'!D322+0.72,""))</f>
        <v/>
      </c>
      <c r="D569" s="99" t="str">
        <f>IF(C569&lt;&gt;"", IF('THE BOARD'!U328 = "NESTED","",'THE BOARD'!D322 + IF(C569&lt;&gt;"", 0.72,0)),"")</f>
        <v/>
      </c>
      <c r="E569" s="68">
        <f>'THE BOARD'!E322</f>
        <v>0</v>
      </c>
      <c r="F569" s="68">
        <f>'THE BOARD'!F322</f>
        <v>0</v>
      </c>
      <c r="G569" s="68">
        <f>'THE BOARD'!G322</f>
        <v>0</v>
      </c>
      <c r="H569" s="68">
        <f>'THE BOARD'!H322</f>
        <v>0</v>
      </c>
      <c r="I569" s="68">
        <f>'THE BOARD'!I322</f>
        <v>0</v>
      </c>
      <c r="J569" s="68">
        <f>'THE BOARD'!Q329</f>
        <v>0</v>
      </c>
      <c r="K569" s="99">
        <f>'THE BOARD'!U328</f>
        <v>0</v>
      </c>
    </row>
    <row r="570" spans="1:11" ht="12.75" x14ac:dyDescent="0.2">
      <c r="A570" s="68">
        <f>'THE BOARD'!A323</f>
        <v>0</v>
      </c>
      <c r="B570" s="68">
        <f>'THE BOARD'!B323</f>
        <v>0</v>
      </c>
      <c r="C570" s="99" t="str">
        <f>IF('THE BOARD'!U329 = "NESTED","",IF('THE BOARD'!D323&lt;&gt;"",'THE BOARD'!D323+0.72,""))</f>
        <v/>
      </c>
      <c r="D570" s="99" t="str">
        <f>IF(C570&lt;&gt;"", IF('THE BOARD'!U329 = "NESTED","",'THE BOARD'!D323 + IF(C570&lt;&gt;"", 0.72,0)),"")</f>
        <v/>
      </c>
      <c r="E570" s="68">
        <f>'THE BOARD'!E323</f>
        <v>0</v>
      </c>
      <c r="F570" s="68">
        <f>'THE BOARD'!F323</f>
        <v>0</v>
      </c>
      <c r="G570" s="68">
        <f>'THE BOARD'!G323</f>
        <v>0</v>
      </c>
      <c r="H570" s="68">
        <f>'THE BOARD'!H323</f>
        <v>0</v>
      </c>
      <c r="I570" s="68">
        <f>'THE BOARD'!I323</f>
        <v>0</v>
      </c>
      <c r="J570" s="68">
        <f>'THE BOARD'!Q330</f>
        <v>0</v>
      </c>
      <c r="K570" s="99">
        <f>'THE BOARD'!U329</f>
        <v>0</v>
      </c>
    </row>
    <row r="571" spans="1:11" ht="12.75" x14ac:dyDescent="0.2">
      <c r="A571" s="68">
        <f>'THE BOARD'!A324</f>
        <v>0</v>
      </c>
      <c r="B571" s="68">
        <f>'THE BOARD'!B324</f>
        <v>0</v>
      </c>
      <c r="C571" s="99" t="str">
        <f>IF('THE BOARD'!U330 = "NESTED","",IF('THE BOARD'!D324&lt;&gt;"",'THE BOARD'!D324+0.72,""))</f>
        <v/>
      </c>
      <c r="D571" s="99" t="str">
        <f>IF(C571&lt;&gt;"", IF('THE BOARD'!U330 = "NESTED","",'THE BOARD'!D324 + IF(C571&lt;&gt;"", 0.72,0)),"")</f>
        <v/>
      </c>
      <c r="E571" s="68">
        <f>'THE BOARD'!E324</f>
        <v>0</v>
      </c>
      <c r="F571" s="68">
        <f>'THE BOARD'!F324</f>
        <v>0</v>
      </c>
      <c r="G571" s="68">
        <f>'THE BOARD'!G324</f>
        <v>0</v>
      </c>
      <c r="H571" s="68">
        <f>'THE BOARD'!H324</f>
        <v>0</v>
      </c>
      <c r="I571" s="68">
        <f>'THE BOARD'!I324</f>
        <v>0</v>
      </c>
      <c r="J571" s="68">
        <f>'THE BOARD'!Q331</f>
        <v>0</v>
      </c>
      <c r="K571" s="99">
        <f>'THE BOARD'!U330</f>
        <v>0</v>
      </c>
    </row>
    <row r="572" spans="1:11" ht="12.75" x14ac:dyDescent="0.2">
      <c r="A572" s="68">
        <f>'THE BOARD'!A325</f>
        <v>0</v>
      </c>
      <c r="B572" s="68">
        <f>'THE BOARD'!B325</f>
        <v>0</v>
      </c>
      <c r="C572" s="99" t="str">
        <f>IF('THE BOARD'!U331 = "NESTED","",IF('THE BOARD'!D325&lt;&gt;"",'THE BOARD'!D325+0.72,""))</f>
        <v/>
      </c>
      <c r="D572" s="99" t="str">
        <f>IF(C572&lt;&gt;"", IF('THE BOARD'!U331 = "NESTED","",'THE BOARD'!D325 + IF(C572&lt;&gt;"", 0.72,0)),"")</f>
        <v/>
      </c>
      <c r="E572" s="68">
        <f>'THE BOARD'!E325</f>
        <v>0</v>
      </c>
      <c r="F572" s="68">
        <f>'THE BOARD'!F325</f>
        <v>0</v>
      </c>
      <c r="G572" s="68">
        <f>'THE BOARD'!G325</f>
        <v>0</v>
      </c>
      <c r="H572" s="68">
        <f>'THE BOARD'!H325</f>
        <v>0</v>
      </c>
      <c r="I572" s="68">
        <f>'THE BOARD'!I325</f>
        <v>0</v>
      </c>
      <c r="J572" s="68">
        <f>'THE BOARD'!Q332</f>
        <v>0</v>
      </c>
      <c r="K572" s="99">
        <f>'THE BOARD'!U331</f>
        <v>0</v>
      </c>
    </row>
    <row r="573" spans="1:11" ht="12.75" x14ac:dyDescent="0.2">
      <c r="A573" s="68">
        <f>'THE BOARD'!A326</f>
        <v>0</v>
      </c>
      <c r="B573" s="68">
        <f>'THE BOARD'!B326</f>
        <v>0</v>
      </c>
      <c r="C573" s="99" t="str">
        <f>IF('THE BOARD'!U332 = "NESTED","",IF('THE BOARD'!D326&lt;&gt;"",'THE BOARD'!D326+0.72,""))</f>
        <v/>
      </c>
      <c r="D573" s="99" t="str">
        <f>IF(C573&lt;&gt;"", IF('THE BOARD'!U332 = "NESTED","",'THE BOARD'!D326 + IF(C573&lt;&gt;"", 0.72,0)),"")</f>
        <v/>
      </c>
      <c r="E573" s="68">
        <f>'THE BOARD'!E326</f>
        <v>0</v>
      </c>
      <c r="F573" s="68">
        <f>'THE BOARD'!F326</f>
        <v>0</v>
      </c>
      <c r="G573" s="68">
        <f>'THE BOARD'!G326</f>
        <v>0</v>
      </c>
      <c r="H573" s="68">
        <f>'THE BOARD'!H326</f>
        <v>0</v>
      </c>
      <c r="I573" s="68">
        <f>'THE BOARD'!I326</f>
        <v>0</v>
      </c>
      <c r="J573" s="68">
        <f>'THE BOARD'!Q333</f>
        <v>0</v>
      </c>
      <c r="K573" s="99">
        <f>'THE BOARD'!U332</f>
        <v>0</v>
      </c>
    </row>
    <row r="574" spans="1:11" ht="12.75" x14ac:dyDescent="0.2">
      <c r="A574" s="68">
        <f>'THE BOARD'!A327</f>
        <v>0</v>
      </c>
      <c r="B574" s="68">
        <f>'THE BOARD'!B327</f>
        <v>0</v>
      </c>
      <c r="C574" s="99" t="str">
        <f>IF('THE BOARD'!U333 = "NESTED","",IF('THE BOARD'!D327&lt;&gt;"",'THE BOARD'!D327+0.72,""))</f>
        <v/>
      </c>
      <c r="D574" s="99" t="str">
        <f>IF(C574&lt;&gt;"", IF('THE BOARD'!U333 = "NESTED","",'THE BOARD'!D327 + IF(C574&lt;&gt;"", 0.72,0)),"")</f>
        <v/>
      </c>
      <c r="E574" s="68">
        <f>'THE BOARD'!E327</f>
        <v>0</v>
      </c>
      <c r="F574" s="68">
        <f>'THE BOARD'!F327</f>
        <v>0</v>
      </c>
      <c r="G574" s="68">
        <f>'THE BOARD'!G327</f>
        <v>0</v>
      </c>
      <c r="H574" s="68">
        <f>'THE BOARD'!H327</f>
        <v>0</v>
      </c>
      <c r="I574" s="68">
        <f>'THE BOARD'!I327</f>
        <v>0</v>
      </c>
      <c r="J574" s="68">
        <f>'THE BOARD'!Q334</f>
        <v>0</v>
      </c>
      <c r="K574" s="99">
        <f>'THE BOARD'!U333</f>
        <v>0</v>
      </c>
    </row>
    <row r="575" spans="1:11" ht="12.75" x14ac:dyDescent="0.2">
      <c r="A575" s="68">
        <f>'THE BOARD'!A328</f>
        <v>0</v>
      </c>
      <c r="B575" s="68">
        <f>'THE BOARD'!B328</f>
        <v>0</v>
      </c>
      <c r="C575" s="99" t="str">
        <f>IF('THE BOARD'!U334 = "NESTED","",IF('THE BOARD'!D328&lt;&gt;"",'THE BOARD'!D328+0.72,""))</f>
        <v/>
      </c>
      <c r="D575" s="99" t="str">
        <f>IF(C575&lt;&gt;"", IF('THE BOARD'!U334 = "NESTED","",'THE BOARD'!D328 + IF(C575&lt;&gt;"", 0.72,0)),"")</f>
        <v/>
      </c>
      <c r="E575" s="68">
        <f>'THE BOARD'!E328</f>
        <v>0</v>
      </c>
      <c r="F575" s="68">
        <f>'THE BOARD'!F328</f>
        <v>0</v>
      </c>
      <c r="G575" s="68">
        <f>'THE BOARD'!G328</f>
        <v>0</v>
      </c>
      <c r="H575" s="68">
        <f>'THE BOARD'!H328</f>
        <v>0</v>
      </c>
      <c r="I575" s="68">
        <f>'THE BOARD'!I328</f>
        <v>0</v>
      </c>
      <c r="J575" s="68">
        <f>'THE BOARD'!Q335</f>
        <v>0</v>
      </c>
      <c r="K575" s="99">
        <f>'THE BOARD'!U334</f>
        <v>0</v>
      </c>
    </row>
    <row r="576" spans="1:11" ht="12.75" x14ac:dyDescent="0.2">
      <c r="A576" s="68">
        <f>'THE BOARD'!A329</f>
        <v>0</v>
      </c>
      <c r="B576" s="68">
        <f>'THE BOARD'!B329</f>
        <v>0</v>
      </c>
      <c r="C576" s="99" t="str">
        <f>IF('THE BOARD'!U335 = "NESTED","",IF('THE BOARD'!D329&lt;&gt;"",'THE BOARD'!D329+0.72,""))</f>
        <v/>
      </c>
      <c r="D576" s="99" t="str">
        <f>IF(C576&lt;&gt;"", IF('THE BOARD'!U335 = "NESTED","",'THE BOARD'!D329 + IF(C576&lt;&gt;"", 0.72,0)),"")</f>
        <v/>
      </c>
      <c r="E576" s="68">
        <f>'THE BOARD'!E329</f>
        <v>0</v>
      </c>
      <c r="F576" s="68">
        <f>'THE BOARD'!F329</f>
        <v>0</v>
      </c>
      <c r="G576" s="68">
        <f>'THE BOARD'!G329</f>
        <v>0</v>
      </c>
      <c r="H576" s="68">
        <f>'THE BOARD'!H329</f>
        <v>0</v>
      </c>
      <c r="I576" s="68">
        <f>'THE BOARD'!I329</f>
        <v>0</v>
      </c>
      <c r="J576" s="68">
        <f>'THE BOARD'!Q336</f>
        <v>0</v>
      </c>
      <c r="K576" s="99">
        <f>'THE BOARD'!U335</f>
        <v>0</v>
      </c>
    </row>
    <row r="577" spans="1:11" ht="12.75" x14ac:dyDescent="0.2">
      <c r="A577" s="68">
        <f>'THE BOARD'!A330</f>
        <v>0</v>
      </c>
      <c r="B577" s="68">
        <f>'THE BOARD'!B330</f>
        <v>0</v>
      </c>
      <c r="C577" s="99" t="str">
        <f>IF('THE BOARD'!U336 = "NESTED","",IF('THE BOARD'!D330&lt;&gt;"",'THE BOARD'!D330+0.72,""))</f>
        <v/>
      </c>
      <c r="D577" s="99" t="str">
        <f>IF(C577&lt;&gt;"", IF('THE BOARD'!U336 = "NESTED","",'THE BOARD'!D330 + IF(C577&lt;&gt;"", 0.72,0)),"")</f>
        <v/>
      </c>
      <c r="E577" s="68">
        <f>'THE BOARD'!E330</f>
        <v>0</v>
      </c>
      <c r="F577" s="68">
        <f>'THE BOARD'!F330</f>
        <v>0</v>
      </c>
      <c r="G577" s="68">
        <f>'THE BOARD'!G330</f>
        <v>0</v>
      </c>
      <c r="H577" s="68">
        <f>'THE BOARD'!H330</f>
        <v>0</v>
      </c>
      <c r="I577" s="68">
        <f>'THE BOARD'!I330</f>
        <v>0</v>
      </c>
      <c r="J577" s="68">
        <f>'THE BOARD'!Q337</f>
        <v>0</v>
      </c>
      <c r="K577" s="99">
        <f>'THE BOARD'!U336</f>
        <v>0</v>
      </c>
    </row>
    <row r="578" spans="1:11" ht="12.75" x14ac:dyDescent="0.2">
      <c r="A578" s="68">
        <f>'THE BOARD'!A331</f>
        <v>0</v>
      </c>
      <c r="B578" s="68">
        <f>'THE BOARD'!B331</f>
        <v>0</v>
      </c>
      <c r="C578" s="99" t="str">
        <f>IF('THE BOARD'!U337 = "NESTED","",IF('THE BOARD'!D331&lt;&gt;"",'THE BOARD'!D331+0.72,""))</f>
        <v/>
      </c>
      <c r="D578" s="99" t="str">
        <f>IF(C578&lt;&gt;"", IF('THE BOARD'!U337 = "NESTED","",'THE BOARD'!D331 + IF(C578&lt;&gt;"", 0.72,0)),"")</f>
        <v/>
      </c>
      <c r="E578" s="68">
        <f>'THE BOARD'!E331</f>
        <v>0</v>
      </c>
      <c r="F578" s="68">
        <f>'THE BOARD'!F331</f>
        <v>0</v>
      </c>
      <c r="G578" s="68">
        <f>'THE BOARD'!G331</f>
        <v>0</v>
      </c>
      <c r="H578" s="68">
        <f>'THE BOARD'!H331</f>
        <v>0</v>
      </c>
      <c r="I578" s="68">
        <f>'THE BOARD'!I331</f>
        <v>0</v>
      </c>
      <c r="J578" s="68">
        <f>'THE BOARD'!Q338</f>
        <v>0</v>
      </c>
      <c r="K578" s="99">
        <f>'THE BOARD'!U337</f>
        <v>0</v>
      </c>
    </row>
    <row r="579" spans="1:11" ht="12.75" x14ac:dyDescent="0.2">
      <c r="A579" s="68">
        <f>'THE BOARD'!A332</f>
        <v>0</v>
      </c>
      <c r="B579" s="68">
        <f>'THE BOARD'!B332</f>
        <v>0</v>
      </c>
      <c r="C579" s="99" t="str">
        <f>IF('THE BOARD'!U338 = "NESTED","",IF('THE BOARD'!D332&lt;&gt;"",'THE BOARD'!D332+0.72,""))</f>
        <v/>
      </c>
      <c r="D579" s="99" t="str">
        <f>IF(C579&lt;&gt;"", IF('THE BOARD'!U338 = "NESTED","",'THE BOARD'!D332 + IF(C579&lt;&gt;"", 0.72,0)),"")</f>
        <v/>
      </c>
      <c r="E579" s="68">
        <f>'THE BOARD'!E332</f>
        <v>0</v>
      </c>
      <c r="F579" s="68">
        <f>'THE BOARD'!F332</f>
        <v>0</v>
      </c>
      <c r="G579" s="68">
        <f>'THE BOARD'!G332</f>
        <v>0</v>
      </c>
      <c r="H579" s="68">
        <f>'THE BOARD'!H332</f>
        <v>0</v>
      </c>
      <c r="I579" s="68">
        <f>'THE BOARD'!I332</f>
        <v>0</v>
      </c>
      <c r="J579" s="68">
        <f>'THE BOARD'!Q339</f>
        <v>0</v>
      </c>
      <c r="K579" s="99">
        <f>'THE BOARD'!U338</f>
        <v>0</v>
      </c>
    </row>
    <row r="580" spans="1:11" ht="12.75" x14ac:dyDescent="0.2">
      <c r="A580" s="68">
        <f>'THE BOARD'!A333</f>
        <v>0</v>
      </c>
      <c r="B580" s="68">
        <f>'THE BOARD'!B333</f>
        <v>0</v>
      </c>
      <c r="C580" s="99" t="str">
        <f>IF('THE BOARD'!U339 = "NESTED","",IF('THE BOARD'!D333&lt;&gt;"",'THE BOARD'!D333+0.72,""))</f>
        <v/>
      </c>
      <c r="D580" s="99" t="str">
        <f>IF(C580&lt;&gt;"", IF('THE BOARD'!U339 = "NESTED","",'THE BOARD'!D333 + IF(C580&lt;&gt;"", 0.72,0)),"")</f>
        <v/>
      </c>
      <c r="E580" s="68">
        <f>'THE BOARD'!E333</f>
        <v>0</v>
      </c>
      <c r="F580" s="68">
        <f>'THE BOARD'!F333</f>
        <v>0</v>
      </c>
      <c r="G580" s="68">
        <f>'THE BOARD'!G333</f>
        <v>0</v>
      </c>
      <c r="H580" s="68">
        <f>'THE BOARD'!H333</f>
        <v>0</v>
      </c>
      <c r="I580" s="68">
        <f>'THE BOARD'!I333</f>
        <v>0</v>
      </c>
      <c r="J580" s="68">
        <f>'THE BOARD'!Q340</f>
        <v>0</v>
      </c>
      <c r="K580" s="99">
        <f>'THE BOARD'!U339</f>
        <v>0</v>
      </c>
    </row>
    <row r="581" spans="1:11" ht="12.75" x14ac:dyDescent="0.2">
      <c r="A581" s="68">
        <f>'THE BOARD'!A334</f>
        <v>0</v>
      </c>
      <c r="B581" s="68">
        <f>'THE BOARD'!B334</f>
        <v>0</v>
      </c>
      <c r="C581" s="99" t="str">
        <f>IF('THE BOARD'!U340 = "NESTED","",IF('THE BOARD'!D334&lt;&gt;"",'THE BOARD'!D334+0.72,""))</f>
        <v/>
      </c>
      <c r="D581" s="99" t="str">
        <f>IF(C581&lt;&gt;"", IF('THE BOARD'!U340 = "NESTED","",'THE BOARD'!D334 + IF(C581&lt;&gt;"", 0.72,0)),"")</f>
        <v/>
      </c>
      <c r="E581" s="68">
        <f>'THE BOARD'!E334</f>
        <v>0</v>
      </c>
      <c r="F581" s="68">
        <f>'THE BOARD'!F334</f>
        <v>0</v>
      </c>
      <c r="G581" s="68">
        <f>'THE BOARD'!G334</f>
        <v>0</v>
      </c>
      <c r="H581" s="68">
        <f>'THE BOARD'!H334</f>
        <v>0</v>
      </c>
      <c r="I581" s="68">
        <f>'THE BOARD'!I334</f>
        <v>0</v>
      </c>
      <c r="J581" s="68">
        <f>'THE BOARD'!Q341</f>
        <v>0</v>
      </c>
      <c r="K581" s="99">
        <f>'THE BOARD'!U340</f>
        <v>0</v>
      </c>
    </row>
    <row r="582" spans="1:11" ht="12.75" x14ac:dyDescent="0.2">
      <c r="A582" s="68">
        <f>'THE BOARD'!A335</f>
        <v>0</v>
      </c>
      <c r="B582" s="68">
        <f>'THE BOARD'!B335</f>
        <v>0</v>
      </c>
      <c r="C582" s="99" t="str">
        <f>IF('THE BOARD'!U341 = "NESTED","",IF('THE BOARD'!D335&lt;&gt;"",'THE BOARD'!D335+0.72,""))</f>
        <v/>
      </c>
      <c r="D582" s="99" t="str">
        <f>IF(C582&lt;&gt;"", IF('THE BOARD'!U341 = "NESTED","",'THE BOARD'!D335 + IF(C582&lt;&gt;"", 0.72,0)),"")</f>
        <v/>
      </c>
      <c r="E582" s="68">
        <f>'THE BOARD'!E335</f>
        <v>0</v>
      </c>
      <c r="F582" s="68">
        <f>'THE BOARD'!F335</f>
        <v>0</v>
      </c>
      <c r="G582" s="68">
        <f>'THE BOARD'!G335</f>
        <v>0</v>
      </c>
      <c r="H582" s="68">
        <f>'THE BOARD'!H335</f>
        <v>0</v>
      </c>
      <c r="I582" s="68">
        <f>'THE BOARD'!I335</f>
        <v>0</v>
      </c>
      <c r="J582" s="68">
        <f>'THE BOARD'!Q342</f>
        <v>0</v>
      </c>
      <c r="K582" s="99">
        <f>'THE BOARD'!U341</f>
        <v>0</v>
      </c>
    </row>
    <row r="583" spans="1:11" ht="12.75" x14ac:dyDescent="0.2">
      <c r="A583" s="68">
        <f>'THE BOARD'!A336</f>
        <v>0</v>
      </c>
      <c r="B583" s="68">
        <f>'THE BOARD'!B336</f>
        <v>0</v>
      </c>
      <c r="C583" s="99" t="str">
        <f>IF('THE BOARD'!U342 = "NESTED","",IF('THE BOARD'!D336&lt;&gt;"",'THE BOARD'!D336+0.72,""))</f>
        <v/>
      </c>
      <c r="D583" s="99" t="str">
        <f>IF(C583&lt;&gt;"", IF('THE BOARD'!U342 = "NESTED","",'THE BOARD'!D336 + IF(C583&lt;&gt;"", 0.72,0)),"")</f>
        <v/>
      </c>
      <c r="E583" s="68">
        <f>'THE BOARD'!E336</f>
        <v>0</v>
      </c>
      <c r="F583" s="68">
        <f>'THE BOARD'!F336</f>
        <v>0</v>
      </c>
      <c r="G583" s="68">
        <f>'THE BOARD'!G336</f>
        <v>0</v>
      </c>
      <c r="H583" s="68">
        <f>'THE BOARD'!H336</f>
        <v>0</v>
      </c>
      <c r="I583" s="68">
        <f>'THE BOARD'!I336</f>
        <v>0</v>
      </c>
      <c r="J583" s="68">
        <f>'THE BOARD'!Q343</f>
        <v>0</v>
      </c>
      <c r="K583" s="99">
        <f>'THE BOARD'!U342</f>
        <v>0</v>
      </c>
    </row>
    <row r="584" spans="1:11" ht="12.75" x14ac:dyDescent="0.2">
      <c r="A584" s="68">
        <f>'THE BOARD'!A337</f>
        <v>0</v>
      </c>
      <c r="B584" s="68">
        <f>'THE BOARD'!B337</f>
        <v>0</v>
      </c>
      <c r="C584" s="99" t="str">
        <f>IF('THE BOARD'!U343 = "NESTED","",IF('THE BOARD'!D337&lt;&gt;"",'THE BOARD'!D337+0.72,""))</f>
        <v/>
      </c>
      <c r="D584" s="99" t="str">
        <f>IF(C584&lt;&gt;"", IF('THE BOARD'!U343 = "NESTED","",'THE BOARD'!D337 + IF(C584&lt;&gt;"", 0.72,0)),"")</f>
        <v/>
      </c>
      <c r="E584" s="68">
        <f>'THE BOARD'!E337</f>
        <v>0</v>
      </c>
      <c r="F584" s="68">
        <f>'THE BOARD'!F337</f>
        <v>0</v>
      </c>
      <c r="G584" s="68">
        <f>'THE BOARD'!G337</f>
        <v>0</v>
      </c>
      <c r="H584" s="68">
        <f>'THE BOARD'!H337</f>
        <v>0</v>
      </c>
      <c r="I584" s="68">
        <f>'THE BOARD'!I337</f>
        <v>0</v>
      </c>
      <c r="J584" s="68">
        <f>'THE BOARD'!Q344</f>
        <v>0</v>
      </c>
      <c r="K584" s="99">
        <f>'THE BOARD'!U343</f>
        <v>0</v>
      </c>
    </row>
    <row r="585" spans="1:11" ht="12.75" x14ac:dyDescent="0.2">
      <c r="A585" s="68">
        <f>'THE BOARD'!A338</f>
        <v>0</v>
      </c>
      <c r="B585" s="68">
        <f>'THE BOARD'!B338</f>
        <v>0</v>
      </c>
      <c r="C585" s="99" t="str">
        <f>IF('THE BOARD'!U344 = "NESTED","",IF('THE BOARD'!D338&lt;&gt;"",'THE BOARD'!D338+0.72,""))</f>
        <v/>
      </c>
      <c r="D585" s="99" t="str">
        <f>IF(C585&lt;&gt;"", IF('THE BOARD'!U344 = "NESTED","",'THE BOARD'!D338 + IF(C585&lt;&gt;"", 0.72,0)),"")</f>
        <v/>
      </c>
      <c r="E585" s="68">
        <f>'THE BOARD'!E338</f>
        <v>0</v>
      </c>
      <c r="F585" s="68">
        <f>'THE BOARD'!F338</f>
        <v>0</v>
      </c>
      <c r="G585" s="68">
        <f>'THE BOARD'!G338</f>
        <v>0</v>
      </c>
      <c r="H585" s="68">
        <f>'THE BOARD'!H338</f>
        <v>0</v>
      </c>
      <c r="I585" s="68">
        <f>'THE BOARD'!I338</f>
        <v>0</v>
      </c>
      <c r="J585" s="68">
        <f>'THE BOARD'!Q345</f>
        <v>0</v>
      </c>
      <c r="K585" s="99">
        <f>'THE BOARD'!U344</f>
        <v>0</v>
      </c>
    </row>
    <row r="586" spans="1:11" ht="12.75" x14ac:dyDescent="0.2">
      <c r="A586" s="68">
        <f>'THE BOARD'!A339</f>
        <v>0</v>
      </c>
      <c r="B586" s="68">
        <f>'THE BOARD'!B339</f>
        <v>0</v>
      </c>
      <c r="C586" s="99" t="str">
        <f>IF('THE BOARD'!U345 = "NESTED","",IF('THE BOARD'!D339&lt;&gt;"",'THE BOARD'!D339+0.72,""))</f>
        <v/>
      </c>
      <c r="D586" s="99" t="str">
        <f>IF(C586&lt;&gt;"", IF('THE BOARD'!U345 = "NESTED","",'THE BOARD'!D339 + IF(C586&lt;&gt;"", 0.72,0)),"")</f>
        <v/>
      </c>
      <c r="E586" s="68">
        <f>'THE BOARD'!E339</f>
        <v>0</v>
      </c>
      <c r="F586" s="68">
        <f>'THE BOARD'!F339</f>
        <v>0</v>
      </c>
      <c r="G586" s="68">
        <f>'THE BOARD'!G339</f>
        <v>0</v>
      </c>
      <c r="H586" s="68">
        <f>'THE BOARD'!H339</f>
        <v>0</v>
      </c>
      <c r="I586" s="68">
        <f>'THE BOARD'!I339</f>
        <v>0</v>
      </c>
      <c r="J586" s="68">
        <f>'THE BOARD'!Q346</f>
        <v>0</v>
      </c>
      <c r="K586" s="99">
        <f>'THE BOARD'!U345</f>
        <v>0</v>
      </c>
    </row>
    <row r="587" spans="1:11" ht="12.75" x14ac:dyDescent="0.2">
      <c r="A587" s="68">
        <f>'THE BOARD'!A340</f>
        <v>0</v>
      </c>
      <c r="B587" s="68">
        <f>'THE BOARD'!B340</f>
        <v>0</v>
      </c>
      <c r="C587" s="99" t="str">
        <f>IF('THE BOARD'!U346 = "NESTED","",IF('THE BOARD'!D340&lt;&gt;"",'THE BOARD'!D340+0.72,""))</f>
        <v/>
      </c>
      <c r="D587" s="99" t="str">
        <f>IF(C587&lt;&gt;"", IF('THE BOARD'!U346 = "NESTED","",'THE BOARD'!D340 + IF(C587&lt;&gt;"", 0.72,0)),"")</f>
        <v/>
      </c>
      <c r="E587" s="68">
        <f>'THE BOARD'!E340</f>
        <v>0</v>
      </c>
      <c r="F587" s="68">
        <f>'THE BOARD'!F340</f>
        <v>0</v>
      </c>
      <c r="G587" s="68">
        <f>'THE BOARD'!G340</f>
        <v>0</v>
      </c>
      <c r="H587" s="68">
        <f>'THE BOARD'!H340</f>
        <v>0</v>
      </c>
      <c r="I587" s="68">
        <f>'THE BOARD'!I340</f>
        <v>0</v>
      </c>
      <c r="J587" s="68">
        <f>'THE BOARD'!Q347</f>
        <v>0</v>
      </c>
      <c r="K587" s="99">
        <f>'THE BOARD'!U346</f>
        <v>0</v>
      </c>
    </row>
    <row r="588" spans="1:11" ht="12.75" x14ac:dyDescent="0.2">
      <c r="A588" s="68">
        <f>'THE BOARD'!A341</f>
        <v>0</v>
      </c>
      <c r="B588" s="68">
        <f>'THE BOARD'!B341</f>
        <v>0</v>
      </c>
      <c r="C588" s="99" t="str">
        <f>IF('THE BOARD'!U347 = "NESTED","",IF('THE BOARD'!D341&lt;&gt;"",'THE BOARD'!D341+0.72,""))</f>
        <v/>
      </c>
      <c r="D588" s="99" t="str">
        <f>IF(C588&lt;&gt;"", IF('THE BOARD'!U347 = "NESTED","",'THE BOARD'!D341 + IF(C588&lt;&gt;"", 0.72,0)),"")</f>
        <v/>
      </c>
      <c r="E588" s="68">
        <f>'THE BOARD'!E341</f>
        <v>0</v>
      </c>
      <c r="F588" s="68">
        <f>'THE BOARD'!F341</f>
        <v>0</v>
      </c>
      <c r="G588" s="68">
        <f>'THE BOARD'!G341</f>
        <v>0</v>
      </c>
      <c r="H588" s="68">
        <f>'THE BOARD'!H341</f>
        <v>0</v>
      </c>
      <c r="I588" s="68">
        <f>'THE BOARD'!I341</f>
        <v>0</v>
      </c>
      <c r="J588" s="68">
        <f>'THE BOARD'!Q348</f>
        <v>0</v>
      </c>
      <c r="K588" s="99">
        <f>'THE BOARD'!U347</f>
        <v>0</v>
      </c>
    </row>
    <row r="589" spans="1:11" ht="12.75" x14ac:dyDescent="0.2">
      <c r="A589" s="68">
        <f>'THE BOARD'!A342</f>
        <v>0</v>
      </c>
      <c r="B589" s="68">
        <f>'THE BOARD'!B342</f>
        <v>0</v>
      </c>
      <c r="C589" s="99" t="str">
        <f>IF('THE BOARD'!U348 = "NESTED","",IF('THE BOARD'!D342&lt;&gt;"",'THE BOARD'!D342+0.72,""))</f>
        <v/>
      </c>
      <c r="D589" s="99" t="str">
        <f>IF(C589&lt;&gt;"", IF('THE BOARD'!U348 = "NESTED","",'THE BOARD'!D342 + IF(C589&lt;&gt;"", 0.72,0)),"")</f>
        <v/>
      </c>
      <c r="E589" s="68">
        <f>'THE BOARD'!E342</f>
        <v>0</v>
      </c>
      <c r="F589" s="68">
        <f>'THE BOARD'!F342</f>
        <v>0</v>
      </c>
      <c r="G589" s="68">
        <f>'THE BOARD'!G342</f>
        <v>0</v>
      </c>
      <c r="H589" s="68">
        <f>'THE BOARD'!H342</f>
        <v>0</v>
      </c>
      <c r="I589" s="68">
        <f>'THE BOARD'!I342</f>
        <v>0</v>
      </c>
      <c r="J589" s="68">
        <f>'THE BOARD'!Q349</f>
        <v>0</v>
      </c>
      <c r="K589" s="99">
        <f>'THE BOARD'!U348</f>
        <v>0</v>
      </c>
    </row>
    <row r="590" spans="1:11" ht="12.75" x14ac:dyDescent="0.2">
      <c r="A590" s="68">
        <f>'THE BOARD'!A343</f>
        <v>0</v>
      </c>
      <c r="B590" s="68">
        <f>'THE BOARD'!B343</f>
        <v>0</v>
      </c>
      <c r="C590" s="99" t="str">
        <f>IF('THE BOARD'!U349 = "NESTED","",IF('THE BOARD'!D343&lt;&gt;"",'THE BOARD'!D343+0.72,""))</f>
        <v/>
      </c>
      <c r="D590" s="99" t="str">
        <f>IF(C590&lt;&gt;"", IF('THE BOARD'!U349 = "NESTED","",'THE BOARD'!D343 + IF(C590&lt;&gt;"", 0.72,0)),"")</f>
        <v/>
      </c>
      <c r="E590" s="68">
        <f>'THE BOARD'!E343</f>
        <v>0</v>
      </c>
      <c r="F590" s="68">
        <f>'THE BOARD'!F343</f>
        <v>0</v>
      </c>
      <c r="G590" s="68">
        <f>'THE BOARD'!G343</f>
        <v>0</v>
      </c>
      <c r="H590" s="68">
        <f>'THE BOARD'!H343</f>
        <v>0</v>
      </c>
      <c r="I590" s="68">
        <f>'THE BOARD'!I343</f>
        <v>0</v>
      </c>
      <c r="J590" s="68">
        <f>'THE BOARD'!Q350</f>
        <v>0</v>
      </c>
      <c r="K590" s="99">
        <f>'THE BOARD'!U349</f>
        <v>0</v>
      </c>
    </row>
    <row r="591" spans="1:11" ht="12.75" x14ac:dyDescent="0.2">
      <c r="A591" s="68">
        <f>'THE BOARD'!A344</f>
        <v>0</v>
      </c>
      <c r="B591" s="68">
        <f>'THE BOARD'!B344</f>
        <v>0</v>
      </c>
      <c r="C591" s="99" t="str">
        <f>IF('THE BOARD'!U350 = "NESTED","",IF('THE BOARD'!D344&lt;&gt;"",'THE BOARD'!D344+0.72,""))</f>
        <v/>
      </c>
      <c r="D591" s="99" t="str">
        <f>IF(C591&lt;&gt;"", IF('THE BOARD'!U350 = "NESTED","",'THE BOARD'!D344 + IF(C591&lt;&gt;"", 0.72,0)),"")</f>
        <v/>
      </c>
      <c r="E591" s="68">
        <f>'THE BOARD'!E344</f>
        <v>0</v>
      </c>
      <c r="F591" s="68">
        <f>'THE BOARD'!F344</f>
        <v>0</v>
      </c>
      <c r="G591" s="68">
        <f>'THE BOARD'!G344</f>
        <v>0</v>
      </c>
      <c r="H591" s="68">
        <f>'THE BOARD'!H344</f>
        <v>0</v>
      </c>
      <c r="I591" s="68">
        <f>'THE BOARD'!I344</f>
        <v>0</v>
      </c>
      <c r="J591" s="68">
        <f>'THE BOARD'!Q351</f>
        <v>0</v>
      </c>
      <c r="K591" s="99">
        <f>'THE BOARD'!U350</f>
        <v>0</v>
      </c>
    </row>
    <row r="592" spans="1:11" ht="12.75" x14ac:dyDescent="0.2">
      <c r="A592" s="68">
        <f>'THE BOARD'!A345</f>
        <v>0</v>
      </c>
      <c r="B592" s="68">
        <f>'THE BOARD'!B345</f>
        <v>0</v>
      </c>
      <c r="C592" s="99" t="str">
        <f>IF('THE BOARD'!U351 = "NESTED","",IF('THE BOARD'!D345&lt;&gt;"",'THE BOARD'!D345+0.72,""))</f>
        <v/>
      </c>
      <c r="D592" s="99" t="str">
        <f>IF(C592&lt;&gt;"", IF('THE BOARD'!U351 = "NESTED","",'THE BOARD'!D345 + IF(C592&lt;&gt;"", 0.72,0)),"")</f>
        <v/>
      </c>
      <c r="E592" s="68">
        <f>'THE BOARD'!E345</f>
        <v>0</v>
      </c>
      <c r="F592" s="68">
        <f>'THE BOARD'!F345</f>
        <v>0</v>
      </c>
      <c r="G592" s="68">
        <f>'THE BOARD'!G345</f>
        <v>0</v>
      </c>
      <c r="H592" s="68">
        <f>'THE BOARD'!H345</f>
        <v>0</v>
      </c>
      <c r="I592" s="68">
        <f>'THE BOARD'!I345</f>
        <v>0</v>
      </c>
      <c r="J592" s="68">
        <f>'THE BOARD'!Q352</f>
        <v>0</v>
      </c>
      <c r="K592" s="99">
        <f>'THE BOARD'!U351</f>
        <v>0</v>
      </c>
    </row>
    <row r="593" spans="1:11" ht="12.75" x14ac:dyDescent="0.2">
      <c r="A593" s="68">
        <f>'THE BOARD'!A346</f>
        <v>0</v>
      </c>
      <c r="B593" s="68">
        <f>'THE BOARD'!B346</f>
        <v>0</v>
      </c>
      <c r="C593" s="99" t="str">
        <f>IF('THE BOARD'!U352 = "NESTED","",IF('THE BOARD'!D346&lt;&gt;"",'THE BOARD'!D346+0.72,""))</f>
        <v/>
      </c>
      <c r="D593" s="99" t="str">
        <f>IF(C593&lt;&gt;"", IF('THE BOARD'!U352 = "NESTED","",'THE BOARD'!D346 + IF(C593&lt;&gt;"", 0.72,0)),"")</f>
        <v/>
      </c>
      <c r="E593" s="68">
        <f>'THE BOARD'!E346</f>
        <v>0</v>
      </c>
      <c r="F593" s="68">
        <f>'THE BOARD'!F346</f>
        <v>0</v>
      </c>
      <c r="G593" s="68">
        <f>'THE BOARD'!G346</f>
        <v>0</v>
      </c>
      <c r="H593" s="68">
        <f>'THE BOARD'!H346</f>
        <v>0</v>
      </c>
      <c r="I593" s="68">
        <f>'THE BOARD'!I346</f>
        <v>0</v>
      </c>
      <c r="J593" s="68">
        <f>'THE BOARD'!Q353</f>
        <v>0</v>
      </c>
      <c r="K593" s="99">
        <f>'THE BOARD'!U352</f>
        <v>0</v>
      </c>
    </row>
    <row r="594" spans="1:11" ht="12.75" x14ac:dyDescent="0.2">
      <c r="A594" s="68">
        <f>'THE BOARD'!A347</f>
        <v>0</v>
      </c>
      <c r="B594" s="68">
        <f>'THE BOARD'!B347</f>
        <v>0</v>
      </c>
      <c r="C594" s="99" t="str">
        <f>IF('THE BOARD'!U353 = "NESTED","",IF('THE BOARD'!D347&lt;&gt;"",'THE BOARD'!D347+0.72,""))</f>
        <v/>
      </c>
      <c r="D594" s="99" t="str">
        <f>IF(C594&lt;&gt;"", IF('THE BOARD'!U353 = "NESTED","",'THE BOARD'!D347 + IF(C594&lt;&gt;"", 0.72,0)),"")</f>
        <v/>
      </c>
      <c r="E594" s="68">
        <f>'THE BOARD'!E347</f>
        <v>0</v>
      </c>
      <c r="F594" s="68">
        <f>'THE BOARD'!F347</f>
        <v>0</v>
      </c>
      <c r="G594" s="68">
        <f>'THE BOARD'!G347</f>
        <v>0</v>
      </c>
      <c r="H594" s="68">
        <f>'THE BOARD'!H347</f>
        <v>0</v>
      </c>
      <c r="I594" s="68">
        <f>'THE BOARD'!I347</f>
        <v>0</v>
      </c>
      <c r="J594" s="68">
        <f>'THE BOARD'!Q354</f>
        <v>0</v>
      </c>
      <c r="K594" s="99">
        <f>'THE BOARD'!U353</f>
        <v>0</v>
      </c>
    </row>
    <row r="595" spans="1:11" ht="12.75" x14ac:dyDescent="0.2">
      <c r="A595" s="68">
        <f>'THE BOARD'!A348</f>
        <v>0</v>
      </c>
      <c r="B595" s="68">
        <f>'THE BOARD'!B348</f>
        <v>0</v>
      </c>
      <c r="C595" s="99" t="str">
        <f>IF('THE BOARD'!U354 = "NESTED","",IF('THE BOARD'!D348&lt;&gt;"",'THE BOARD'!D348+0.72,""))</f>
        <v/>
      </c>
      <c r="D595" s="99" t="str">
        <f>IF(C595&lt;&gt;"", IF('THE BOARD'!U354 = "NESTED","",'THE BOARD'!D348 + IF(C595&lt;&gt;"", 0.72,0)),"")</f>
        <v/>
      </c>
      <c r="E595" s="68">
        <f>'THE BOARD'!E348</f>
        <v>0</v>
      </c>
      <c r="F595" s="68">
        <f>'THE BOARD'!F348</f>
        <v>0</v>
      </c>
      <c r="G595" s="68">
        <f>'THE BOARD'!G348</f>
        <v>0</v>
      </c>
      <c r="H595" s="68">
        <f>'THE BOARD'!H348</f>
        <v>0</v>
      </c>
      <c r="I595" s="68">
        <f>'THE BOARD'!I348</f>
        <v>0</v>
      </c>
      <c r="J595" s="68">
        <f>'THE BOARD'!Q355</f>
        <v>0</v>
      </c>
      <c r="K595" s="99">
        <f>'THE BOARD'!U354</f>
        <v>0</v>
      </c>
    </row>
    <row r="596" spans="1:11" ht="12.75" x14ac:dyDescent="0.2">
      <c r="A596" s="68">
        <f>'THE BOARD'!A349</f>
        <v>0</v>
      </c>
      <c r="B596" s="68">
        <f>'THE BOARD'!B349</f>
        <v>0</v>
      </c>
      <c r="C596" s="99" t="str">
        <f>IF('THE BOARD'!U355 = "NESTED","",IF('THE BOARD'!D349&lt;&gt;"",'THE BOARD'!D349+0.72,""))</f>
        <v/>
      </c>
      <c r="D596" s="99" t="str">
        <f>IF(C596&lt;&gt;"", IF('THE BOARD'!U355 = "NESTED","",'THE BOARD'!D349 + IF(C596&lt;&gt;"", 0.72,0)),"")</f>
        <v/>
      </c>
      <c r="E596" s="68">
        <f>'THE BOARD'!E349</f>
        <v>0</v>
      </c>
      <c r="F596" s="68">
        <f>'THE BOARD'!F349</f>
        <v>0</v>
      </c>
      <c r="G596" s="68">
        <f>'THE BOARD'!G349</f>
        <v>0</v>
      </c>
      <c r="H596" s="68">
        <f>'THE BOARD'!H349</f>
        <v>0</v>
      </c>
      <c r="I596" s="68">
        <f>'THE BOARD'!I349</f>
        <v>0</v>
      </c>
      <c r="J596" s="68">
        <f>'THE BOARD'!Q356</f>
        <v>0</v>
      </c>
      <c r="K596" s="99">
        <f>'THE BOARD'!U355</f>
        <v>0</v>
      </c>
    </row>
    <row r="597" spans="1:11" ht="12.75" x14ac:dyDescent="0.2">
      <c r="A597" s="68">
        <f>'THE BOARD'!A350</f>
        <v>0</v>
      </c>
      <c r="B597" s="68">
        <f>'THE BOARD'!B350</f>
        <v>0</v>
      </c>
      <c r="C597" s="99" t="str">
        <f>IF('THE BOARD'!U356 = "NESTED","",IF('THE BOARD'!D350&lt;&gt;"",'THE BOARD'!D350+0.72,""))</f>
        <v/>
      </c>
      <c r="D597" s="99" t="str">
        <f>IF(C597&lt;&gt;"", IF('THE BOARD'!U356 = "NESTED","",'THE BOARD'!D350 + IF(C597&lt;&gt;"", 0.72,0)),"")</f>
        <v/>
      </c>
      <c r="E597" s="68">
        <f>'THE BOARD'!E350</f>
        <v>0</v>
      </c>
      <c r="F597" s="68">
        <f>'THE BOARD'!F350</f>
        <v>0</v>
      </c>
      <c r="G597" s="68">
        <f>'THE BOARD'!G350</f>
        <v>0</v>
      </c>
      <c r="H597" s="68">
        <f>'THE BOARD'!H350</f>
        <v>0</v>
      </c>
      <c r="I597" s="68">
        <f>'THE BOARD'!I350</f>
        <v>0</v>
      </c>
      <c r="J597" s="68">
        <f>'THE BOARD'!Q357</f>
        <v>0</v>
      </c>
      <c r="K597" s="99">
        <f>'THE BOARD'!U356</f>
        <v>0</v>
      </c>
    </row>
    <row r="598" spans="1:11" ht="12.75" x14ac:dyDescent="0.2">
      <c r="A598" s="68">
        <f>'THE BOARD'!A351</f>
        <v>0</v>
      </c>
      <c r="B598" s="68">
        <f>'THE BOARD'!B351</f>
        <v>0</v>
      </c>
      <c r="C598" s="99" t="str">
        <f>IF('THE BOARD'!U357 = "NESTED","",IF('THE BOARD'!D351&lt;&gt;"",'THE BOARD'!D351+0.72,""))</f>
        <v/>
      </c>
      <c r="D598" s="99" t="str">
        <f>IF(C598&lt;&gt;"", IF('THE BOARD'!U357 = "NESTED","",'THE BOARD'!D351 + IF(C598&lt;&gt;"", 0.72,0)),"")</f>
        <v/>
      </c>
      <c r="E598" s="68">
        <f>'THE BOARD'!E351</f>
        <v>0</v>
      </c>
      <c r="F598" s="68">
        <f>'THE BOARD'!F351</f>
        <v>0</v>
      </c>
      <c r="G598" s="68">
        <f>'THE BOARD'!G351</f>
        <v>0</v>
      </c>
      <c r="H598" s="68">
        <f>'THE BOARD'!H351</f>
        <v>0</v>
      </c>
      <c r="I598" s="68">
        <f>'THE BOARD'!I351</f>
        <v>0</v>
      </c>
      <c r="J598" s="68">
        <f>'THE BOARD'!Q358</f>
        <v>0</v>
      </c>
      <c r="K598" s="99">
        <f>'THE BOARD'!U357</f>
        <v>0</v>
      </c>
    </row>
    <row r="599" spans="1:11" ht="12.75" x14ac:dyDescent="0.2">
      <c r="A599" s="68">
        <f>'THE BOARD'!A352</f>
        <v>0</v>
      </c>
      <c r="B599" s="68">
        <f>'THE BOARD'!B352</f>
        <v>0</v>
      </c>
      <c r="C599" s="99" t="str">
        <f>IF('THE BOARD'!U358 = "NESTED","",IF('THE BOARD'!D352&lt;&gt;"",'THE BOARD'!D352+0.72,""))</f>
        <v/>
      </c>
      <c r="D599" s="99" t="str">
        <f>IF(C599&lt;&gt;"", IF('THE BOARD'!U358 = "NESTED","",'THE BOARD'!D352 + IF(C599&lt;&gt;"", 0.72,0)),"")</f>
        <v/>
      </c>
      <c r="E599" s="68">
        <f>'THE BOARD'!E352</f>
        <v>0</v>
      </c>
      <c r="F599" s="68">
        <f>'THE BOARD'!F352</f>
        <v>0</v>
      </c>
      <c r="G599" s="68">
        <f>'THE BOARD'!G352</f>
        <v>0</v>
      </c>
      <c r="H599" s="68">
        <f>'THE BOARD'!H352</f>
        <v>0</v>
      </c>
      <c r="I599" s="68">
        <f>'THE BOARD'!I352</f>
        <v>0</v>
      </c>
      <c r="J599" s="68">
        <f>'THE BOARD'!Q359</f>
        <v>0</v>
      </c>
      <c r="K599" s="99">
        <f>'THE BOARD'!U358</f>
        <v>0</v>
      </c>
    </row>
    <row r="600" spans="1:11" ht="12.75" x14ac:dyDescent="0.2">
      <c r="A600" s="68">
        <f>'THE BOARD'!A353</f>
        <v>0</v>
      </c>
      <c r="B600" s="68">
        <f>'THE BOARD'!B353</f>
        <v>0</v>
      </c>
      <c r="C600" s="99" t="str">
        <f>IF('THE BOARD'!U359 = "NESTED","",IF('THE BOARD'!D353&lt;&gt;"",'THE BOARD'!D353+0.72,""))</f>
        <v/>
      </c>
      <c r="D600" s="99" t="str">
        <f>IF(C600&lt;&gt;"", IF('THE BOARD'!U359 = "NESTED","",'THE BOARD'!D353 + IF(C600&lt;&gt;"", 0.72,0)),"")</f>
        <v/>
      </c>
      <c r="E600" s="68">
        <f>'THE BOARD'!E353</f>
        <v>0</v>
      </c>
      <c r="F600" s="68">
        <f>'THE BOARD'!F353</f>
        <v>0</v>
      </c>
      <c r="G600" s="68">
        <f>'THE BOARD'!G353</f>
        <v>0</v>
      </c>
      <c r="H600" s="68">
        <f>'THE BOARD'!H353</f>
        <v>0</v>
      </c>
      <c r="I600" s="68">
        <f>'THE BOARD'!I353</f>
        <v>0</v>
      </c>
      <c r="J600" s="68">
        <f>'THE BOARD'!Q360</f>
        <v>0</v>
      </c>
      <c r="K600" s="99">
        <f>'THE BOARD'!U359</f>
        <v>0</v>
      </c>
    </row>
    <row r="601" spans="1:11" ht="12.75" x14ac:dyDescent="0.2">
      <c r="A601" s="68">
        <f>'THE BOARD'!A354</f>
        <v>0</v>
      </c>
      <c r="B601" s="68">
        <f>'THE BOARD'!B354</f>
        <v>0</v>
      </c>
      <c r="C601" s="99" t="str">
        <f>IF('THE BOARD'!U360 = "NESTED","",IF('THE BOARD'!D354&lt;&gt;"",'THE BOARD'!D354+0.72,""))</f>
        <v/>
      </c>
      <c r="D601" s="99" t="str">
        <f>IF(C601&lt;&gt;"", IF('THE BOARD'!U360 = "NESTED","",'THE BOARD'!D354 + IF(C601&lt;&gt;"", 0.72,0)),"")</f>
        <v/>
      </c>
      <c r="E601" s="68">
        <f>'THE BOARD'!E354</f>
        <v>0</v>
      </c>
      <c r="F601" s="68">
        <f>'THE BOARD'!F354</f>
        <v>0</v>
      </c>
      <c r="G601" s="68">
        <f>'THE BOARD'!G354</f>
        <v>0</v>
      </c>
      <c r="H601" s="68">
        <f>'THE BOARD'!H354</f>
        <v>0</v>
      </c>
      <c r="I601" s="68">
        <f>'THE BOARD'!I354</f>
        <v>0</v>
      </c>
      <c r="J601" s="68">
        <f>'THE BOARD'!Q361</f>
        <v>0</v>
      </c>
      <c r="K601" s="99">
        <f>'THE BOARD'!U360</f>
        <v>0</v>
      </c>
    </row>
    <row r="602" spans="1:11" ht="12.75" x14ac:dyDescent="0.2">
      <c r="A602" s="68">
        <f>'THE BOARD'!A355</f>
        <v>0</v>
      </c>
      <c r="B602" s="68">
        <f>'THE BOARD'!B355</f>
        <v>0</v>
      </c>
      <c r="C602" s="99" t="str">
        <f>IF('THE BOARD'!U361 = "NESTED","",IF('THE BOARD'!D355&lt;&gt;"",'THE BOARD'!D355+0.72,""))</f>
        <v/>
      </c>
      <c r="D602" s="99" t="str">
        <f>IF(C602&lt;&gt;"", IF('THE BOARD'!U361 = "NESTED","",'THE BOARD'!D355 + IF(C602&lt;&gt;"", 0.72,0)),"")</f>
        <v/>
      </c>
      <c r="E602" s="68">
        <f>'THE BOARD'!E355</f>
        <v>0</v>
      </c>
      <c r="F602" s="68">
        <f>'THE BOARD'!F355</f>
        <v>0</v>
      </c>
      <c r="G602" s="68">
        <f>'THE BOARD'!G355</f>
        <v>0</v>
      </c>
      <c r="H602" s="68">
        <f>'THE BOARD'!H355</f>
        <v>0</v>
      </c>
      <c r="I602" s="68">
        <f>'THE BOARD'!I355</f>
        <v>0</v>
      </c>
      <c r="J602" s="68">
        <f>'THE BOARD'!Q362</f>
        <v>0</v>
      </c>
      <c r="K602" s="99">
        <f>'THE BOARD'!U361</f>
        <v>0</v>
      </c>
    </row>
    <row r="603" spans="1:11" ht="12.75" x14ac:dyDescent="0.2">
      <c r="A603" s="68">
        <f>'THE BOARD'!A356</f>
        <v>0</v>
      </c>
      <c r="B603" s="68">
        <f>'THE BOARD'!B356</f>
        <v>0</v>
      </c>
      <c r="C603" s="99" t="str">
        <f>IF('THE BOARD'!U362 = "NESTED","",IF('THE BOARD'!D356&lt;&gt;"",'THE BOARD'!D356+0.72,""))</f>
        <v/>
      </c>
      <c r="D603" s="99" t="str">
        <f>IF(C603&lt;&gt;"", IF('THE BOARD'!U362 = "NESTED","",'THE BOARD'!D356 + IF(C603&lt;&gt;"", 0.72,0)),"")</f>
        <v/>
      </c>
      <c r="E603" s="68">
        <f>'THE BOARD'!E356</f>
        <v>0</v>
      </c>
      <c r="F603" s="68">
        <f>'THE BOARD'!F356</f>
        <v>0</v>
      </c>
      <c r="G603" s="68">
        <f>'THE BOARD'!G356</f>
        <v>0</v>
      </c>
      <c r="H603" s="68">
        <f>'THE BOARD'!H356</f>
        <v>0</v>
      </c>
      <c r="I603" s="68">
        <f>'THE BOARD'!I356</f>
        <v>0</v>
      </c>
      <c r="J603" s="68">
        <f>'THE BOARD'!Q363</f>
        <v>0</v>
      </c>
      <c r="K603" s="99">
        <f>'THE BOARD'!U362</f>
        <v>0</v>
      </c>
    </row>
    <row r="604" spans="1:11" ht="12.75" x14ac:dyDescent="0.2">
      <c r="A604" s="68">
        <f>'THE BOARD'!A357</f>
        <v>0</v>
      </c>
      <c r="B604" s="68">
        <f>'THE BOARD'!B357</f>
        <v>0</v>
      </c>
      <c r="C604" s="99" t="str">
        <f>IF('THE BOARD'!U363 = "NESTED","",IF('THE BOARD'!D357&lt;&gt;"",'THE BOARD'!D357+0.72,""))</f>
        <v/>
      </c>
      <c r="D604" s="99" t="str">
        <f>IF(C604&lt;&gt;"", IF('THE BOARD'!U363 = "NESTED","",'THE BOARD'!D357 + IF(C604&lt;&gt;"", 0.72,0)),"")</f>
        <v/>
      </c>
      <c r="E604" s="68">
        <f>'THE BOARD'!E357</f>
        <v>0</v>
      </c>
      <c r="F604" s="68">
        <f>'THE BOARD'!F357</f>
        <v>0</v>
      </c>
      <c r="G604" s="68">
        <f>'THE BOARD'!G357</f>
        <v>0</v>
      </c>
      <c r="H604" s="68">
        <f>'THE BOARD'!H357</f>
        <v>0</v>
      </c>
      <c r="I604" s="68">
        <f>'THE BOARD'!I357</f>
        <v>0</v>
      </c>
      <c r="J604" s="68">
        <f>'THE BOARD'!Q364</f>
        <v>0</v>
      </c>
      <c r="K604" s="99">
        <f>'THE BOARD'!U363</f>
        <v>0</v>
      </c>
    </row>
    <row r="605" spans="1:11" ht="12.75" x14ac:dyDescent="0.2">
      <c r="A605" s="68">
        <f>'THE BOARD'!A358</f>
        <v>0</v>
      </c>
      <c r="B605" s="68">
        <f>'THE BOARD'!B358</f>
        <v>0</v>
      </c>
      <c r="C605" s="99" t="str">
        <f>IF('THE BOARD'!U364 = "NESTED","",IF('THE BOARD'!D358&lt;&gt;"",'THE BOARD'!D358+0.72,""))</f>
        <v/>
      </c>
      <c r="D605" s="99" t="str">
        <f>IF(C605&lt;&gt;"", IF('THE BOARD'!U364 = "NESTED","",'THE BOARD'!D358 + IF(C605&lt;&gt;"", 0.72,0)),"")</f>
        <v/>
      </c>
      <c r="E605" s="68">
        <f>'THE BOARD'!E358</f>
        <v>0</v>
      </c>
      <c r="F605" s="68">
        <f>'THE BOARD'!F358</f>
        <v>0</v>
      </c>
      <c r="G605" s="68">
        <f>'THE BOARD'!G358</f>
        <v>0</v>
      </c>
      <c r="H605" s="68">
        <f>'THE BOARD'!H358</f>
        <v>0</v>
      </c>
      <c r="I605" s="68">
        <f>'THE BOARD'!I358</f>
        <v>0</v>
      </c>
      <c r="J605" s="68">
        <f>'THE BOARD'!Q365</f>
        <v>0</v>
      </c>
      <c r="K605" s="99">
        <f>'THE BOARD'!U364</f>
        <v>0</v>
      </c>
    </row>
    <row r="606" spans="1:11" ht="12.75" x14ac:dyDescent="0.2">
      <c r="A606" s="68">
        <f>'THE BOARD'!A359</f>
        <v>0</v>
      </c>
      <c r="B606" s="68">
        <f>'THE BOARD'!B359</f>
        <v>0</v>
      </c>
      <c r="C606" s="99" t="str">
        <f>IF('THE BOARD'!U365 = "NESTED","",IF('THE BOARD'!D359&lt;&gt;"",'THE BOARD'!D359+0.72,""))</f>
        <v/>
      </c>
      <c r="D606" s="99" t="str">
        <f>IF(C606&lt;&gt;"", IF('THE BOARD'!U365 = "NESTED","",'THE BOARD'!D359 + IF(C606&lt;&gt;"", 0.72,0)),"")</f>
        <v/>
      </c>
      <c r="E606" s="68">
        <f>'THE BOARD'!E359</f>
        <v>0</v>
      </c>
      <c r="F606" s="68">
        <f>'THE BOARD'!F359</f>
        <v>0</v>
      </c>
      <c r="G606" s="68">
        <f>'THE BOARD'!G359</f>
        <v>0</v>
      </c>
      <c r="H606" s="68">
        <f>'THE BOARD'!H359</f>
        <v>0</v>
      </c>
      <c r="I606" s="68">
        <f>'THE BOARD'!I359</f>
        <v>0</v>
      </c>
      <c r="J606" s="68">
        <f>'THE BOARD'!Q366</f>
        <v>0</v>
      </c>
      <c r="K606" s="99">
        <f>'THE BOARD'!U365</f>
        <v>0</v>
      </c>
    </row>
    <row r="607" spans="1:11" ht="12.75" x14ac:dyDescent="0.2">
      <c r="A607" s="68">
        <f>'THE BOARD'!A360</f>
        <v>0</v>
      </c>
      <c r="B607" s="68">
        <f>'THE BOARD'!B360</f>
        <v>0</v>
      </c>
      <c r="C607" s="99" t="str">
        <f>IF('THE BOARD'!U366 = "NESTED","",IF('THE BOARD'!D360&lt;&gt;"",'THE BOARD'!D360+0.72,""))</f>
        <v/>
      </c>
      <c r="D607" s="99" t="str">
        <f>IF(C607&lt;&gt;"", IF('THE BOARD'!U366 = "NESTED","",'THE BOARD'!D360 + IF(C607&lt;&gt;"", 0.72,0)),"")</f>
        <v/>
      </c>
      <c r="E607" s="68">
        <f>'THE BOARD'!E360</f>
        <v>0</v>
      </c>
      <c r="F607" s="68">
        <f>'THE BOARD'!F360</f>
        <v>0</v>
      </c>
      <c r="G607" s="68">
        <f>'THE BOARD'!G360</f>
        <v>0</v>
      </c>
      <c r="H607" s="68">
        <f>'THE BOARD'!H360</f>
        <v>0</v>
      </c>
      <c r="I607" s="68">
        <f>'THE BOARD'!I360</f>
        <v>0</v>
      </c>
      <c r="J607" s="68">
        <f>'THE BOARD'!Q367</f>
        <v>0</v>
      </c>
      <c r="K607" s="99">
        <f>'THE BOARD'!U366</f>
        <v>0</v>
      </c>
    </row>
    <row r="608" spans="1:11" ht="12.75" x14ac:dyDescent="0.2">
      <c r="A608" s="68">
        <f>'THE BOARD'!A361</f>
        <v>0</v>
      </c>
      <c r="B608" s="68">
        <f>'THE BOARD'!B361</f>
        <v>0</v>
      </c>
      <c r="C608" s="99" t="str">
        <f>IF('THE BOARD'!U367 = "NESTED","",IF('THE BOARD'!D361&lt;&gt;"",'THE BOARD'!D361+0.72,""))</f>
        <v/>
      </c>
      <c r="D608" s="99" t="str">
        <f>IF(C608&lt;&gt;"", IF('THE BOARD'!U367 = "NESTED","",'THE BOARD'!D361 + IF(C608&lt;&gt;"", 0.72,0)),"")</f>
        <v/>
      </c>
      <c r="E608" s="68">
        <f>'THE BOARD'!E361</f>
        <v>0</v>
      </c>
      <c r="F608" s="68">
        <f>'THE BOARD'!F361</f>
        <v>0</v>
      </c>
      <c r="G608" s="68">
        <f>'THE BOARD'!G361</f>
        <v>0</v>
      </c>
      <c r="H608" s="68">
        <f>'THE BOARD'!H361</f>
        <v>0</v>
      </c>
      <c r="I608" s="68">
        <f>'THE BOARD'!I361</f>
        <v>0</v>
      </c>
      <c r="J608" s="68">
        <f>'THE BOARD'!Q368</f>
        <v>0</v>
      </c>
      <c r="K608" s="99">
        <f>'THE BOARD'!U367</f>
        <v>0</v>
      </c>
    </row>
    <row r="609" spans="1:11" ht="12.75" x14ac:dyDescent="0.2">
      <c r="A609" s="68">
        <f>'THE BOARD'!A362</f>
        <v>0</v>
      </c>
      <c r="B609" s="68">
        <f>'THE BOARD'!B362</f>
        <v>0</v>
      </c>
      <c r="C609" s="99" t="str">
        <f>IF('THE BOARD'!U368 = "NESTED","",IF('THE BOARD'!D362&lt;&gt;"",'THE BOARD'!D362+0.72,""))</f>
        <v/>
      </c>
      <c r="D609" s="99" t="str">
        <f>IF(C609&lt;&gt;"", IF('THE BOARD'!U368 = "NESTED","",'THE BOARD'!D362 + IF(C609&lt;&gt;"", 0.72,0)),"")</f>
        <v/>
      </c>
      <c r="E609" s="68">
        <f>'THE BOARD'!E362</f>
        <v>0</v>
      </c>
      <c r="F609" s="68">
        <f>'THE BOARD'!F362</f>
        <v>0</v>
      </c>
      <c r="G609" s="68">
        <f>'THE BOARD'!G362</f>
        <v>0</v>
      </c>
      <c r="H609" s="68">
        <f>'THE BOARD'!H362</f>
        <v>0</v>
      </c>
      <c r="I609" s="68">
        <f>'THE BOARD'!I362</f>
        <v>0</v>
      </c>
      <c r="J609" s="68">
        <f>'THE BOARD'!Q369</f>
        <v>0</v>
      </c>
      <c r="K609" s="99">
        <f>'THE BOARD'!U368</f>
        <v>0</v>
      </c>
    </row>
    <row r="610" spans="1:11" ht="12.75" x14ac:dyDescent="0.2">
      <c r="A610" s="68">
        <f>'THE BOARD'!A363</f>
        <v>0</v>
      </c>
      <c r="B610" s="68">
        <f>'THE BOARD'!B363</f>
        <v>0</v>
      </c>
      <c r="C610" s="99" t="str">
        <f>IF('THE BOARD'!U369 = "NESTED","",IF('THE BOARD'!D363&lt;&gt;"",'THE BOARD'!D363+0.72,""))</f>
        <v/>
      </c>
      <c r="D610" s="99" t="str">
        <f>IF(C610&lt;&gt;"", IF('THE BOARD'!U369 = "NESTED","",'THE BOARD'!D363 + IF(C610&lt;&gt;"", 0.72,0)),"")</f>
        <v/>
      </c>
      <c r="E610" s="68">
        <f>'THE BOARD'!E363</f>
        <v>0</v>
      </c>
      <c r="F610" s="68">
        <f>'THE BOARD'!F363</f>
        <v>0</v>
      </c>
      <c r="G610" s="68">
        <f>'THE BOARD'!G363</f>
        <v>0</v>
      </c>
      <c r="H610" s="68">
        <f>'THE BOARD'!H363</f>
        <v>0</v>
      </c>
      <c r="I610" s="68">
        <f>'THE BOARD'!I363</f>
        <v>0</v>
      </c>
      <c r="J610" s="68">
        <f>'THE BOARD'!Q370</f>
        <v>0</v>
      </c>
      <c r="K610" s="99">
        <f>'THE BOARD'!U369</f>
        <v>0</v>
      </c>
    </row>
    <row r="611" spans="1:11" ht="12.75" x14ac:dyDescent="0.2">
      <c r="A611" s="68">
        <f>'THE BOARD'!A364</f>
        <v>0</v>
      </c>
      <c r="B611" s="68">
        <f>'THE BOARD'!B364</f>
        <v>0</v>
      </c>
      <c r="C611" s="99" t="str">
        <f>IF('THE BOARD'!U370 = "NESTED","",IF('THE BOARD'!D364&lt;&gt;"",'THE BOARD'!D364+0.72,""))</f>
        <v/>
      </c>
      <c r="D611" s="99" t="str">
        <f>IF(C611&lt;&gt;"", IF('THE BOARD'!U370 = "NESTED","",'THE BOARD'!D364 + IF(C611&lt;&gt;"", 0.72,0)),"")</f>
        <v/>
      </c>
      <c r="E611" s="68">
        <f>'THE BOARD'!E364</f>
        <v>0</v>
      </c>
      <c r="F611" s="68">
        <f>'THE BOARD'!F364</f>
        <v>0</v>
      </c>
      <c r="G611" s="68">
        <f>'THE BOARD'!G364</f>
        <v>0</v>
      </c>
      <c r="H611" s="68">
        <f>'THE BOARD'!H364</f>
        <v>0</v>
      </c>
      <c r="I611" s="68">
        <f>'THE BOARD'!I364</f>
        <v>0</v>
      </c>
      <c r="J611" s="68">
        <f>'THE BOARD'!Q371</f>
        <v>0</v>
      </c>
      <c r="K611" s="99">
        <f>'THE BOARD'!U370</f>
        <v>0</v>
      </c>
    </row>
    <row r="612" spans="1:11" ht="12.75" x14ac:dyDescent="0.2">
      <c r="A612" s="68">
        <f>'THE BOARD'!A365</f>
        <v>0</v>
      </c>
      <c r="B612" s="68">
        <f>'THE BOARD'!B365</f>
        <v>0</v>
      </c>
      <c r="C612" s="99" t="str">
        <f>IF('THE BOARD'!U371 = "NESTED","",IF('THE BOARD'!D365&lt;&gt;"",'THE BOARD'!D365+0.72,""))</f>
        <v/>
      </c>
      <c r="D612" s="99" t="str">
        <f>IF(C612&lt;&gt;"", IF('THE BOARD'!U371 = "NESTED","",'THE BOARD'!D365 + IF(C612&lt;&gt;"", 0.72,0)),"")</f>
        <v/>
      </c>
      <c r="E612" s="68">
        <f>'THE BOARD'!E365</f>
        <v>0</v>
      </c>
      <c r="F612" s="68">
        <f>'THE BOARD'!F365</f>
        <v>0</v>
      </c>
      <c r="G612" s="68">
        <f>'THE BOARD'!G365</f>
        <v>0</v>
      </c>
      <c r="H612" s="68">
        <f>'THE BOARD'!H365</f>
        <v>0</v>
      </c>
      <c r="I612" s="68">
        <f>'THE BOARD'!I365</f>
        <v>0</v>
      </c>
      <c r="J612" s="68">
        <f>'THE BOARD'!Q372</f>
        <v>0</v>
      </c>
      <c r="K612" s="99">
        <f>'THE BOARD'!U371</f>
        <v>0</v>
      </c>
    </row>
    <row r="613" spans="1:11" ht="12.75" x14ac:dyDescent="0.2">
      <c r="A613" s="68">
        <f>'THE BOARD'!A366</f>
        <v>0</v>
      </c>
      <c r="B613" s="68">
        <f>'THE BOARD'!B366</f>
        <v>0</v>
      </c>
      <c r="C613" s="99" t="str">
        <f>IF('THE BOARD'!U372 = "NESTED","",IF('THE BOARD'!D366&lt;&gt;"",'THE BOARD'!D366+0.72,""))</f>
        <v/>
      </c>
      <c r="D613" s="99" t="str">
        <f>IF(C613&lt;&gt;"", IF('THE BOARD'!U372 = "NESTED","",'THE BOARD'!D366 + IF(C613&lt;&gt;"", 0.72,0)),"")</f>
        <v/>
      </c>
      <c r="E613" s="68">
        <f>'THE BOARD'!E366</f>
        <v>0</v>
      </c>
      <c r="F613" s="68">
        <f>'THE BOARD'!F366</f>
        <v>0</v>
      </c>
      <c r="G613" s="68">
        <f>'THE BOARD'!G366</f>
        <v>0</v>
      </c>
      <c r="H613" s="68">
        <f>'THE BOARD'!H366</f>
        <v>0</v>
      </c>
      <c r="I613" s="68">
        <f>'THE BOARD'!I366</f>
        <v>0</v>
      </c>
      <c r="J613" s="68">
        <f>'THE BOARD'!Q373</f>
        <v>0</v>
      </c>
      <c r="K613" s="99">
        <f>'THE BOARD'!U372</f>
        <v>0</v>
      </c>
    </row>
    <row r="614" spans="1:11" ht="12.75" x14ac:dyDescent="0.2">
      <c r="A614" s="68">
        <f>'THE BOARD'!A367</f>
        <v>0</v>
      </c>
      <c r="B614" s="68">
        <f>'THE BOARD'!B367</f>
        <v>0</v>
      </c>
      <c r="C614" s="99" t="str">
        <f>IF('THE BOARD'!U373 = "NESTED","",IF('THE BOARD'!D367&lt;&gt;"",'THE BOARD'!D367+0.72,""))</f>
        <v/>
      </c>
      <c r="D614" s="99" t="str">
        <f>IF(C614&lt;&gt;"", IF('THE BOARD'!U373 = "NESTED","",'THE BOARD'!D367 + IF(C614&lt;&gt;"", 0.72,0)),"")</f>
        <v/>
      </c>
      <c r="E614" s="68">
        <f>'THE BOARD'!E367</f>
        <v>0</v>
      </c>
      <c r="F614" s="68">
        <f>'THE BOARD'!F367</f>
        <v>0</v>
      </c>
      <c r="G614" s="68">
        <f>'THE BOARD'!G367</f>
        <v>0</v>
      </c>
      <c r="H614" s="68">
        <f>'THE BOARD'!H367</f>
        <v>0</v>
      </c>
      <c r="I614" s="68">
        <f>'THE BOARD'!I367</f>
        <v>0</v>
      </c>
      <c r="J614" s="68">
        <f>'THE BOARD'!Q374</f>
        <v>0</v>
      </c>
      <c r="K614" s="99">
        <f>'THE BOARD'!U373</f>
        <v>0</v>
      </c>
    </row>
    <row r="615" spans="1:11" ht="12.75" x14ac:dyDescent="0.2">
      <c r="A615" s="68">
        <f>'THE BOARD'!A368</f>
        <v>0</v>
      </c>
      <c r="B615" s="68">
        <f>'THE BOARD'!B368</f>
        <v>0</v>
      </c>
      <c r="C615" s="99" t="str">
        <f>IF('THE BOARD'!U374 = "NESTED","",IF('THE BOARD'!D368&lt;&gt;"",'THE BOARD'!D368+0.72,""))</f>
        <v/>
      </c>
      <c r="D615" s="99" t="str">
        <f>IF(C615&lt;&gt;"", IF('THE BOARD'!U374 = "NESTED","",'THE BOARD'!D368 + IF(C615&lt;&gt;"", 0.72,0)),"")</f>
        <v/>
      </c>
      <c r="E615" s="68">
        <f>'THE BOARD'!E368</f>
        <v>0</v>
      </c>
      <c r="F615" s="68">
        <f>'THE BOARD'!F368</f>
        <v>0</v>
      </c>
      <c r="G615" s="68">
        <f>'THE BOARD'!G368</f>
        <v>0</v>
      </c>
      <c r="H615" s="68">
        <f>'THE BOARD'!H368</f>
        <v>0</v>
      </c>
      <c r="I615" s="68">
        <f>'THE BOARD'!I368</f>
        <v>0</v>
      </c>
      <c r="J615" s="68">
        <f>'THE BOARD'!Q375</f>
        <v>0</v>
      </c>
      <c r="K615" s="99">
        <f>'THE BOARD'!U374</f>
        <v>0</v>
      </c>
    </row>
    <row r="616" spans="1:11" ht="12.75" x14ac:dyDescent="0.2">
      <c r="A616" s="68">
        <f>'THE BOARD'!A369</f>
        <v>0</v>
      </c>
      <c r="B616" s="68">
        <f>'THE BOARD'!B369</f>
        <v>0</v>
      </c>
      <c r="C616" s="99" t="str">
        <f>IF('THE BOARD'!U375 = "NESTED","",IF('THE BOARD'!D369&lt;&gt;"",'THE BOARD'!D369+0.72,""))</f>
        <v/>
      </c>
      <c r="D616" s="99" t="str">
        <f>IF(C616&lt;&gt;"", IF('THE BOARD'!U375 = "NESTED","",'THE BOARD'!D369 + IF(C616&lt;&gt;"", 0.72,0)),"")</f>
        <v/>
      </c>
      <c r="E616" s="68">
        <f>'THE BOARD'!E369</f>
        <v>0</v>
      </c>
      <c r="F616" s="68">
        <f>'THE BOARD'!F369</f>
        <v>0</v>
      </c>
      <c r="G616" s="68">
        <f>'THE BOARD'!G369</f>
        <v>0</v>
      </c>
      <c r="H616" s="68">
        <f>'THE BOARD'!H369</f>
        <v>0</v>
      </c>
      <c r="I616" s="68">
        <f>'THE BOARD'!I369</f>
        <v>0</v>
      </c>
      <c r="J616" s="68">
        <f>'THE BOARD'!Q376</f>
        <v>0</v>
      </c>
      <c r="K616" s="99">
        <f>'THE BOARD'!U375</f>
        <v>0</v>
      </c>
    </row>
    <row r="617" spans="1:11" ht="12.75" x14ac:dyDescent="0.2">
      <c r="A617" s="68">
        <f>'THE BOARD'!A370</f>
        <v>0</v>
      </c>
      <c r="B617" s="68">
        <f>'THE BOARD'!B370</f>
        <v>0</v>
      </c>
      <c r="C617" s="99" t="str">
        <f>IF('THE BOARD'!U376 = "NESTED","",IF('THE BOARD'!D370&lt;&gt;"",'THE BOARD'!D370+0.72,""))</f>
        <v/>
      </c>
      <c r="D617" s="99" t="str">
        <f>IF(C617&lt;&gt;"", IF('THE BOARD'!U376 = "NESTED","",'THE BOARD'!D370 + IF(C617&lt;&gt;"", 0.72,0)),"")</f>
        <v/>
      </c>
      <c r="E617" s="68">
        <f>'THE BOARD'!E370</f>
        <v>0</v>
      </c>
      <c r="F617" s="68">
        <f>'THE BOARD'!F370</f>
        <v>0</v>
      </c>
      <c r="G617" s="68">
        <f>'THE BOARD'!G370</f>
        <v>0</v>
      </c>
      <c r="H617" s="68">
        <f>'THE BOARD'!H370</f>
        <v>0</v>
      </c>
      <c r="I617" s="68">
        <f>'THE BOARD'!I370</f>
        <v>0</v>
      </c>
      <c r="J617" s="68">
        <f>'THE BOARD'!Q377</f>
        <v>0</v>
      </c>
      <c r="K617" s="99">
        <f>'THE BOARD'!U376</f>
        <v>0</v>
      </c>
    </row>
    <row r="618" spans="1:11" ht="12.75" x14ac:dyDescent="0.2">
      <c r="A618" s="68">
        <f>'THE BOARD'!A371</f>
        <v>0</v>
      </c>
      <c r="B618" s="68">
        <f>'THE BOARD'!B371</f>
        <v>0</v>
      </c>
      <c r="C618" s="99" t="str">
        <f>IF('THE BOARD'!U377 = "NESTED","",IF('THE BOARD'!D371&lt;&gt;"",'THE BOARD'!D371+0.72,""))</f>
        <v/>
      </c>
      <c r="D618" s="99" t="str">
        <f>IF(C618&lt;&gt;"", IF('THE BOARD'!U377 = "NESTED","",'THE BOARD'!D371 + IF(C618&lt;&gt;"", 0.72,0)),"")</f>
        <v/>
      </c>
      <c r="E618" s="68">
        <f>'THE BOARD'!E371</f>
        <v>0</v>
      </c>
      <c r="F618" s="68">
        <f>'THE BOARD'!F371</f>
        <v>0</v>
      </c>
      <c r="G618" s="68">
        <f>'THE BOARD'!G371</f>
        <v>0</v>
      </c>
      <c r="H618" s="68">
        <f>'THE BOARD'!H371</f>
        <v>0</v>
      </c>
      <c r="I618" s="68">
        <f>'THE BOARD'!I371</f>
        <v>0</v>
      </c>
      <c r="J618" s="68">
        <f>'THE BOARD'!Q378</f>
        <v>0</v>
      </c>
      <c r="K618" s="99">
        <f>'THE BOARD'!U377</f>
        <v>0</v>
      </c>
    </row>
    <row r="619" spans="1:11" ht="12.75" x14ac:dyDescent="0.2">
      <c r="A619" s="68">
        <f>'THE BOARD'!A372</f>
        <v>0</v>
      </c>
      <c r="B619" s="68">
        <f>'THE BOARD'!B372</f>
        <v>0</v>
      </c>
      <c r="C619" s="99" t="str">
        <f>IF('THE BOARD'!U378 = "NESTED","",IF('THE BOARD'!D372&lt;&gt;"",'THE BOARD'!D372+0.72,""))</f>
        <v/>
      </c>
      <c r="D619" s="99" t="str">
        <f>IF(C619&lt;&gt;"", IF('THE BOARD'!U378 = "NESTED","",'THE BOARD'!D372 + IF(C619&lt;&gt;"", 0.72,0)),"")</f>
        <v/>
      </c>
      <c r="E619" s="68">
        <f>'THE BOARD'!E372</f>
        <v>0</v>
      </c>
      <c r="F619" s="68">
        <f>'THE BOARD'!F372</f>
        <v>0</v>
      </c>
      <c r="G619" s="68">
        <f>'THE BOARD'!G372</f>
        <v>0</v>
      </c>
      <c r="H619" s="68">
        <f>'THE BOARD'!H372</f>
        <v>0</v>
      </c>
      <c r="I619" s="68">
        <f>'THE BOARD'!I372</f>
        <v>0</v>
      </c>
      <c r="J619" s="68">
        <f>'THE BOARD'!Q379</f>
        <v>0</v>
      </c>
      <c r="K619" s="99">
        <f>'THE BOARD'!U378</f>
        <v>0</v>
      </c>
    </row>
    <row r="620" spans="1:11" ht="12.75" x14ac:dyDescent="0.2">
      <c r="A620" s="68">
        <f>'THE BOARD'!A373</f>
        <v>0</v>
      </c>
      <c r="B620" s="68">
        <f>'THE BOARD'!B373</f>
        <v>0</v>
      </c>
      <c r="C620" s="99" t="str">
        <f>IF('THE BOARD'!U379 = "NESTED","",IF('THE BOARD'!D373&lt;&gt;"",'THE BOARD'!D373+0.72,""))</f>
        <v/>
      </c>
      <c r="D620" s="99" t="str">
        <f>IF(C620&lt;&gt;"", IF('THE BOARD'!U379 = "NESTED","",'THE BOARD'!D373 + IF(C620&lt;&gt;"", 0.72,0)),"")</f>
        <v/>
      </c>
      <c r="E620" s="68">
        <f>'THE BOARD'!E373</f>
        <v>0</v>
      </c>
      <c r="F620" s="68">
        <f>'THE BOARD'!F373</f>
        <v>0</v>
      </c>
      <c r="G620" s="68">
        <f>'THE BOARD'!G373</f>
        <v>0</v>
      </c>
      <c r="H620" s="68">
        <f>'THE BOARD'!H373</f>
        <v>0</v>
      </c>
      <c r="I620" s="68">
        <f>'THE BOARD'!I373</f>
        <v>0</v>
      </c>
      <c r="J620" s="68">
        <f>'THE BOARD'!Q380</f>
        <v>0</v>
      </c>
      <c r="K620" s="99">
        <f>'THE BOARD'!U379</f>
        <v>0</v>
      </c>
    </row>
    <row r="621" spans="1:11" ht="12.75" x14ac:dyDescent="0.2">
      <c r="A621" s="68">
        <f>'THE BOARD'!A374</f>
        <v>0</v>
      </c>
      <c r="B621" s="68">
        <f>'THE BOARD'!B374</f>
        <v>0</v>
      </c>
      <c r="C621" s="99" t="str">
        <f>IF('THE BOARD'!U380 = "NESTED","",IF('THE BOARD'!D374&lt;&gt;"",'THE BOARD'!D374+0.72,""))</f>
        <v/>
      </c>
      <c r="D621" s="99" t="str">
        <f>IF(C621&lt;&gt;"", IF('THE BOARD'!U380 = "NESTED","",'THE BOARD'!D374 + IF(C621&lt;&gt;"", 0.72,0)),"")</f>
        <v/>
      </c>
      <c r="E621" s="68">
        <f>'THE BOARD'!E374</f>
        <v>0</v>
      </c>
      <c r="F621" s="68">
        <f>'THE BOARD'!F374</f>
        <v>0</v>
      </c>
      <c r="G621" s="68">
        <f>'THE BOARD'!G374</f>
        <v>0</v>
      </c>
      <c r="H621" s="68">
        <f>'THE BOARD'!H374</f>
        <v>0</v>
      </c>
      <c r="I621" s="68">
        <f>'THE BOARD'!I374</f>
        <v>0</v>
      </c>
      <c r="J621" s="68">
        <f>'THE BOARD'!Q381</f>
        <v>0</v>
      </c>
      <c r="K621" s="99">
        <f>'THE BOARD'!U380</f>
        <v>0</v>
      </c>
    </row>
    <row r="622" spans="1:11" ht="12.75" x14ac:dyDescent="0.2">
      <c r="A622" s="68">
        <f>'THE BOARD'!A375</f>
        <v>0</v>
      </c>
      <c r="B622" s="68">
        <f>'THE BOARD'!B375</f>
        <v>0</v>
      </c>
      <c r="C622" s="99" t="str">
        <f>IF('THE BOARD'!U381 = "NESTED","",IF('THE BOARD'!D375&lt;&gt;"",'THE BOARD'!D375+0.72,""))</f>
        <v/>
      </c>
      <c r="D622" s="99" t="str">
        <f>IF(C622&lt;&gt;"", IF('THE BOARD'!U381 = "NESTED","",'THE BOARD'!D375 + IF(C622&lt;&gt;"", 0.72,0)),"")</f>
        <v/>
      </c>
      <c r="E622" s="68">
        <f>'THE BOARD'!E375</f>
        <v>0</v>
      </c>
      <c r="F622" s="68">
        <f>'THE BOARD'!F375</f>
        <v>0</v>
      </c>
      <c r="G622" s="68">
        <f>'THE BOARD'!G375</f>
        <v>0</v>
      </c>
      <c r="H622" s="68">
        <f>'THE BOARD'!H375</f>
        <v>0</v>
      </c>
      <c r="I622" s="68">
        <f>'THE BOARD'!I375</f>
        <v>0</v>
      </c>
      <c r="J622" s="68">
        <f>'THE BOARD'!Q382</f>
        <v>0</v>
      </c>
      <c r="K622" s="99">
        <f>'THE BOARD'!U381</f>
        <v>0</v>
      </c>
    </row>
    <row r="623" spans="1:11" ht="12.75" x14ac:dyDescent="0.2">
      <c r="A623" s="68">
        <f>'THE BOARD'!A376</f>
        <v>0</v>
      </c>
      <c r="B623" s="68">
        <f>'THE BOARD'!B376</f>
        <v>0</v>
      </c>
      <c r="C623" s="99" t="str">
        <f>IF('THE BOARD'!U382 = "NESTED","",IF('THE BOARD'!D376&lt;&gt;"",'THE BOARD'!D376+0.72,""))</f>
        <v/>
      </c>
      <c r="D623" s="99" t="str">
        <f>IF(C623&lt;&gt;"", IF('THE BOARD'!U382 = "NESTED","",'THE BOARD'!D376 + IF(C623&lt;&gt;"", 0.72,0)),"")</f>
        <v/>
      </c>
      <c r="E623" s="68">
        <f>'THE BOARD'!E376</f>
        <v>0</v>
      </c>
      <c r="F623" s="68">
        <f>'THE BOARD'!F376</f>
        <v>0</v>
      </c>
      <c r="G623" s="68">
        <f>'THE BOARD'!G376</f>
        <v>0</v>
      </c>
      <c r="H623" s="68">
        <f>'THE BOARD'!H376</f>
        <v>0</v>
      </c>
      <c r="I623" s="68">
        <f>'THE BOARD'!I376</f>
        <v>0</v>
      </c>
      <c r="J623" s="68">
        <f>'THE BOARD'!Q383</f>
        <v>0</v>
      </c>
      <c r="K623" s="99">
        <f>'THE BOARD'!U382</f>
        <v>0</v>
      </c>
    </row>
    <row r="624" spans="1:11" ht="12.75" x14ac:dyDescent="0.2">
      <c r="A624" s="68">
        <f>'THE BOARD'!A377</f>
        <v>0</v>
      </c>
      <c r="B624" s="68">
        <f>'THE BOARD'!B377</f>
        <v>0</v>
      </c>
      <c r="C624" s="99" t="str">
        <f>IF('THE BOARD'!U383 = "NESTED","",IF('THE BOARD'!D377&lt;&gt;"",'THE BOARD'!D377+0.72,""))</f>
        <v/>
      </c>
      <c r="D624" s="99" t="str">
        <f>IF(C624&lt;&gt;"", IF('THE BOARD'!U383 = "NESTED","",'THE BOARD'!D377 + IF(C624&lt;&gt;"", 0.72,0)),"")</f>
        <v/>
      </c>
      <c r="E624" s="68">
        <f>'THE BOARD'!E377</f>
        <v>0</v>
      </c>
      <c r="F624" s="68">
        <f>'THE BOARD'!F377</f>
        <v>0</v>
      </c>
      <c r="G624" s="68">
        <f>'THE BOARD'!G377</f>
        <v>0</v>
      </c>
      <c r="H624" s="68">
        <f>'THE BOARD'!H377</f>
        <v>0</v>
      </c>
      <c r="I624" s="68">
        <f>'THE BOARD'!I377</f>
        <v>0</v>
      </c>
      <c r="J624" s="68">
        <f>'THE BOARD'!Q384</f>
        <v>0</v>
      </c>
      <c r="K624" s="99">
        <f>'THE BOARD'!U383</f>
        <v>0</v>
      </c>
    </row>
    <row r="625" spans="1:11" ht="12.75" x14ac:dyDescent="0.2">
      <c r="A625" s="68">
        <f>'THE BOARD'!A378</f>
        <v>0</v>
      </c>
      <c r="B625" s="68">
        <f>'THE BOARD'!B378</f>
        <v>0</v>
      </c>
      <c r="C625" s="99" t="str">
        <f>IF('THE BOARD'!U384 = "NESTED","",IF('THE BOARD'!D378&lt;&gt;"",'THE BOARD'!D378+0.72,""))</f>
        <v/>
      </c>
      <c r="D625" s="99" t="str">
        <f>IF(C625&lt;&gt;"", IF('THE BOARD'!U384 = "NESTED","",'THE BOARD'!D378 + IF(C625&lt;&gt;"", 0.72,0)),"")</f>
        <v/>
      </c>
      <c r="E625" s="68">
        <f>'THE BOARD'!E378</f>
        <v>0</v>
      </c>
      <c r="F625" s="68">
        <f>'THE BOARD'!F378</f>
        <v>0</v>
      </c>
      <c r="G625" s="68">
        <f>'THE BOARD'!G378</f>
        <v>0</v>
      </c>
      <c r="H625" s="68">
        <f>'THE BOARD'!H378</f>
        <v>0</v>
      </c>
      <c r="I625" s="68">
        <f>'THE BOARD'!I378</f>
        <v>0</v>
      </c>
      <c r="J625" s="68">
        <f>'THE BOARD'!Q385</f>
        <v>0</v>
      </c>
      <c r="K625" s="99">
        <f>'THE BOARD'!U384</f>
        <v>0</v>
      </c>
    </row>
    <row r="626" spans="1:11" ht="12.75" x14ac:dyDescent="0.2">
      <c r="A626" s="68">
        <f>'THE BOARD'!A379</f>
        <v>0</v>
      </c>
      <c r="B626" s="68">
        <f>'THE BOARD'!B379</f>
        <v>0</v>
      </c>
      <c r="C626" s="99" t="str">
        <f>IF('THE BOARD'!U385 = "NESTED","",IF('THE BOARD'!D379&lt;&gt;"",'THE BOARD'!D379+0.72,""))</f>
        <v/>
      </c>
      <c r="D626" s="99" t="str">
        <f>IF(C626&lt;&gt;"", IF('THE BOARD'!U385 = "NESTED","",'THE BOARD'!D379 + IF(C626&lt;&gt;"", 0.72,0)),"")</f>
        <v/>
      </c>
      <c r="E626" s="68">
        <f>'THE BOARD'!E379</f>
        <v>0</v>
      </c>
      <c r="F626" s="68">
        <f>'THE BOARD'!F379</f>
        <v>0</v>
      </c>
      <c r="G626" s="68">
        <f>'THE BOARD'!G379</f>
        <v>0</v>
      </c>
      <c r="H626" s="68">
        <f>'THE BOARD'!H379</f>
        <v>0</v>
      </c>
      <c r="I626" s="68">
        <f>'THE BOARD'!I379</f>
        <v>0</v>
      </c>
      <c r="J626" s="68">
        <f>'THE BOARD'!Q386</f>
        <v>0</v>
      </c>
      <c r="K626" s="99">
        <f>'THE BOARD'!U385</f>
        <v>0</v>
      </c>
    </row>
    <row r="627" spans="1:11" ht="12.75" x14ac:dyDescent="0.2">
      <c r="A627" s="68">
        <f>'THE BOARD'!A380</f>
        <v>0</v>
      </c>
      <c r="B627" s="68">
        <f>'THE BOARD'!B380</f>
        <v>0</v>
      </c>
      <c r="C627" s="99" t="str">
        <f>IF('THE BOARD'!U386 = "NESTED","",IF('THE BOARD'!D380&lt;&gt;"",'THE BOARD'!D380+0.72,""))</f>
        <v/>
      </c>
      <c r="D627" s="99" t="str">
        <f>IF(C627&lt;&gt;"", IF('THE BOARD'!U386 = "NESTED","",'THE BOARD'!D380 + IF(C627&lt;&gt;"", 0.72,0)),"")</f>
        <v/>
      </c>
      <c r="E627" s="68">
        <f>'THE BOARD'!E380</f>
        <v>0</v>
      </c>
      <c r="F627" s="68">
        <f>'THE BOARD'!F380</f>
        <v>0</v>
      </c>
      <c r="G627" s="68">
        <f>'THE BOARD'!G380</f>
        <v>0</v>
      </c>
      <c r="H627" s="68">
        <f>'THE BOARD'!H380</f>
        <v>0</v>
      </c>
      <c r="I627" s="68">
        <f>'THE BOARD'!I380</f>
        <v>0</v>
      </c>
      <c r="J627" s="68">
        <f>'THE BOARD'!Q387</f>
        <v>0</v>
      </c>
      <c r="K627" s="99">
        <f>'THE BOARD'!U386</f>
        <v>0</v>
      </c>
    </row>
    <row r="628" spans="1:11" ht="12.75" x14ac:dyDescent="0.2">
      <c r="A628" s="68">
        <f>'THE BOARD'!A381</f>
        <v>0</v>
      </c>
      <c r="B628" s="68">
        <f>'THE BOARD'!B381</f>
        <v>0</v>
      </c>
      <c r="C628" s="99" t="str">
        <f>IF('THE BOARD'!U387 = "NESTED","",IF('THE BOARD'!D381&lt;&gt;"",'THE BOARD'!D381+0.72,""))</f>
        <v/>
      </c>
      <c r="D628" s="99" t="str">
        <f>IF(C628&lt;&gt;"", IF('THE BOARD'!U387 = "NESTED","",'THE BOARD'!D381 + IF(C628&lt;&gt;"", 0.72,0)),"")</f>
        <v/>
      </c>
      <c r="E628" s="68">
        <f>'THE BOARD'!E381</f>
        <v>0</v>
      </c>
      <c r="F628" s="68">
        <f>'THE BOARD'!F381</f>
        <v>0</v>
      </c>
      <c r="G628" s="68">
        <f>'THE BOARD'!G381</f>
        <v>0</v>
      </c>
      <c r="H628" s="68">
        <f>'THE BOARD'!H381</f>
        <v>0</v>
      </c>
      <c r="I628" s="68">
        <f>'THE BOARD'!I381</f>
        <v>0</v>
      </c>
      <c r="J628" s="68">
        <f>'THE BOARD'!Q388</f>
        <v>0</v>
      </c>
      <c r="K628" s="99">
        <f>'THE BOARD'!U387</f>
        <v>0</v>
      </c>
    </row>
    <row r="629" spans="1:11" ht="12.75" x14ac:dyDescent="0.2">
      <c r="A629" s="68">
        <f>'THE BOARD'!A382</f>
        <v>0</v>
      </c>
      <c r="B629" s="68">
        <f>'THE BOARD'!B382</f>
        <v>0</v>
      </c>
      <c r="C629" s="99" t="str">
        <f>IF('THE BOARD'!U388 = "NESTED","",IF('THE BOARD'!D382&lt;&gt;"",'THE BOARD'!D382+0.72,""))</f>
        <v/>
      </c>
      <c r="D629" s="99" t="str">
        <f>IF(C629&lt;&gt;"", IF('THE BOARD'!U388 = "NESTED","",'THE BOARD'!D382 + IF(C629&lt;&gt;"", 0.72,0)),"")</f>
        <v/>
      </c>
      <c r="E629" s="68">
        <f>'THE BOARD'!E382</f>
        <v>0</v>
      </c>
      <c r="F629" s="68">
        <f>'THE BOARD'!F382</f>
        <v>0</v>
      </c>
      <c r="G629" s="68">
        <f>'THE BOARD'!G382</f>
        <v>0</v>
      </c>
      <c r="H629" s="68">
        <f>'THE BOARD'!H382</f>
        <v>0</v>
      </c>
      <c r="I629" s="68">
        <f>'THE BOARD'!I382</f>
        <v>0</v>
      </c>
      <c r="J629" s="68">
        <f>'THE BOARD'!Q389</f>
        <v>0</v>
      </c>
      <c r="K629" s="99">
        <f>'THE BOARD'!U388</f>
        <v>0</v>
      </c>
    </row>
    <row r="630" spans="1:11" ht="12.75" x14ac:dyDescent="0.2">
      <c r="A630" s="68">
        <f>'THE BOARD'!A383</f>
        <v>0</v>
      </c>
      <c r="B630" s="68">
        <f>'THE BOARD'!B383</f>
        <v>0</v>
      </c>
      <c r="C630" s="99" t="str">
        <f>IF('THE BOARD'!U389 = "NESTED","",IF('THE BOARD'!D383&lt;&gt;"",'THE BOARD'!D383+0.72,""))</f>
        <v/>
      </c>
      <c r="D630" s="99" t="str">
        <f>IF(C630&lt;&gt;"", IF('THE BOARD'!U389 = "NESTED","",'THE BOARD'!D383 + IF(C630&lt;&gt;"", 0.72,0)),"")</f>
        <v/>
      </c>
      <c r="E630" s="68">
        <f>'THE BOARD'!E383</f>
        <v>0</v>
      </c>
      <c r="F630" s="68">
        <f>'THE BOARD'!F383</f>
        <v>0</v>
      </c>
      <c r="G630" s="68">
        <f>'THE BOARD'!G383</f>
        <v>0</v>
      </c>
      <c r="H630" s="68">
        <f>'THE BOARD'!H383</f>
        <v>0</v>
      </c>
      <c r="I630" s="68">
        <f>'THE BOARD'!I383</f>
        <v>0</v>
      </c>
      <c r="J630" s="68">
        <f>'THE BOARD'!Q390</f>
        <v>0</v>
      </c>
      <c r="K630" s="99">
        <f>'THE BOARD'!U389</f>
        <v>0</v>
      </c>
    </row>
    <row r="631" spans="1:11" ht="12.75" x14ac:dyDescent="0.2">
      <c r="A631" s="68">
        <f>'THE BOARD'!A384</f>
        <v>0</v>
      </c>
      <c r="B631" s="68">
        <f>'THE BOARD'!B384</f>
        <v>0</v>
      </c>
      <c r="C631" s="99" t="str">
        <f>IF('THE BOARD'!U390 = "NESTED","",IF('THE BOARD'!D384&lt;&gt;"",'THE BOARD'!D384+0.72,""))</f>
        <v/>
      </c>
      <c r="D631" s="99" t="str">
        <f>IF(C631&lt;&gt;"", IF('THE BOARD'!U390 = "NESTED","",'THE BOARD'!D384 + IF(C631&lt;&gt;"", 0.72,0)),"")</f>
        <v/>
      </c>
      <c r="E631" s="68">
        <f>'THE BOARD'!E384</f>
        <v>0</v>
      </c>
      <c r="F631" s="68">
        <f>'THE BOARD'!F384</f>
        <v>0</v>
      </c>
      <c r="G631" s="68">
        <f>'THE BOARD'!G384</f>
        <v>0</v>
      </c>
      <c r="H631" s="68">
        <f>'THE BOARD'!H384</f>
        <v>0</v>
      </c>
      <c r="I631" s="68">
        <f>'THE BOARD'!I384</f>
        <v>0</v>
      </c>
      <c r="J631" s="68">
        <f>'THE BOARD'!Q391</f>
        <v>0</v>
      </c>
      <c r="K631" s="99">
        <f>'THE BOARD'!U390</f>
        <v>0</v>
      </c>
    </row>
    <row r="632" spans="1:11" ht="12.75" x14ac:dyDescent="0.2">
      <c r="A632" s="68">
        <f>'THE BOARD'!A385</f>
        <v>0</v>
      </c>
      <c r="B632" s="68">
        <f>'THE BOARD'!B385</f>
        <v>0</v>
      </c>
      <c r="C632" s="99" t="str">
        <f>IF('THE BOARD'!U391 = "NESTED","",IF('THE BOARD'!D385&lt;&gt;"",'THE BOARD'!D385+0.72,""))</f>
        <v/>
      </c>
      <c r="D632" s="99" t="str">
        <f>IF(C632&lt;&gt;"", IF('THE BOARD'!U391 = "NESTED","",'THE BOARD'!D385 + IF(C632&lt;&gt;"", 0.72,0)),"")</f>
        <v/>
      </c>
      <c r="E632" s="68">
        <f>'THE BOARD'!E385</f>
        <v>0</v>
      </c>
      <c r="F632" s="68">
        <f>'THE BOARD'!F385</f>
        <v>0</v>
      </c>
      <c r="G632" s="68">
        <f>'THE BOARD'!G385</f>
        <v>0</v>
      </c>
      <c r="H632" s="68">
        <f>'THE BOARD'!H385</f>
        <v>0</v>
      </c>
      <c r="I632" s="68">
        <f>'THE BOARD'!I385</f>
        <v>0</v>
      </c>
      <c r="J632" s="68">
        <f>'THE BOARD'!Q392</f>
        <v>0</v>
      </c>
      <c r="K632" s="99">
        <f>'THE BOARD'!U391</f>
        <v>0</v>
      </c>
    </row>
    <row r="633" spans="1:11" ht="12.75" x14ac:dyDescent="0.2">
      <c r="A633" s="68">
        <f>'THE BOARD'!A386</f>
        <v>0</v>
      </c>
      <c r="B633" s="68">
        <f>'THE BOARD'!B386</f>
        <v>0</v>
      </c>
      <c r="C633" s="99" t="str">
        <f>IF('THE BOARD'!U392 = "NESTED","",IF('THE BOARD'!D386&lt;&gt;"",'THE BOARD'!D386+0.72,""))</f>
        <v/>
      </c>
      <c r="D633" s="99" t="str">
        <f>IF(C633&lt;&gt;"", IF('THE BOARD'!U392 = "NESTED","",'THE BOARD'!D386 + IF(C633&lt;&gt;"", 0.72,0)),"")</f>
        <v/>
      </c>
      <c r="E633" s="68">
        <f>'THE BOARD'!E386</f>
        <v>0</v>
      </c>
      <c r="F633" s="68">
        <f>'THE BOARD'!F386</f>
        <v>0</v>
      </c>
      <c r="G633" s="68">
        <f>'THE BOARD'!G386</f>
        <v>0</v>
      </c>
      <c r="H633" s="68">
        <f>'THE BOARD'!H386</f>
        <v>0</v>
      </c>
      <c r="I633" s="68">
        <f>'THE BOARD'!I386</f>
        <v>0</v>
      </c>
      <c r="J633" s="68">
        <f>'THE BOARD'!Q393</f>
        <v>0</v>
      </c>
      <c r="K633" s="99">
        <f>'THE BOARD'!U392</f>
        <v>0</v>
      </c>
    </row>
    <row r="634" spans="1:11" ht="12.75" x14ac:dyDescent="0.2">
      <c r="A634" s="68">
        <f>'THE BOARD'!A387</f>
        <v>0</v>
      </c>
      <c r="B634" s="68">
        <f>'THE BOARD'!B387</f>
        <v>0</v>
      </c>
      <c r="C634" s="99" t="str">
        <f>IF('THE BOARD'!U393 = "NESTED","",IF('THE BOARD'!D387&lt;&gt;"",'THE BOARD'!D387+0.72,""))</f>
        <v/>
      </c>
      <c r="D634" s="99" t="str">
        <f>IF(C634&lt;&gt;"", IF('THE BOARD'!U393 = "NESTED","",'THE BOARD'!D387 + IF(C634&lt;&gt;"", 0.72,0)),"")</f>
        <v/>
      </c>
      <c r="E634" s="68">
        <f>'THE BOARD'!E387</f>
        <v>0</v>
      </c>
      <c r="F634" s="68">
        <f>'THE BOARD'!F387</f>
        <v>0</v>
      </c>
      <c r="G634" s="68">
        <f>'THE BOARD'!G387</f>
        <v>0</v>
      </c>
      <c r="H634" s="68">
        <f>'THE BOARD'!H387</f>
        <v>0</v>
      </c>
      <c r="I634" s="68">
        <f>'THE BOARD'!I387</f>
        <v>0</v>
      </c>
      <c r="J634" s="68">
        <f>'THE BOARD'!Q394</f>
        <v>0</v>
      </c>
      <c r="K634" s="99">
        <f>'THE BOARD'!U393</f>
        <v>0</v>
      </c>
    </row>
    <row r="635" spans="1:11" ht="12.75" x14ac:dyDescent="0.2">
      <c r="A635" s="68">
        <f>'THE BOARD'!A388</f>
        <v>0</v>
      </c>
      <c r="B635" s="68">
        <f>'THE BOARD'!B388</f>
        <v>0</v>
      </c>
      <c r="C635" s="99" t="str">
        <f>IF('THE BOARD'!U394 = "NESTED","",IF('THE BOARD'!D388&lt;&gt;"",'THE BOARD'!D388+0.72,""))</f>
        <v/>
      </c>
      <c r="D635" s="99" t="str">
        <f>IF(C635&lt;&gt;"", IF('THE BOARD'!U394 = "NESTED","",'THE BOARD'!D388 + IF(C635&lt;&gt;"", 0.72,0)),"")</f>
        <v/>
      </c>
      <c r="E635" s="68">
        <f>'THE BOARD'!E388</f>
        <v>0</v>
      </c>
      <c r="F635" s="68">
        <f>'THE BOARD'!F388</f>
        <v>0</v>
      </c>
      <c r="G635" s="68">
        <f>'THE BOARD'!G388</f>
        <v>0</v>
      </c>
      <c r="H635" s="68">
        <f>'THE BOARD'!H388</f>
        <v>0</v>
      </c>
      <c r="I635" s="68">
        <f>'THE BOARD'!I388</f>
        <v>0</v>
      </c>
      <c r="J635" s="68">
        <f>'THE BOARD'!Q395</f>
        <v>0</v>
      </c>
      <c r="K635" s="99">
        <f>'THE BOARD'!U394</f>
        <v>0</v>
      </c>
    </row>
    <row r="636" spans="1:11" ht="12.75" x14ac:dyDescent="0.2">
      <c r="A636" s="68">
        <f>'THE BOARD'!A389</f>
        <v>0</v>
      </c>
      <c r="B636" s="68">
        <f>'THE BOARD'!B389</f>
        <v>0</v>
      </c>
      <c r="C636" s="99" t="str">
        <f>IF('THE BOARD'!U395 = "NESTED","",IF('THE BOARD'!D389&lt;&gt;"",'THE BOARD'!D389+0.72,""))</f>
        <v/>
      </c>
      <c r="D636" s="99" t="str">
        <f>IF(C636&lt;&gt;"", IF('THE BOARD'!U395 = "NESTED","",'THE BOARD'!D389 + IF(C636&lt;&gt;"", 0.72,0)),"")</f>
        <v/>
      </c>
      <c r="E636" s="68">
        <f>'THE BOARD'!E389</f>
        <v>0</v>
      </c>
      <c r="F636" s="68">
        <f>'THE BOARD'!F389</f>
        <v>0</v>
      </c>
      <c r="G636" s="68">
        <f>'THE BOARD'!G389</f>
        <v>0</v>
      </c>
      <c r="H636" s="68">
        <f>'THE BOARD'!H389</f>
        <v>0</v>
      </c>
      <c r="I636" s="68">
        <f>'THE BOARD'!I389</f>
        <v>0</v>
      </c>
      <c r="J636" s="68">
        <f>'THE BOARD'!Q396</f>
        <v>0</v>
      </c>
      <c r="K636" s="99">
        <f>'THE BOARD'!U395</f>
        <v>0</v>
      </c>
    </row>
    <row r="637" spans="1:11" ht="12.75" x14ac:dyDescent="0.2">
      <c r="A637" s="68">
        <f>'THE BOARD'!A390</f>
        <v>0</v>
      </c>
      <c r="B637" s="68">
        <f>'THE BOARD'!B390</f>
        <v>0</v>
      </c>
      <c r="C637" s="99" t="str">
        <f>IF('THE BOARD'!U396 = "NESTED","",IF('THE BOARD'!D390&lt;&gt;"",'THE BOARD'!D390+0.72,""))</f>
        <v/>
      </c>
      <c r="D637" s="99" t="str">
        <f>IF(C637&lt;&gt;"", IF('THE BOARD'!U396 = "NESTED","",'THE BOARD'!D390 + IF(C637&lt;&gt;"", 0.72,0)),"")</f>
        <v/>
      </c>
      <c r="E637" s="68">
        <f>'THE BOARD'!E390</f>
        <v>0</v>
      </c>
      <c r="F637" s="68">
        <f>'THE BOARD'!F390</f>
        <v>0</v>
      </c>
      <c r="G637" s="68">
        <f>'THE BOARD'!G390</f>
        <v>0</v>
      </c>
      <c r="H637" s="68">
        <f>'THE BOARD'!H390</f>
        <v>0</v>
      </c>
      <c r="I637" s="68">
        <f>'THE BOARD'!I390</f>
        <v>0</v>
      </c>
      <c r="J637" s="68">
        <f>'THE BOARD'!Q397</f>
        <v>0</v>
      </c>
      <c r="K637" s="99">
        <f>'THE BOARD'!U396</f>
        <v>0</v>
      </c>
    </row>
    <row r="638" spans="1:11" ht="12.75" x14ac:dyDescent="0.2">
      <c r="A638" s="68">
        <f>'THE BOARD'!A391</f>
        <v>0</v>
      </c>
      <c r="B638" s="68">
        <f>'THE BOARD'!B391</f>
        <v>0</v>
      </c>
      <c r="C638" s="99" t="str">
        <f>IF('THE BOARD'!U397 = "NESTED","",IF('THE BOARD'!D391&lt;&gt;"",'THE BOARD'!D391+0.72,""))</f>
        <v/>
      </c>
      <c r="D638" s="99" t="str">
        <f>IF(C638&lt;&gt;"", IF('THE BOARD'!U397 = "NESTED","",'THE BOARD'!D391 + IF(C638&lt;&gt;"", 0.72,0)),"")</f>
        <v/>
      </c>
      <c r="E638" s="68">
        <f>'THE BOARD'!E391</f>
        <v>0</v>
      </c>
      <c r="F638" s="68">
        <f>'THE BOARD'!F391</f>
        <v>0</v>
      </c>
      <c r="G638" s="68">
        <f>'THE BOARD'!G391</f>
        <v>0</v>
      </c>
      <c r="H638" s="68">
        <f>'THE BOARD'!H391</f>
        <v>0</v>
      </c>
      <c r="I638" s="68">
        <f>'THE BOARD'!I391</f>
        <v>0</v>
      </c>
      <c r="J638" s="68">
        <f>'THE BOARD'!Q398</f>
        <v>0</v>
      </c>
      <c r="K638" s="99">
        <f>'THE BOARD'!U397</f>
        <v>0</v>
      </c>
    </row>
    <row r="639" spans="1:11" ht="12.75" x14ac:dyDescent="0.2">
      <c r="A639" s="68">
        <f>'THE BOARD'!A392</f>
        <v>0</v>
      </c>
      <c r="B639" s="68">
        <f>'THE BOARD'!B392</f>
        <v>0</v>
      </c>
      <c r="C639" s="99" t="str">
        <f>IF('THE BOARD'!U398 = "NESTED","",IF('THE BOARD'!D392&lt;&gt;"",'THE BOARD'!D392+0.72,""))</f>
        <v/>
      </c>
      <c r="D639" s="99" t="str">
        <f>IF(C639&lt;&gt;"", IF('THE BOARD'!U398 = "NESTED","",'THE BOARD'!D392 + IF(C639&lt;&gt;"", 0.72,0)),"")</f>
        <v/>
      </c>
      <c r="E639" s="68">
        <f>'THE BOARD'!E392</f>
        <v>0</v>
      </c>
      <c r="F639" s="68">
        <f>'THE BOARD'!F392</f>
        <v>0</v>
      </c>
      <c r="G639" s="68">
        <f>'THE BOARD'!G392</f>
        <v>0</v>
      </c>
      <c r="H639" s="68">
        <f>'THE BOARD'!H392</f>
        <v>0</v>
      </c>
      <c r="I639" s="68">
        <f>'THE BOARD'!I392</f>
        <v>0</v>
      </c>
      <c r="J639" s="68">
        <f>'THE BOARD'!Q399</f>
        <v>0</v>
      </c>
      <c r="K639" s="99">
        <f>'THE BOARD'!U398</f>
        <v>0</v>
      </c>
    </row>
    <row r="640" spans="1:11" ht="12.75" x14ac:dyDescent="0.2">
      <c r="A640" s="68">
        <f>'THE BOARD'!A393</f>
        <v>0</v>
      </c>
      <c r="B640" s="68">
        <f>'THE BOARD'!B393</f>
        <v>0</v>
      </c>
      <c r="C640" s="99" t="str">
        <f>IF('THE BOARD'!U399 = "NESTED","",IF('THE BOARD'!D393&lt;&gt;"",'THE BOARD'!D393+0.72,""))</f>
        <v/>
      </c>
      <c r="D640" s="99" t="str">
        <f>IF(C640&lt;&gt;"", IF('THE BOARD'!U399 = "NESTED","",'THE BOARD'!D393 + IF(C640&lt;&gt;"", 0.72,0)),"")</f>
        <v/>
      </c>
      <c r="E640" s="68">
        <f>'THE BOARD'!E393</f>
        <v>0</v>
      </c>
      <c r="F640" s="68">
        <f>'THE BOARD'!F393</f>
        <v>0</v>
      </c>
      <c r="G640" s="68">
        <f>'THE BOARD'!G393</f>
        <v>0</v>
      </c>
      <c r="H640" s="68">
        <f>'THE BOARD'!H393</f>
        <v>0</v>
      </c>
      <c r="I640" s="68">
        <f>'THE BOARD'!I393</f>
        <v>0</v>
      </c>
      <c r="J640" s="68">
        <f>'THE BOARD'!Q400</f>
        <v>0</v>
      </c>
      <c r="K640" s="99">
        <f>'THE BOARD'!U399</f>
        <v>0</v>
      </c>
    </row>
    <row r="641" spans="1:11" ht="12.75" x14ac:dyDescent="0.2">
      <c r="A641" s="68">
        <f>'THE BOARD'!A394</f>
        <v>0</v>
      </c>
      <c r="B641" s="68">
        <f>'THE BOARD'!B394</f>
        <v>0</v>
      </c>
      <c r="C641" s="99" t="str">
        <f>IF('THE BOARD'!U400 = "NESTED","",IF('THE BOARD'!D394&lt;&gt;"",'THE BOARD'!D394+0.72,""))</f>
        <v/>
      </c>
      <c r="D641" s="99" t="str">
        <f>IF(C641&lt;&gt;"", IF('THE BOARD'!U400 = "NESTED","",'THE BOARD'!D394 + IF(C641&lt;&gt;"", 0.72,0)),"")</f>
        <v/>
      </c>
      <c r="E641" s="68">
        <f>'THE BOARD'!E394</f>
        <v>0</v>
      </c>
      <c r="F641" s="68">
        <f>'THE BOARD'!F394</f>
        <v>0</v>
      </c>
      <c r="G641" s="68">
        <f>'THE BOARD'!G394</f>
        <v>0</v>
      </c>
      <c r="H641" s="68">
        <f>'THE BOARD'!H394</f>
        <v>0</v>
      </c>
      <c r="I641" s="68">
        <f>'THE BOARD'!I394</f>
        <v>0</v>
      </c>
      <c r="J641" s="68">
        <f>'THE BOARD'!Q401</f>
        <v>0</v>
      </c>
      <c r="K641" s="99">
        <f>'THE BOARD'!U400</f>
        <v>0</v>
      </c>
    </row>
    <row r="642" spans="1:11" ht="12.75" x14ac:dyDescent="0.2">
      <c r="A642" s="68">
        <f>'THE BOARD'!A395</f>
        <v>0</v>
      </c>
      <c r="B642" s="68">
        <f>'THE BOARD'!B395</f>
        <v>0</v>
      </c>
      <c r="C642" s="99" t="str">
        <f>IF('THE BOARD'!U401 = "NESTED","",IF('THE BOARD'!D395&lt;&gt;"",'THE BOARD'!D395+0.72,""))</f>
        <v/>
      </c>
      <c r="D642" s="99" t="str">
        <f>IF(C642&lt;&gt;"", IF('THE BOARD'!U401 = "NESTED","",'THE BOARD'!D395 + IF(C642&lt;&gt;"", 0.72,0)),"")</f>
        <v/>
      </c>
      <c r="E642" s="68">
        <f>'THE BOARD'!E395</f>
        <v>0</v>
      </c>
      <c r="F642" s="68">
        <f>'THE BOARD'!F395</f>
        <v>0</v>
      </c>
      <c r="G642" s="68">
        <f>'THE BOARD'!G395</f>
        <v>0</v>
      </c>
      <c r="H642" s="68">
        <f>'THE BOARD'!H395</f>
        <v>0</v>
      </c>
      <c r="I642" s="68">
        <f>'THE BOARD'!I395</f>
        <v>0</v>
      </c>
      <c r="J642" s="68">
        <f>'THE BOARD'!Q402</f>
        <v>0</v>
      </c>
      <c r="K642" s="99">
        <f>'THE BOARD'!U401</f>
        <v>0</v>
      </c>
    </row>
    <row r="643" spans="1:11" ht="12.75" x14ac:dyDescent="0.2">
      <c r="A643" s="68">
        <f>'THE BOARD'!A396</f>
        <v>0</v>
      </c>
      <c r="B643" s="68">
        <f>'THE BOARD'!B396</f>
        <v>0</v>
      </c>
      <c r="C643" s="99" t="str">
        <f>IF('THE BOARD'!U402 = "NESTED","",IF('THE BOARD'!D396&lt;&gt;"",'THE BOARD'!D396+0.72,""))</f>
        <v/>
      </c>
      <c r="D643" s="99" t="str">
        <f>IF(C643&lt;&gt;"", IF('THE BOARD'!U402 = "NESTED","",'THE BOARD'!D396 + IF(C643&lt;&gt;"", 0.72,0)),"")</f>
        <v/>
      </c>
      <c r="E643" s="68">
        <f>'THE BOARD'!E396</f>
        <v>0</v>
      </c>
      <c r="F643" s="68">
        <f>'THE BOARD'!F396</f>
        <v>0</v>
      </c>
      <c r="G643" s="68">
        <f>'THE BOARD'!G396</f>
        <v>0</v>
      </c>
      <c r="H643" s="68">
        <f>'THE BOARD'!H396</f>
        <v>0</v>
      </c>
      <c r="I643" s="68">
        <f>'THE BOARD'!I396</f>
        <v>0</v>
      </c>
      <c r="J643" s="68">
        <f>'THE BOARD'!Q403</f>
        <v>0</v>
      </c>
      <c r="K643" s="99">
        <f>'THE BOARD'!U402</f>
        <v>0</v>
      </c>
    </row>
    <row r="644" spans="1:11" ht="12.75" x14ac:dyDescent="0.2">
      <c r="A644" s="68">
        <f>'THE BOARD'!A397</f>
        <v>0</v>
      </c>
      <c r="B644" s="68">
        <f>'THE BOARD'!B397</f>
        <v>0</v>
      </c>
      <c r="C644" s="99" t="str">
        <f>IF('THE BOARD'!U403 = "NESTED","",IF('THE BOARD'!D397&lt;&gt;"",'THE BOARD'!D397+0.72,""))</f>
        <v/>
      </c>
      <c r="D644" s="99" t="str">
        <f>IF(C644&lt;&gt;"", IF('THE BOARD'!U403 = "NESTED","",'THE BOARD'!D397 + IF(C644&lt;&gt;"", 0.72,0)),"")</f>
        <v/>
      </c>
      <c r="E644" s="68">
        <f>'THE BOARD'!E397</f>
        <v>0</v>
      </c>
      <c r="F644" s="68">
        <f>'THE BOARD'!F397</f>
        <v>0</v>
      </c>
      <c r="G644" s="68">
        <f>'THE BOARD'!G397</f>
        <v>0</v>
      </c>
      <c r="H644" s="68">
        <f>'THE BOARD'!H397</f>
        <v>0</v>
      </c>
      <c r="I644" s="68">
        <f>'THE BOARD'!I397</f>
        <v>0</v>
      </c>
      <c r="J644" s="68">
        <f>'THE BOARD'!Q404</f>
        <v>0</v>
      </c>
      <c r="K644" s="99">
        <f>'THE BOARD'!U403</f>
        <v>0</v>
      </c>
    </row>
    <row r="645" spans="1:11" ht="12.75" x14ac:dyDescent="0.2">
      <c r="A645" s="68">
        <f>'THE BOARD'!A398</f>
        <v>0</v>
      </c>
      <c r="B645" s="68">
        <f>'THE BOARD'!B398</f>
        <v>0</v>
      </c>
      <c r="C645" s="99" t="str">
        <f>IF('THE BOARD'!U404 = "NESTED","",IF('THE BOARD'!D398&lt;&gt;"",'THE BOARD'!D398+0.72,""))</f>
        <v/>
      </c>
      <c r="D645" s="99" t="str">
        <f>IF(C645&lt;&gt;"", IF('THE BOARD'!U404 = "NESTED","",'THE BOARD'!D398 + IF(C645&lt;&gt;"", 0.72,0)),"")</f>
        <v/>
      </c>
      <c r="E645" s="68">
        <f>'THE BOARD'!E398</f>
        <v>0</v>
      </c>
      <c r="F645" s="68">
        <f>'THE BOARD'!F398</f>
        <v>0</v>
      </c>
      <c r="G645" s="68">
        <f>'THE BOARD'!G398</f>
        <v>0</v>
      </c>
      <c r="H645" s="68">
        <f>'THE BOARD'!H398</f>
        <v>0</v>
      </c>
      <c r="I645" s="68">
        <f>'THE BOARD'!I398</f>
        <v>0</v>
      </c>
      <c r="J645" s="68">
        <f>'THE BOARD'!Q405</f>
        <v>0</v>
      </c>
      <c r="K645" s="99">
        <f>'THE BOARD'!U404</f>
        <v>0</v>
      </c>
    </row>
    <row r="646" spans="1:11" ht="12.75" x14ac:dyDescent="0.2">
      <c r="A646" s="68">
        <f>'THE BOARD'!A399</f>
        <v>0</v>
      </c>
      <c r="B646" s="68">
        <f>'THE BOARD'!B399</f>
        <v>0</v>
      </c>
      <c r="C646" s="99" t="str">
        <f>IF('THE BOARD'!U405 = "NESTED","",IF('THE BOARD'!D399&lt;&gt;"",'THE BOARD'!D399+0.72,""))</f>
        <v/>
      </c>
      <c r="D646" s="99" t="str">
        <f>IF(C646&lt;&gt;"", IF('THE BOARD'!U405 = "NESTED","",'THE BOARD'!D399 + IF(C646&lt;&gt;"", 0.72,0)),"")</f>
        <v/>
      </c>
      <c r="E646" s="68">
        <f>'THE BOARD'!E399</f>
        <v>0</v>
      </c>
      <c r="F646" s="68">
        <f>'THE BOARD'!F399</f>
        <v>0</v>
      </c>
      <c r="G646" s="68">
        <f>'THE BOARD'!G399</f>
        <v>0</v>
      </c>
      <c r="H646" s="68">
        <f>'THE BOARD'!H399</f>
        <v>0</v>
      </c>
      <c r="I646" s="68">
        <f>'THE BOARD'!I399</f>
        <v>0</v>
      </c>
      <c r="J646" s="68">
        <f>'THE BOARD'!Q406</f>
        <v>0</v>
      </c>
      <c r="K646" s="99">
        <f>'THE BOARD'!U405</f>
        <v>0</v>
      </c>
    </row>
    <row r="647" spans="1:11" ht="12.75" x14ac:dyDescent="0.2">
      <c r="A647" s="68">
        <f>'THE BOARD'!A400</f>
        <v>0</v>
      </c>
      <c r="B647" s="68">
        <f>'THE BOARD'!B400</f>
        <v>0</v>
      </c>
      <c r="C647" s="99" t="str">
        <f>IF('THE BOARD'!U406 = "NESTED","",IF('THE BOARD'!D400&lt;&gt;"",'THE BOARD'!D400+0.72,""))</f>
        <v/>
      </c>
      <c r="D647" s="99" t="str">
        <f>IF(C647&lt;&gt;"", IF('THE BOARD'!U406 = "NESTED","",'THE BOARD'!D400 + IF(C647&lt;&gt;"", 0.72,0)),"")</f>
        <v/>
      </c>
      <c r="E647" s="68">
        <f>'THE BOARD'!E400</f>
        <v>0</v>
      </c>
      <c r="F647" s="68">
        <f>'THE BOARD'!F400</f>
        <v>0</v>
      </c>
      <c r="G647" s="68">
        <f>'THE BOARD'!G400</f>
        <v>0</v>
      </c>
      <c r="H647" s="68">
        <f>'THE BOARD'!H400</f>
        <v>0</v>
      </c>
      <c r="I647" s="68">
        <f>'THE BOARD'!I400</f>
        <v>0</v>
      </c>
      <c r="J647" s="68">
        <f>'THE BOARD'!Q407</f>
        <v>0</v>
      </c>
      <c r="K647" s="99">
        <f>'THE BOARD'!U406</f>
        <v>0</v>
      </c>
    </row>
    <row r="648" spans="1:11" ht="12.75" x14ac:dyDescent="0.2">
      <c r="A648" s="68">
        <f>'THE BOARD'!A401</f>
        <v>0</v>
      </c>
      <c r="B648" s="68">
        <f>'THE BOARD'!B401</f>
        <v>0</v>
      </c>
      <c r="C648" s="99" t="str">
        <f>IF('THE BOARD'!U407 = "NESTED","",IF('THE BOARD'!D401&lt;&gt;"",'THE BOARD'!D401+0.72,""))</f>
        <v/>
      </c>
      <c r="D648" s="99" t="str">
        <f>IF(C648&lt;&gt;"", IF('THE BOARD'!U407 = "NESTED","",'THE BOARD'!D401 + IF(C648&lt;&gt;"", 0.72,0)),"")</f>
        <v/>
      </c>
      <c r="E648" s="68">
        <f>'THE BOARD'!E401</f>
        <v>0</v>
      </c>
      <c r="F648" s="68">
        <f>'THE BOARD'!F401</f>
        <v>0</v>
      </c>
      <c r="G648" s="68">
        <f>'THE BOARD'!G401</f>
        <v>0</v>
      </c>
      <c r="H648" s="68">
        <f>'THE BOARD'!H401</f>
        <v>0</v>
      </c>
      <c r="I648" s="68">
        <f>'THE BOARD'!I401</f>
        <v>0</v>
      </c>
      <c r="J648" s="68">
        <f>'THE BOARD'!Q408</f>
        <v>0</v>
      </c>
      <c r="K648" s="99">
        <f>'THE BOARD'!U407</f>
        <v>0</v>
      </c>
    </row>
    <row r="649" spans="1:11" ht="12.75" x14ac:dyDescent="0.2">
      <c r="A649" s="68">
        <f>'THE BOARD'!A402</f>
        <v>0</v>
      </c>
      <c r="B649" s="68">
        <f>'THE BOARD'!B402</f>
        <v>0</v>
      </c>
      <c r="C649" s="99" t="str">
        <f>IF('THE BOARD'!U408 = "NESTED","",IF('THE BOARD'!D402&lt;&gt;"",'THE BOARD'!D402+0.72,""))</f>
        <v/>
      </c>
      <c r="D649" s="99" t="str">
        <f>IF(C649&lt;&gt;"", IF('THE BOARD'!U408 = "NESTED","",'THE BOARD'!D402 + IF(C649&lt;&gt;"", 0.72,0)),"")</f>
        <v/>
      </c>
      <c r="E649" s="68">
        <f>'THE BOARD'!E402</f>
        <v>0</v>
      </c>
      <c r="F649" s="68">
        <f>'THE BOARD'!F402</f>
        <v>0</v>
      </c>
      <c r="G649" s="68">
        <f>'THE BOARD'!G402</f>
        <v>0</v>
      </c>
      <c r="H649" s="68">
        <f>'THE BOARD'!H402</f>
        <v>0</v>
      </c>
      <c r="I649" s="68">
        <f>'THE BOARD'!I402</f>
        <v>0</v>
      </c>
      <c r="J649" s="68">
        <f>'THE BOARD'!Q409</f>
        <v>0</v>
      </c>
      <c r="K649" s="99">
        <f>'THE BOARD'!U408</f>
        <v>0</v>
      </c>
    </row>
    <row r="650" spans="1:11" ht="12.75" x14ac:dyDescent="0.2">
      <c r="A650" s="68">
        <f>'THE BOARD'!A403</f>
        <v>0</v>
      </c>
      <c r="B650" s="68">
        <f>'THE BOARD'!B403</f>
        <v>0</v>
      </c>
      <c r="C650" s="99" t="str">
        <f>IF('THE BOARD'!U409 = "NESTED","",IF('THE BOARD'!D403&lt;&gt;"",'THE BOARD'!D403+0.72,""))</f>
        <v/>
      </c>
      <c r="D650" s="99" t="str">
        <f>IF(C650&lt;&gt;"", IF('THE BOARD'!U409 = "NESTED","",'THE BOARD'!D403 + IF(C650&lt;&gt;"", 0.72,0)),"")</f>
        <v/>
      </c>
      <c r="E650" s="68">
        <f>'THE BOARD'!E403</f>
        <v>0</v>
      </c>
      <c r="F650" s="68">
        <f>'THE BOARD'!F403</f>
        <v>0</v>
      </c>
      <c r="G650" s="68">
        <f>'THE BOARD'!G403</f>
        <v>0</v>
      </c>
      <c r="H650" s="68">
        <f>'THE BOARD'!H403</f>
        <v>0</v>
      </c>
      <c r="I650" s="68">
        <f>'THE BOARD'!I403</f>
        <v>0</v>
      </c>
      <c r="J650" s="68">
        <f>'THE BOARD'!Q410</f>
        <v>0</v>
      </c>
      <c r="K650" s="99">
        <f>'THE BOARD'!U409</f>
        <v>0</v>
      </c>
    </row>
    <row r="651" spans="1:11" ht="12.75" x14ac:dyDescent="0.2">
      <c r="A651" s="68">
        <f>'THE BOARD'!A404</f>
        <v>0</v>
      </c>
      <c r="B651" s="68">
        <f>'THE BOARD'!B404</f>
        <v>0</v>
      </c>
      <c r="C651" s="99" t="str">
        <f>IF('THE BOARD'!U410 = "NESTED","",IF('THE BOARD'!D404&lt;&gt;"",'THE BOARD'!D404+0.72,""))</f>
        <v/>
      </c>
      <c r="D651" s="99" t="str">
        <f>IF(C651&lt;&gt;"", IF('THE BOARD'!U410 = "NESTED","",'THE BOARD'!D404 + IF(C651&lt;&gt;"", 0.72,0)),"")</f>
        <v/>
      </c>
      <c r="E651" s="68">
        <f>'THE BOARD'!E404</f>
        <v>0</v>
      </c>
      <c r="F651" s="68">
        <f>'THE BOARD'!F404</f>
        <v>0</v>
      </c>
      <c r="G651" s="68">
        <f>'THE BOARD'!G404</f>
        <v>0</v>
      </c>
      <c r="H651" s="68">
        <f>'THE BOARD'!H404</f>
        <v>0</v>
      </c>
      <c r="I651" s="68">
        <f>'THE BOARD'!I404</f>
        <v>0</v>
      </c>
      <c r="J651" s="68">
        <f>'THE BOARD'!Q411</f>
        <v>0</v>
      </c>
      <c r="K651" s="99">
        <f>'THE BOARD'!U410</f>
        <v>0</v>
      </c>
    </row>
    <row r="652" spans="1:11" ht="12.75" x14ac:dyDescent="0.2">
      <c r="A652" s="68">
        <f>'THE BOARD'!A405</f>
        <v>0</v>
      </c>
      <c r="B652" s="68">
        <f>'THE BOARD'!B405</f>
        <v>0</v>
      </c>
      <c r="C652" s="99" t="str">
        <f>IF('THE BOARD'!U411 = "NESTED","",IF('THE BOARD'!D405&lt;&gt;"",'THE BOARD'!D405+0.72,""))</f>
        <v/>
      </c>
      <c r="D652" s="99" t="str">
        <f>IF(C652&lt;&gt;"", IF('THE BOARD'!U411 = "NESTED","",'THE BOARD'!D405 + IF(C652&lt;&gt;"", 0.72,0)),"")</f>
        <v/>
      </c>
      <c r="E652" s="68">
        <f>'THE BOARD'!E405</f>
        <v>0</v>
      </c>
      <c r="F652" s="68">
        <f>'THE BOARD'!F405</f>
        <v>0</v>
      </c>
      <c r="G652" s="68">
        <f>'THE BOARD'!G405</f>
        <v>0</v>
      </c>
      <c r="H652" s="68">
        <f>'THE BOARD'!H405</f>
        <v>0</v>
      </c>
      <c r="I652" s="68">
        <f>'THE BOARD'!I405</f>
        <v>0</v>
      </c>
      <c r="J652" s="68">
        <f>'THE BOARD'!Q412</f>
        <v>0</v>
      </c>
      <c r="K652" s="99">
        <f>'THE BOARD'!U411</f>
        <v>0</v>
      </c>
    </row>
    <row r="653" spans="1:11" ht="12.75" x14ac:dyDescent="0.2">
      <c r="A653" s="68">
        <f>'THE BOARD'!A406</f>
        <v>0</v>
      </c>
      <c r="B653" s="68">
        <f>'THE BOARD'!B406</f>
        <v>0</v>
      </c>
      <c r="C653" s="99" t="str">
        <f>IF('THE BOARD'!U412 = "NESTED","",IF('THE BOARD'!D406&lt;&gt;"",'THE BOARD'!D406+0.72,""))</f>
        <v/>
      </c>
      <c r="D653" s="99" t="str">
        <f>IF(C653&lt;&gt;"", IF('THE BOARD'!U412 = "NESTED","",'THE BOARD'!D406 + IF(C653&lt;&gt;"", 0.72,0)),"")</f>
        <v/>
      </c>
      <c r="E653" s="68">
        <f>'THE BOARD'!E406</f>
        <v>0</v>
      </c>
      <c r="F653" s="68">
        <f>'THE BOARD'!F406</f>
        <v>0</v>
      </c>
      <c r="G653" s="68">
        <f>'THE BOARD'!G406</f>
        <v>0</v>
      </c>
      <c r="H653" s="68">
        <f>'THE BOARD'!H406</f>
        <v>0</v>
      </c>
      <c r="I653" s="68">
        <f>'THE BOARD'!I406</f>
        <v>0</v>
      </c>
      <c r="J653" s="68">
        <f>'THE BOARD'!Q413</f>
        <v>0</v>
      </c>
      <c r="K653" s="99">
        <f>'THE BOARD'!U412</f>
        <v>0</v>
      </c>
    </row>
    <row r="654" spans="1:11" ht="12.75" x14ac:dyDescent="0.2">
      <c r="A654" s="68">
        <f>'THE BOARD'!A407</f>
        <v>0</v>
      </c>
      <c r="B654" s="68">
        <f>'THE BOARD'!B407</f>
        <v>0</v>
      </c>
      <c r="C654" s="99" t="str">
        <f>IF('THE BOARD'!U413 = "NESTED","",IF('THE BOARD'!D407&lt;&gt;"",'THE BOARD'!D407+0.72,""))</f>
        <v/>
      </c>
      <c r="D654" s="99" t="str">
        <f>IF(C654&lt;&gt;"", IF('THE BOARD'!U413 = "NESTED","",'THE BOARD'!D407 + IF(C654&lt;&gt;"", 0.72,0)),"")</f>
        <v/>
      </c>
      <c r="E654" s="68">
        <f>'THE BOARD'!E407</f>
        <v>0</v>
      </c>
      <c r="F654" s="68">
        <f>'THE BOARD'!F407</f>
        <v>0</v>
      </c>
      <c r="G654" s="68">
        <f>'THE BOARD'!G407</f>
        <v>0</v>
      </c>
      <c r="H654" s="68">
        <f>'THE BOARD'!H407</f>
        <v>0</v>
      </c>
      <c r="I654" s="68">
        <f>'THE BOARD'!I407</f>
        <v>0</v>
      </c>
      <c r="J654" s="68">
        <f>'THE BOARD'!Q414</f>
        <v>0</v>
      </c>
      <c r="K654" s="99">
        <f>'THE BOARD'!U413</f>
        <v>0</v>
      </c>
    </row>
    <row r="655" spans="1:11" ht="12.75" x14ac:dyDescent="0.2">
      <c r="A655" s="68">
        <f>'THE BOARD'!A408</f>
        <v>0</v>
      </c>
      <c r="B655" s="68">
        <f>'THE BOARD'!B408</f>
        <v>0</v>
      </c>
      <c r="C655" s="99" t="str">
        <f>IF('THE BOARD'!U414 = "NESTED","",IF('THE BOARD'!D408&lt;&gt;"",'THE BOARD'!D408+0.72,""))</f>
        <v/>
      </c>
      <c r="D655" s="99" t="str">
        <f>IF(C655&lt;&gt;"", IF('THE BOARD'!U414 = "NESTED","",'THE BOARD'!D408 + IF(C655&lt;&gt;"", 0.72,0)),"")</f>
        <v/>
      </c>
      <c r="E655" s="68">
        <f>'THE BOARD'!E408</f>
        <v>0</v>
      </c>
      <c r="F655" s="68">
        <f>'THE BOARD'!F408</f>
        <v>0</v>
      </c>
      <c r="G655" s="68">
        <f>'THE BOARD'!G408</f>
        <v>0</v>
      </c>
      <c r="H655" s="68">
        <f>'THE BOARD'!H408</f>
        <v>0</v>
      </c>
      <c r="I655" s="68">
        <f>'THE BOARD'!I408</f>
        <v>0</v>
      </c>
      <c r="J655" s="68">
        <f>'THE BOARD'!Q415</f>
        <v>0</v>
      </c>
      <c r="K655" s="99">
        <f>'THE BOARD'!U414</f>
        <v>0</v>
      </c>
    </row>
    <row r="656" spans="1:11" ht="12.75" x14ac:dyDescent="0.2">
      <c r="A656" s="68">
        <f>'THE BOARD'!A409</f>
        <v>0</v>
      </c>
      <c r="B656" s="68">
        <f>'THE BOARD'!B409</f>
        <v>0</v>
      </c>
      <c r="C656" s="99" t="str">
        <f>IF('THE BOARD'!U415 = "NESTED","",IF('THE BOARD'!D409&lt;&gt;"",'THE BOARD'!D409+0.72,""))</f>
        <v/>
      </c>
      <c r="D656" s="99" t="str">
        <f>IF(C656&lt;&gt;"", IF('THE BOARD'!U415 = "NESTED","",'THE BOARD'!D409 + IF(C656&lt;&gt;"", 0.72,0)),"")</f>
        <v/>
      </c>
      <c r="E656" s="68">
        <f>'THE BOARD'!E409</f>
        <v>0</v>
      </c>
      <c r="F656" s="68">
        <f>'THE BOARD'!F409</f>
        <v>0</v>
      </c>
      <c r="G656" s="68">
        <f>'THE BOARD'!G409</f>
        <v>0</v>
      </c>
      <c r="H656" s="68">
        <f>'THE BOARD'!H409</f>
        <v>0</v>
      </c>
      <c r="I656" s="68">
        <f>'THE BOARD'!I409</f>
        <v>0</v>
      </c>
      <c r="J656" s="68">
        <f>'THE BOARD'!Q416</f>
        <v>0</v>
      </c>
      <c r="K656" s="99">
        <f>'THE BOARD'!U415</f>
        <v>0</v>
      </c>
    </row>
    <row r="657" spans="1:11" ht="12.75" x14ac:dyDescent="0.2">
      <c r="A657" s="68">
        <f>'THE BOARD'!A410</f>
        <v>0</v>
      </c>
      <c r="B657" s="68">
        <f>'THE BOARD'!B410</f>
        <v>0</v>
      </c>
      <c r="C657" s="99" t="str">
        <f>IF('THE BOARD'!U416 = "NESTED","",IF('THE BOARD'!D410&lt;&gt;"",'THE BOARD'!D410+0.72,""))</f>
        <v/>
      </c>
      <c r="D657" s="99" t="str">
        <f>IF(C657&lt;&gt;"", IF('THE BOARD'!U416 = "NESTED","",'THE BOARD'!D410 + IF(C657&lt;&gt;"", 0.72,0)),"")</f>
        <v/>
      </c>
      <c r="E657" s="68">
        <f>'THE BOARD'!E410</f>
        <v>0</v>
      </c>
      <c r="F657" s="68">
        <f>'THE BOARD'!F410</f>
        <v>0</v>
      </c>
      <c r="G657" s="68">
        <f>'THE BOARD'!G410</f>
        <v>0</v>
      </c>
      <c r="H657" s="68">
        <f>'THE BOARD'!H410</f>
        <v>0</v>
      </c>
      <c r="I657" s="68">
        <f>'THE BOARD'!I410</f>
        <v>0</v>
      </c>
      <c r="J657" s="68">
        <f>'THE BOARD'!Q417</f>
        <v>0</v>
      </c>
      <c r="K657" s="99">
        <f>'THE BOARD'!U416</f>
        <v>0</v>
      </c>
    </row>
    <row r="658" spans="1:11" ht="12.75" x14ac:dyDescent="0.2">
      <c r="A658" s="68">
        <f>'THE BOARD'!A411</f>
        <v>0</v>
      </c>
      <c r="B658" s="68">
        <f>'THE BOARD'!B411</f>
        <v>0</v>
      </c>
      <c r="C658" s="99" t="str">
        <f>IF('THE BOARD'!U417 = "NESTED","",IF('THE BOARD'!D411&lt;&gt;"",'THE BOARD'!D411+0.72,""))</f>
        <v/>
      </c>
      <c r="D658" s="99" t="str">
        <f>IF(C658&lt;&gt;"", IF('THE BOARD'!U417 = "NESTED","",'THE BOARD'!D411 + IF(C658&lt;&gt;"", 0.72,0)),"")</f>
        <v/>
      </c>
      <c r="E658" s="68">
        <f>'THE BOARD'!E411</f>
        <v>0</v>
      </c>
      <c r="F658" s="68">
        <f>'THE BOARD'!F411</f>
        <v>0</v>
      </c>
      <c r="G658" s="68">
        <f>'THE BOARD'!G411</f>
        <v>0</v>
      </c>
      <c r="H658" s="68">
        <f>'THE BOARD'!H411</f>
        <v>0</v>
      </c>
      <c r="I658" s="68">
        <f>'THE BOARD'!I411</f>
        <v>0</v>
      </c>
      <c r="J658" s="68">
        <f>'THE BOARD'!Q418</f>
        <v>0</v>
      </c>
      <c r="K658" s="99">
        <f>'THE BOARD'!U417</f>
        <v>0</v>
      </c>
    </row>
    <row r="659" spans="1:11" ht="12.75" x14ac:dyDescent="0.2">
      <c r="A659" s="68">
        <f>'THE BOARD'!A412</f>
        <v>0</v>
      </c>
      <c r="B659" s="68">
        <f>'THE BOARD'!B412</f>
        <v>0</v>
      </c>
      <c r="C659" s="99" t="str">
        <f>IF('THE BOARD'!U418 = "NESTED","",IF('THE BOARD'!D412&lt;&gt;"",'THE BOARD'!D412+0.72,""))</f>
        <v/>
      </c>
      <c r="D659" s="99" t="str">
        <f>IF(C659&lt;&gt;"", IF('THE BOARD'!U418 = "NESTED","",'THE BOARD'!D412 + IF(C659&lt;&gt;"", 0.72,0)),"")</f>
        <v/>
      </c>
      <c r="E659" s="68">
        <f>'THE BOARD'!E412</f>
        <v>0</v>
      </c>
      <c r="F659" s="68">
        <f>'THE BOARD'!F412</f>
        <v>0</v>
      </c>
      <c r="G659" s="68">
        <f>'THE BOARD'!G412</f>
        <v>0</v>
      </c>
      <c r="H659" s="68">
        <f>'THE BOARD'!H412</f>
        <v>0</v>
      </c>
      <c r="I659" s="68">
        <f>'THE BOARD'!I412</f>
        <v>0</v>
      </c>
      <c r="J659" s="68">
        <f>'THE BOARD'!Q419</f>
        <v>0</v>
      </c>
      <c r="K659" s="99">
        <f>'THE BOARD'!U418</f>
        <v>0</v>
      </c>
    </row>
    <row r="660" spans="1:11" ht="12.75" x14ac:dyDescent="0.2">
      <c r="A660" s="68">
        <f>'THE BOARD'!A413</f>
        <v>0</v>
      </c>
      <c r="B660" s="68">
        <f>'THE BOARD'!B413</f>
        <v>0</v>
      </c>
      <c r="C660" s="99" t="str">
        <f>IF('THE BOARD'!U419 = "NESTED","",IF('THE BOARD'!D413&lt;&gt;"",'THE BOARD'!D413+0.72,""))</f>
        <v/>
      </c>
      <c r="D660" s="99" t="str">
        <f>IF(C660&lt;&gt;"", IF('THE BOARD'!U419 = "NESTED","",'THE BOARD'!D413 + IF(C660&lt;&gt;"", 0.72,0)),"")</f>
        <v/>
      </c>
      <c r="E660" s="68">
        <f>'THE BOARD'!E413</f>
        <v>0</v>
      </c>
      <c r="F660" s="68">
        <f>'THE BOARD'!F413</f>
        <v>0</v>
      </c>
      <c r="G660" s="68">
        <f>'THE BOARD'!G413</f>
        <v>0</v>
      </c>
      <c r="H660" s="68">
        <f>'THE BOARD'!H413</f>
        <v>0</v>
      </c>
      <c r="I660" s="68">
        <f>'THE BOARD'!I413</f>
        <v>0</v>
      </c>
      <c r="J660" s="68">
        <f>'THE BOARD'!Q420</f>
        <v>0</v>
      </c>
      <c r="K660" s="99">
        <f>'THE BOARD'!U419</f>
        <v>0</v>
      </c>
    </row>
    <row r="661" spans="1:11" ht="12.75" x14ac:dyDescent="0.2">
      <c r="A661" s="68">
        <f>'THE BOARD'!A414</f>
        <v>0</v>
      </c>
      <c r="B661" s="68">
        <f>'THE BOARD'!B414</f>
        <v>0</v>
      </c>
      <c r="C661" s="99" t="str">
        <f>IF('THE BOARD'!U420 = "NESTED","",IF('THE BOARD'!D414&lt;&gt;"",'THE BOARD'!D414+0.72,""))</f>
        <v/>
      </c>
      <c r="D661" s="99" t="str">
        <f>IF(C661&lt;&gt;"", IF('THE BOARD'!U420 = "NESTED","",'THE BOARD'!D414 + IF(C661&lt;&gt;"", 0.72,0)),"")</f>
        <v/>
      </c>
      <c r="E661" s="68">
        <f>'THE BOARD'!E414</f>
        <v>0</v>
      </c>
      <c r="F661" s="68">
        <f>'THE BOARD'!F414</f>
        <v>0</v>
      </c>
      <c r="G661" s="68">
        <f>'THE BOARD'!G414</f>
        <v>0</v>
      </c>
      <c r="H661" s="68">
        <f>'THE BOARD'!H414</f>
        <v>0</v>
      </c>
      <c r="I661" s="68">
        <f>'THE BOARD'!I414</f>
        <v>0</v>
      </c>
      <c r="J661" s="68">
        <f>'THE BOARD'!Q421</f>
        <v>0</v>
      </c>
      <c r="K661" s="99">
        <f>'THE BOARD'!U420</f>
        <v>0</v>
      </c>
    </row>
    <row r="662" spans="1:11" ht="12.75" x14ac:dyDescent="0.2">
      <c r="A662" s="68">
        <f>'THE BOARD'!A415</f>
        <v>0</v>
      </c>
      <c r="B662" s="68">
        <f>'THE BOARD'!B415</f>
        <v>0</v>
      </c>
      <c r="C662" s="99" t="str">
        <f>IF('THE BOARD'!U421 = "NESTED","",IF('THE BOARD'!D415&lt;&gt;"",'THE BOARD'!D415+0.72,""))</f>
        <v/>
      </c>
      <c r="D662" s="99" t="str">
        <f>IF(C662&lt;&gt;"", IF('THE BOARD'!U421 = "NESTED","",'THE BOARD'!D415 + IF(C662&lt;&gt;"", 0.72,0)),"")</f>
        <v/>
      </c>
      <c r="E662" s="68">
        <f>'THE BOARD'!E415</f>
        <v>0</v>
      </c>
      <c r="F662" s="68">
        <f>'THE BOARD'!F415</f>
        <v>0</v>
      </c>
      <c r="G662" s="68">
        <f>'THE BOARD'!G415</f>
        <v>0</v>
      </c>
      <c r="H662" s="68">
        <f>'THE BOARD'!H415</f>
        <v>0</v>
      </c>
      <c r="I662" s="68">
        <f>'THE BOARD'!I415</f>
        <v>0</v>
      </c>
      <c r="J662" s="68">
        <f>'THE BOARD'!Q422</f>
        <v>0</v>
      </c>
      <c r="K662" s="99">
        <f>'THE BOARD'!U421</f>
        <v>0</v>
      </c>
    </row>
    <row r="663" spans="1:11" ht="12.75" x14ac:dyDescent="0.2">
      <c r="A663" s="68">
        <f>'THE BOARD'!A416</f>
        <v>0</v>
      </c>
      <c r="B663" s="68">
        <f>'THE BOARD'!B416</f>
        <v>0</v>
      </c>
      <c r="C663" s="99" t="str">
        <f>IF('THE BOARD'!U422 = "NESTED","",IF('THE BOARD'!D416&lt;&gt;"",'THE BOARD'!D416+0.72,""))</f>
        <v/>
      </c>
      <c r="D663" s="99" t="str">
        <f>IF(C663&lt;&gt;"", IF('THE BOARD'!U422 = "NESTED","",'THE BOARD'!D416 + IF(C663&lt;&gt;"", 0.72,0)),"")</f>
        <v/>
      </c>
      <c r="E663" s="68">
        <f>'THE BOARD'!E416</f>
        <v>0</v>
      </c>
      <c r="F663" s="68">
        <f>'THE BOARD'!F416</f>
        <v>0</v>
      </c>
      <c r="G663" s="68">
        <f>'THE BOARD'!G416</f>
        <v>0</v>
      </c>
      <c r="H663" s="68">
        <f>'THE BOARD'!H416</f>
        <v>0</v>
      </c>
      <c r="I663" s="68">
        <f>'THE BOARD'!I416</f>
        <v>0</v>
      </c>
      <c r="J663" s="68">
        <f>'THE BOARD'!Q423</f>
        <v>0</v>
      </c>
      <c r="K663" s="99">
        <f>'THE BOARD'!U422</f>
        <v>0</v>
      </c>
    </row>
    <row r="664" spans="1:11" ht="12.75" x14ac:dyDescent="0.2">
      <c r="A664" s="68">
        <f>'THE BOARD'!A417</f>
        <v>0</v>
      </c>
      <c r="B664" s="68">
        <f>'THE BOARD'!B417</f>
        <v>0</v>
      </c>
      <c r="C664" s="99" t="str">
        <f>IF('THE BOARD'!U423 = "NESTED","",IF('THE BOARD'!D417&lt;&gt;"",'THE BOARD'!D417+0.72,""))</f>
        <v/>
      </c>
      <c r="D664" s="99" t="str">
        <f>IF(C664&lt;&gt;"", IF('THE BOARD'!U423 = "NESTED","",'THE BOARD'!D417 + IF(C664&lt;&gt;"", 0.72,0)),"")</f>
        <v/>
      </c>
      <c r="E664" s="68">
        <f>'THE BOARD'!E417</f>
        <v>0</v>
      </c>
      <c r="F664" s="68">
        <f>'THE BOARD'!F417</f>
        <v>0</v>
      </c>
      <c r="G664" s="68">
        <f>'THE BOARD'!G417</f>
        <v>0</v>
      </c>
      <c r="H664" s="68">
        <f>'THE BOARD'!H417</f>
        <v>0</v>
      </c>
      <c r="I664" s="68">
        <f>'THE BOARD'!I417</f>
        <v>0</v>
      </c>
      <c r="J664" s="68">
        <f>'THE BOARD'!Q424</f>
        <v>0</v>
      </c>
      <c r="K664" s="99">
        <f>'THE BOARD'!U423</f>
        <v>0</v>
      </c>
    </row>
    <row r="665" spans="1:11" ht="12.75" x14ac:dyDescent="0.2">
      <c r="A665" s="68">
        <f>'THE BOARD'!A418</f>
        <v>0</v>
      </c>
      <c r="B665" s="68">
        <f>'THE BOARD'!B418</f>
        <v>0</v>
      </c>
      <c r="C665" s="99" t="str">
        <f>IF('THE BOARD'!U424 = "NESTED","",IF('THE BOARD'!D418&lt;&gt;"",'THE BOARD'!D418+0.72,""))</f>
        <v/>
      </c>
      <c r="D665" s="99" t="str">
        <f>IF(C665&lt;&gt;"", IF('THE BOARD'!U424 = "NESTED","",'THE BOARD'!D418 + IF(C665&lt;&gt;"", 0.72,0)),"")</f>
        <v/>
      </c>
      <c r="E665" s="68">
        <f>'THE BOARD'!E418</f>
        <v>0</v>
      </c>
      <c r="F665" s="68">
        <f>'THE BOARD'!F418</f>
        <v>0</v>
      </c>
      <c r="G665" s="68">
        <f>'THE BOARD'!G418</f>
        <v>0</v>
      </c>
      <c r="H665" s="68">
        <f>'THE BOARD'!H418</f>
        <v>0</v>
      </c>
      <c r="I665" s="68">
        <f>'THE BOARD'!I418</f>
        <v>0</v>
      </c>
      <c r="J665" s="68">
        <f>'THE BOARD'!Q425</f>
        <v>0</v>
      </c>
      <c r="K665" s="99">
        <f>'THE BOARD'!U424</f>
        <v>0</v>
      </c>
    </row>
    <row r="666" spans="1:11" ht="12.75" x14ac:dyDescent="0.2">
      <c r="A666" s="68">
        <f>'THE BOARD'!A419</f>
        <v>0</v>
      </c>
      <c r="B666" s="68">
        <f>'THE BOARD'!B419</f>
        <v>0</v>
      </c>
      <c r="C666" s="99" t="str">
        <f>IF('THE BOARD'!U425 = "NESTED","",IF('THE BOARD'!D419&lt;&gt;"",'THE BOARD'!D419+0.72,""))</f>
        <v/>
      </c>
      <c r="D666" s="99" t="str">
        <f>IF(C666&lt;&gt;"", IF('THE BOARD'!U425 = "NESTED","",'THE BOARD'!D419 + IF(C666&lt;&gt;"", 0.72,0)),"")</f>
        <v/>
      </c>
      <c r="E666" s="68">
        <f>'THE BOARD'!E419</f>
        <v>0</v>
      </c>
      <c r="F666" s="68">
        <f>'THE BOARD'!F419</f>
        <v>0</v>
      </c>
      <c r="G666" s="68">
        <f>'THE BOARD'!G419</f>
        <v>0</v>
      </c>
      <c r="H666" s="68">
        <f>'THE BOARD'!H419</f>
        <v>0</v>
      </c>
      <c r="I666" s="68">
        <f>'THE BOARD'!I419</f>
        <v>0</v>
      </c>
      <c r="J666" s="68">
        <f>'THE BOARD'!Q426</f>
        <v>0</v>
      </c>
      <c r="K666" s="99">
        <f>'THE BOARD'!U425</f>
        <v>0</v>
      </c>
    </row>
    <row r="667" spans="1:11" ht="12.75" x14ac:dyDescent="0.2">
      <c r="A667" s="68">
        <f>'THE BOARD'!A420</f>
        <v>0</v>
      </c>
      <c r="B667" s="68">
        <f>'THE BOARD'!B420</f>
        <v>0</v>
      </c>
      <c r="C667" s="99" t="str">
        <f>IF('THE BOARD'!U426 = "NESTED","",IF('THE BOARD'!D420&lt;&gt;"",'THE BOARD'!D420+0.72,""))</f>
        <v/>
      </c>
      <c r="D667" s="99" t="str">
        <f>IF(C667&lt;&gt;"", IF('THE BOARD'!U426 = "NESTED","",'THE BOARD'!D420 + IF(C667&lt;&gt;"", 0.72,0)),"")</f>
        <v/>
      </c>
      <c r="E667" s="68">
        <f>'THE BOARD'!E420</f>
        <v>0</v>
      </c>
      <c r="F667" s="68">
        <f>'THE BOARD'!F420</f>
        <v>0</v>
      </c>
      <c r="G667" s="68">
        <f>'THE BOARD'!G420</f>
        <v>0</v>
      </c>
      <c r="H667" s="68">
        <f>'THE BOARD'!H420</f>
        <v>0</v>
      </c>
      <c r="I667" s="68">
        <f>'THE BOARD'!I420</f>
        <v>0</v>
      </c>
      <c r="J667" s="68">
        <f>'THE BOARD'!Q427</f>
        <v>0</v>
      </c>
      <c r="K667" s="99">
        <f>'THE BOARD'!U426</f>
        <v>0</v>
      </c>
    </row>
    <row r="668" spans="1:11" ht="12.75" x14ac:dyDescent="0.2">
      <c r="A668" s="68">
        <f>'THE BOARD'!A421</f>
        <v>0</v>
      </c>
      <c r="B668" s="68">
        <f>'THE BOARD'!B421</f>
        <v>0</v>
      </c>
      <c r="C668" s="99" t="str">
        <f>IF('THE BOARD'!U427 = "NESTED","",IF('THE BOARD'!D421&lt;&gt;"",'THE BOARD'!D421+0.72,""))</f>
        <v/>
      </c>
      <c r="D668" s="99" t="str">
        <f>IF(C668&lt;&gt;"", IF('THE BOARD'!U427 = "NESTED","",'THE BOARD'!D421 + IF(C668&lt;&gt;"", 0.72,0)),"")</f>
        <v/>
      </c>
      <c r="E668" s="68">
        <f>'THE BOARD'!E421</f>
        <v>0</v>
      </c>
      <c r="F668" s="68">
        <f>'THE BOARD'!F421</f>
        <v>0</v>
      </c>
      <c r="G668" s="68">
        <f>'THE BOARD'!G421</f>
        <v>0</v>
      </c>
      <c r="H668" s="68">
        <f>'THE BOARD'!H421</f>
        <v>0</v>
      </c>
      <c r="I668" s="68">
        <f>'THE BOARD'!I421</f>
        <v>0</v>
      </c>
      <c r="J668" s="68">
        <f>'THE BOARD'!Q428</f>
        <v>0</v>
      </c>
      <c r="K668" s="99">
        <f>'THE BOARD'!U427</f>
        <v>0</v>
      </c>
    </row>
    <row r="669" spans="1:11" ht="12.75" x14ac:dyDescent="0.2">
      <c r="A669" s="68">
        <f>'THE BOARD'!A422</f>
        <v>0</v>
      </c>
      <c r="B669" s="68">
        <f>'THE BOARD'!B422</f>
        <v>0</v>
      </c>
      <c r="C669" s="99" t="str">
        <f>IF('THE BOARD'!U428 = "NESTED","",IF('THE BOARD'!D422&lt;&gt;"",'THE BOARD'!D422+0.72,""))</f>
        <v/>
      </c>
      <c r="D669" s="99" t="str">
        <f>IF(C669&lt;&gt;"", IF('THE BOARD'!U428 = "NESTED","",'THE BOARD'!D422 + IF(C669&lt;&gt;"", 0.72,0)),"")</f>
        <v/>
      </c>
      <c r="E669" s="68">
        <f>'THE BOARD'!E422</f>
        <v>0</v>
      </c>
      <c r="F669" s="68">
        <f>'THE BOARD'!F422</f>
        <v>0</v>
      </c>
      <c r="G669" s="68">
        <f>'THE BOARD'!G422</f>
        <v>0</v>
      </c>
      <c r="H669" s="68">
        <f>'THE BOARD'!H422</f>
        <v>0</v>
      </c>
      <c r="I669" s="68">
        <f>'THE BOARD'!I422</f>
        <v>0</v>
      </c>
      <c r="J669" s="68">
        <f>'THE BOARD'!Q429</f>
        <v>0</v>
      </c>
      <c r="K669" s="99">
        <f>'THE BOARD'!U428</f>
        <v>0</v>
      </c>
    </row>
    <row r="670" spans="1:11" ht="12.75" x14ac:dyDescent="0.2">
      <c r="A670" s="68">
        <f>'THE BOARD'!A423</f>
        <v>0</v>
      </c>
      <c r="B670" s="68">
        <f>'THE BOARD'!B423</f>
        <v>0</v>
      </c>
      <c r="C670" s="99" t="str">
        <f>IF('THE BOARD'!U429 = "NESTED","",IF('THE BOARD'!D423&lt;&gt;"",'THE BOARD'!D423+0.72,""))</f>
        <v/>
      </c>
      <c r="D670" s="99" t="str">
        <f>IF(C670&lt;&gt;"", IF('THE BOARD'!U429 = "NESTED","",'THE BOARD'!D423 + IF(C670&lt;&gt;"", 0.72,0)),"")</f>
        <v/>
      </c>
      <c r="E670" s="68">
        <f>'THE BOARD'!E423</f>
        <v>0</v>
      </c>
      <c r="F670" s="68">
        <f>'THE BOARD'!F423</f>
        <v>0</v>
      </c>
      <c r="G670" s="68">
        <f>'THE BOARD'!G423</f>
        <v>0</v>
      </c>
      <c r="H670" s="68">
        <f>'THE BOARD'!H423</f>
        <v>0</v>
      </c>
      <c r="I670" s="68">
        <f>'THE BOARD'!I423</f>
        <v>0</v>
      </c>
      <c r="J670" s="68">
        <f>'THE BOARD'!Q430</f>
        <v>0</v>
      </c>
      <c r="K670" s="99">
        <f>'THE BOARD'!U429</f>
        <v>0</v>
      </c>
    </row>
    <row r="671" spans="1:11" ht="12.75" x14ac:dyDescent="0.2">
      <c r="A671" s="68">
        <f>'THE BOARD'!A424</f>
        <v>0</v>
      </c>
      <c r="B671" s="68">
        <f>'THE BOARD'!B424</f>
        <v>0</v>
      </c>
      <c r="C671" s="99" t="str">
        <f>IF('THE BOARD'!U430 = "NESTED","",IF('THE BOARD'!D424&lt;&gt;"",'THE BOARD'!D424+0.72,""))</f>
        <v/>
      </c>
      <c r="D671" s="99" t="str">
        <f>IF(C671&lt;&gt;"", IF('THE BOARD'!U430 = "NESTED","",'THE BOARD'!D424 + IF(C671&lt;&gt;"", 0.72,0)),"")</f>
        <v/>
      </c>
      <c r="E671" s="68">
        <f>'THE BOARD'!E424</f>
        <v>0</v>
      </c>
      <c r="F671" s="68">
        <f>'THE BOARD'!F424</f>
        <v>0</v>
      </c>
      <c r="G671" s="68">
        <f>'THE BOARD'!G424</f>
        <v>0</v>
      </c>
      <c r="H671" s="68">
        <f>'THE BOARD'!H424</f>
        <v>0</v>
      </c>
      <c r="I671" s="68">
        <f>'THE BOARD'!I424</f>
        <v>0</v>
      </c>
      <c r="J671" s="68">
        <f>'THE BOARD'!Q431</f>
        <v>0</v>
      </c>
      <c r="K671" s="99">
        <f>'THE BOARD'!U430</f>
        <v>0</v>
      </c>
    </row>
    <row r="672" spans="1:11" ht="12.75" x14ac:dyDescent="0.2">
      <c r="A672" s="68">
        <f>'THE BOARD'!A425</f>
        <v>0</v>
      </c>
      <c r="B672" s="68">
        <f>'THE BOARD'!B425</f>
        <v>0</v>
      </c>
      <c r="C672" s="99" t="str">
        <f>IF('THE BOARD'!U431 = "NESTED","",IF('THE BOARD'!D425&lt;&gt;"",'THE BOARD'!D425+0.72,""))</f>
        <v/>
      </c>
      <c r="D672" s="99" t="str">
        <f>IF(C672&lt;&gt;"", IF('THE BOARD'!U431 = "NESTED","",'THE BOARD'!D425 + IF(C672&lt;&gt;"", 0.72,0)),"")</f>
        <v/>
      </c>
      <c r="E672" s="68">
        <f>'THE BOARD'!E425</f>
        <v>0</v>
      </c>
      <c r="F672" s="68">
        <f>'THE BOARD'!F425</f>
        <v>0</v>
      </c>
      <c r="G672" s="68">
        <f>'THE BOARD'!G425</f>
        <v>0</v>
      </c>
      <c r="H672" s="68">
        <f>'THE BOARD'!H425</f>
        <v>0</v>
      </c>
      <c r="I672" s="68">
        <f>'THE BOARD'!I425</f>
        <v>0</v>
      </c>
      <c r="J672" s="68">
        <f>'THE BOARD'!Q432</f>
        <v>0</v>
      </c>
      <c r="K672" s="99">
        <f>'THE BOARD'!U431</f>
        <v>0</v>
      </c>
    </row>
    <row r="673" spans="1:11" ht="12.75" x14ac:dyDescent="0.2">
      <c r="A673" s="68">
        <f>'THE BOARD'!A426</f>
        <v>0</v>
      </c>
      <c r="B673" s="68">
        <f>'THE BOARD'!B426</f>
        <v>0</v>
      </c>
      <c r="C673" s="99" t="str">
        <f>IF('THE BOARD'!U432 = "NESTED","",IF('THE BOARD'!D426&lt;&gt;"",'THE BOARD'!D426+0.72,""))</f>
        <v/>
      </c>
      <c r="D673" s="99" t="str">
        <f>IF(C673&lt;&gt;"", IF('THE BOARD'!U432 = "NESTED","",'THE BOARD'!D426 + IF(C673&lt;&gt;"", 0.72,0)),"")</f>
        <v/>
      </c>
      <c r="E673" s="68">
        <f>'THE BOARD'!E426</f>
        <v>0</v>
      </c>
      <c r="F673" s="68">
        <f>'THE BOARD'!F426</f>
        <v>0</v>
      </c>
      <c r="G673" s="68">
        <f>'THE BOARD'!G426</f>
        <v>0</v>
      </c>
      <c r="H673" s="68">
        <f>'THE BOARD'!H426</f>
        <v>0</v>
      </c>
      <c r="I673" s="68">
        <f>'THE BOARD'!I426</f>
        <v>0</v>
      </c>
      <c r="J673" s="68">
        <f>'THE BOARD'!Q433</f>
        <v>0</v>
      </c>
      <c r="K673" s="99">
        <f>'THE BOARD'!U432</f>
        <v>0</v>
      </c>
    </row>
    <row r="674" spans="1:11" ht="12.75" x14ac:dyDescent="0.2">
      <c r="A674" s="68">
        <f>'THE BOARD'!A427</f>
        <v>0</v>
      </c>
      <c r="B674" s="68">
        <f>'THE BOARD'!B427</f>
        <v>0</v>
      </c>
      <c r="C674" s="99" t="str">
        <f>IF('THE BOARD'!U433 = "NESTED","",IF('THE BOARD'!D427&lt;&gt;"",'THE BOARD'!D427+0.72,""))</f>
        <v/>
      </c>
      <c r="D674" s="99" t="str">
        <f>IF(C674&lt;&gt;"", IF('THE BOARD'!U433 = "NESTED","",'THE BOARD'!D427 + IF(C674&lt;&gt;"", 0.72,0)),"")</f>
        <v/>
      </c>
      <c r="E674" s="68">
        <f>'THE BOARD'!E427</f>
        <v>0</v>
      </c>
      <c r="F674" s="68">
        <f>'THE BOARD'!F427</f>
        <v>0</v>
      </c>
      <c r="G674" s="68">
        <f>'THE BOARD'!G427</f>
        <v>0</v>
      </c>
      <c r="H674" s="68">
        <f>'THE BOARD'!H427</f>
        <v>0</v>
      </c>
      <c r="I674" s="68">
        <f>'THE BOARD'!I427</f>
        <v>0</v>
      </c>
      <c r="J674" s="68">
        <f>'THE BOARD'!Q434</f>
        <v>0</v>
      </c>
      <c r="K674" s="99">
        <f>'THE BOARD'!U433</f>
        <v>0</v>
      </c>
    </row>
    <row r="675" spans="1:11" ht="12.75" x14ac:dyDescent="0.2">
      <c r="A675" s="68">
        <f>'THE BOARD'!A428</f>
        <v>0</v>
      </c>
      <c r="B675" s="68">
        <f>'THE BOARD'!B428</f>
        <v>0</v>
      </c>
      <c r="C675" s="99" t="str">
        <f>IF('THE BOARD'!U434 = "NESTED","",IF('THE BOARD'!D428&lt;&gt;"",'THE BOARD'!D428+0.72,""))</f>
        <v/>
      </c>
      <c r="D675" s="99" t="str">
        <f>IF(C675&lt;&gt;"", IF('THE BOARD'!U434 = "NESTED","",'THE BOARD'!D428 + IF(C675&lt;&gt;"", 0.72,0)),"")</f>
        <v/>
      </c>
      <c r="E675" s="68">
        <f>'THE BOARD'!E428</f>
        <v>0</v>
      </c>
      <c r="F675" s="68">
        <f>'THE BOARD'!F428</f>
        <v>0</v>
      </c>
      <c r="G675" s="68">
        <f>'THE BOARD'!G428</f>
        <v>0</v>
      </c>
      <c r="H675" s="68">
        <f>'THE BOARD'!H428</f>
        <v>0</v>
      </c>
      <c r="I675" s="68">
        <f>'THE BOARD'!I428</f>
        <v>0</v>
      </c>
      <c r="J675" s="68">
        <f>'THE BOARD'!Q435</f>
        <v>0</v>
      </c>
      <c r="K675" s="99">
        <f>'THE BOARD'!U434</f>
        <v>0</v>
      </c>
    </row>
    <row r="676" spans="1:11" ht="12.75" x14ac:dyDescent="0.2">
      <c r="A676" s="68">
        <f>'THE BOARD'!A429</f>
        <v>0</v>
      </c>
      <c r="B676" s="68">
        <f>'THE BOARD'!B429</f>
        <v>0</v>
      </c>
      <c r="C676" s="99" t="str">
        <f>IF('THE BOARD'!U435 = "NESTED","",IF('THE BOARD'!D429&lt;&gt;"",'THE BOARD'!D429+0.72,""))</f>
        <v/>
      </c>
      <c r="D676" s="99" t="str">
        <f>IF(C676&lt;&gt;"", IF('THE BOARD'!U435 = "NESTED","",'THE BOARD'!D429 + IF(C676&lt;&gt;"", 0.72,0)),"")</f>
        <v/>
      </c>
      <c r="E676" s="68">
        <f>'THE BOARD'!E429</f>
        <v>0</v>
      </c>
      <c r="F676" s="68">
        <f>'THE BOARD'!F429</f>
        <v>0</v>
      </c>
      <c r="G676" s="68">
        <f>'THE BOARD'!G429</f>
        <v>0</v>
      </c>
      <c r="H676" s="68">
        <f>'THE BOARD'!H429</f>
        <v>0</v>
      </c>
      <c r="I676" s="68">
        <f>'THE BOARD'!I429</f>
        <v>0</v>
      </c>
      <c r="J676" s="68">
        <f>'THE BOARD'!Q436</f>
        <v>0</v>
      </c>
      <c r="K676" s="99">
        <f>'THE BOARD'!U435</f>
        <v>0</v>
      </c>
    </row>
    <row r="677" spans="1:11" ht="12.75" x14ac:dyDescent="0.2">
      <c r="A677" s="68">
        <f>'THE BOARD'!A430</f>
        <v>0</v>
      </c>
      <c r="B677" s="68">
        <f>'THE BOARD'!B430</f>
        <v>0</v>
      </c>
      <c r="C677" s="99" t="str">
        <f>IF('THE BOARD'!U436 = "NESTED","",IF('THE BOARD'!D430&lt;&gt;"",'THE BOARD'!D430+0.72,""))</f>
        <v/>
      </c>
      <c r="D677" s="99" t="str">
        <f>IF(C677&lt;&gt;"", IF('THE BOARD'!U436 = "NESTED","",'THE BOARD'!D430 + IF(C677&lt;&gt;"", 0.72,0)),"")</f>
        <v/>
      </c>
      <c r="E677" s="68">
        <f>'THE BOARD'!E430</f>
        <v>0</v>
      </c>
      <c r="F677" s="68">
        <f>'THE BOARD'!F430</f>
        <v>0</v>
      </c>
      <c r="G677" s="68">
        <f>'THE BOARD'!G430</f>
        <v>0</v>
      </c>
      <c r="H677" s="68">
        <f>'THE BOARD'!H430</f>
        <v>0</v>
      </c>
      <c r="I677" s="68">
        <f>'THE BOARD'!I430</f>
        <v>0</v>
      </c>
      <c r="J677" s="68">
        <f>'THE BOARD'!Q437</f>
        <v>0</v>
      </c>
      <c r="K677" s="99">
        <f>'THE BOARD'!U436</f>
        <v>0</v>
      </c>
    </row>
    <row r="678" spans="1:11" ht="12.75" x14ac:dyDescent="0.2">
      <c r="A678" s="68">
        <f>'THE BOARD'!A431</f>
        <v>0</v>
      </c>
      <c r="B678" s="68">
        <f>'THE BOARD'!B431</f>
        <v>0</v>
      </c>
      <c r="C678" s="99" t="str">
        <f>IF('THE BOARD'!U437 = "NESTED","",IF('THE BOARD'!D431&lt;&gt;"",'THE BOARD'!D431+0.72,""))</f>
        <v/>
      </c>
      <c r="D678" s="99" t="str">
        <f>IF(C678&lt;&gt;"", IF('THE BOARD'!U437 = "NESTED","",'THE BOARD'!D431 + IF(C678&lt;&gt;"", 0.72,0)),"")</f>
        <v/>
      </c>
      <c r="E678" s="68">
        <f>'THE BOARD'!E431</f>
        <v>0</v>
      </c>
      <c r="F678" s="68">
        <f>'THE BOARD'!F431</f>
        <v>0</v>
      </c>
      <c r="G678" s="68">
        <f>'THE BOARD'!G431</f>
        <v>0</v>
      </c>
      <c r="H678" s="68">
        <f>'THE BOARD'!H431</f>
        <v>0</v>
      </c>
      <c r="I678" s="68">
        <f>'THE BOARD'!I431</f>
        <v>0</v>
      </c>
      <c r="J678" s="68">
        <f>'THE BOARD'!Q438</f>
        <v>0</v>
      </c>
      <c r="K678" s="99">
        <f>'THE BOARD'!U437</f>
        <v>0</v>
      </c>
    </row>
    <row r="679" spans="1:11" ht="12.75" x14ac:dyDescent="0.2">
      <c r="A679" s="68">
        <f>'THE BOARD'!A432</f>
        <v>0</v>
      </c>
      <c r="B679" s="68">
        <f>'THE BOARD'!B432</f>
        <v>0</v>
      </c>
      <c r="C679" s="99" t="str">
        <f>IF('THE BOARD'!U438 = "NESTED","",IF('THE BOARD'!D432&lt;&gt;"",'THE BOARD'!D432+0.72,""))</f>
        <v/>
      </c>
      <c r="D679" s="99" t="str">
        <f>IF(C679&lt;&gt;"", IF('THE BOARD'!U438 = "NESTED","",'THE BOARD'!D432 + IF(C679&lt;&gt;"", 0.72,0)),"")</f>
        <v/>
      </c>
      <c r="E679" s="68">
        <f>'THE BOARD'!E432</f>
        <v>0</v>
      </c>
      <c r="F679" s="68">
        <f>'THE BOARD'!F432</f>
        <v>0</v>
      </c>
      <c r="G679" s="68">
        <f>'THE BOARD'!G432</f>
        <v>0</v>
      </c>
      <c r="H679" s="68">
        <f>'THE BOARD'!H432</f>
        <v>0</v>
      </c>
      <c r="I679" s="68">
        <f>'THE BOARD'!I432</f>
        <v>0</v>
      </c>
      <c r="J679" s="68">
        <f>'THE BOARD'!Q439</f>
        <v>0</v>
      </c>
      <c r="K679" s="99">
        <f>'THE BOARD'!U438</f>
        <v>0</v>
      </c>
    </row>
    <row r="680" spans="1:11" ht="12.75" x14ac:dyDescent="0.2">
      <c r="A680" s="68">
        <f>'THE BOARD'!A433</f>
        <v>0</v>
      </c>
      <c r="B680" s="68">
        <f>'THE BOARD'!B433</f>
        <v>0</v>
      </c>
      <c r="C680" s="99" t="str">
        <f>IF('THE BOARD'!U439 = "NESTED","",IF('THE BOARD'!D433&lt;&gt;"",'THE BOARD'!D433+0.72,""))</f>
        <v/>
      </c>
      <c r="D680" s="99" t="str">
        <f>IF(C680&lt;&gt;"", IF('THE BOARD'!U439 = "NESTED","",'THE BOARD'!D433 + IF(C680&lt;&gt;"", 0.72,0)),"")</f>
        <v/>
      </c>
      <c r="E680" s="68">
        <f>'THE BOARD'!E433</f>
        <v>0</v>
      </c>
      <c r="F680" s="68">
        <f>'THE BOARD'!F433</f>
        <v>0</v>
      </c>
      <c r="G680" s="68">
        <f>'THE BOARD'!G433</f>
        <v>0</v>
      </c>
      <c r="H680" s="68">
        <f>'THE BOARD'!H433</f>
        <v>0</v>
      </c>
      <c r="I680" s="68">
        <f>'THE BOARD'!I433</f>
        <v>0</v>
      </c>
      <c r="J680" s="68">
        <f>'THE BOARD'!Q440</f>
        <v>0</v>
      </c>
      <c r="K680" s="99">
        <f>'THE BOARD'!U439</f>
        <v>0</v>
      </c>
    </row>
    <row r="681" spans="1:11" ht="12.75" x14ac:dyDescent="0.2">
      <c r="A681" s="68">
        <f>'THE BOARD'!A434</f>
        <v>0</v>
      </c>
      <c r="B681" s="68">
        <f>'THE BOARD'!B434</f>
        <v>0</v>
      </c>
      <c r="C681" s="99" t="str">
        <f>IF('THE BOARD'!U440 = "NESTED","",IF('THE BOARD'!D434&lt;&gt;"",'THE BOARD'!D434+0.72,""))</f>
        <v/>
      </c>
      <c r="D681" s="99" t="str">
        <f>IF(C681&lt;&gt;"", IF('THE BOARD'!U440 = "NESTED","",'THE BOARD'!D434 + IF(C681&lt;&gt;"", 0.72,0)),"")</f>
        <v/>
      </c>
      <c r="E681" s="68">
        <f>'THE BOARD'!E434</f>
        <v>0</v>
      </c>
      <c r="F681" s="68">
        <f>'THE BOARD'!F434</f>
        <v>0</v>
      </c>
      <c r="G681" s="68">
        <f>'THE BOARD'!G434</f>
        <v>0</v>
      </c>
      <c r="H681" s="68">
        <f>'THE BOARD'!H434</f>
        <v>0</v>
      </c>
      <c r="I681" s="68">
        <f>'THE BOARD'!I434</f>
        <v>0</v>
      </c>
      <c r="J681" s="68">
        <f>'THE BOARD'!Q441</f>
        <v>0</v>
      </c>
      <c r="K681" s="99">
        <f>'THE BOARD'!U440</f>
        <v>0</v>
      </c>
    </row>
    <row r="682" spans="1:11" ht="12.75" x14ac:dyDescent="0.2">
      <c r="A682" s="68">
        <f>'THE BOARD'!A435</f>
        <v>0</v>
      </c>
      <c r="B682" s="68">
        <f>'THE BOARD'!B435</f>
        <v>0</v>
      </c>
      <c r="C682" s="99" t="str">
        <f>IF('THE BOARD'!U441 = "NESTED","",IF('THE BOARD'!D435&lt;&gt;"",'THE BOARD'!D435+0.72,""))</f>
        <v/>
      </c>
      <c r="D682" s="99" t="str">
        <f>IF(C682&lt;&gt;"", IF('THE BOARD'!U441 = "NESTED","",'THE BOARD'!D435 + IF(C682&lt;&gt;"", 0.72,0)),"")</f>
        <v/>
      </c>
      <c r="E682" s="68">
        <f>'THE BOARD'!E435</f>
        <v>0</v>
      </c>
      <c r="F682" s="68">
        <f>'THE BOARD'!F435</f>
        <v>0</v>
      </c>
      <c r="G682" s="68">
        <f>'THE BOARD'!G435</f>
        <v>0</v>
      </c>
      <c r="H682" s="68">
        <f>'THE BOARD'!H435</f>
        <v>0</v>
      </c>
      <c r="I682" s="68">
        <f>'THE BOARD'!I435</f>
        <v>0</v>
      </c>
      <c r="J682" s="68">
        <f>'THE BOARD'!Q442</f>
        <v>0</v>
      </c>
      <c r="K682" s="99">
        <f>'THE BOARD'!U441</f>
        <v>0</v>
      </c>
    </row>
    <row r="683" spans="1:11" ht="12.75" x14ac:dyDescent="0.2">
      <c r="A683" s="68">
        <f>'THE BOARD'!A436</f>
        <v>0</v>
      </c>
      <c r="B683" s="68">
        <f>'THE BOARD'!B436</f>
        <v>0</v>
      </c>
      <c r="C683" s="99" t="str">
        <f>IF('THE BOARD'!U442 = "NESTED","",IF('THE BOARD'!D436&lt;&gt;"",'THE BOARD'!D436+0.72,""))</f>
        <v/>
      </c>
      <c r="D683" s="99" t="str">
        <f>IF(C683&lt;&gt;"", IF('THE BOARD'!U442 = "NESTED","",'THE BOARD'!D436 + IF(C683&lt;&gt;"", 0.72,0)),"")</f>
        <v/>
      </c>
      <c r="E683" s="68">
        <f>'THE BOARD'!E436</f>
        <v>0</v>
      </c>
      <c r="F683" s="68">
        <f>'THE BOARD'!F436</f>
        <v>0</v>
      </c>
      <c r="G683" s="68">
        <f>'THE BOARD'!G436</f>
        <v>0</v>
      </c>
      <c r="H683" s="68">
        <f>'THE BOARD'!H436</f>
        <v>0</v>
      </c>
      <c r="I683" s="68">
        <f>'THE BOARD'!I436</f>
        <v>0</v>
      </c>
      <c r="J683" s="68">
        <f>'THE BOARD'!Q443</f>
        <v>0</v>
      </c>
      <c r="K683" s="99">
        <f>'THE BOARD'!U442</f>
        <v>0</v>
      </c>
    </row>
    <row r="684" spans="1:11" ht="12.75" x14ac:dyDescent="0.2">
      <c r="A684" s="68">
        <f>'THE BOARD'!A437</f>
        <v>0</v>
      </c>
      <c r="B684" s="68">
        <f>'THE BOARD'!B437</f>
        <v>0</v>
      </c>
      <c r="C684" s="99" t="str">
        <f>IF('THE BOARD'!U443 = "NESTED","",IF('THE BOARD'!D437&lt;&gt;"",'THE BOARD'!D437+0.72,""))</f>
        <v/>
      </c>
      <c r="D684" s="99" t="str">
        <f>IF(C684&lt;&gt;"", IF('THE BOARD'!U443 = "NESTED","",'THE BOARD'!D437 + IF(C684&lt;&gt;"", 0.72,0)),"")</f>
        <v/>
      </c>
      <c r="E684" s="68">
        <f>'THE BOARD'!E437</f>
        <v>0</v>
      </c>
      <c r="F684" s="68">
        <f>'THE BOARD'!F437</f>
        <v>0</v>
      </c>
      <c r="G684" s="68">
        <f>'THE BOARD'!G437</f>
        <v>0</v>
      </c>
      <c r="H684" s="68">
        <f>'THE BOARD'!H437</f>
        <v>0</v>
      </c>
      <c r="I684" s="68">
        <f>'THE BOARD'!I437</f>
        <v>0</v>
      </c>
      <c r="J684" s="68">
        <f>'THE BOARD'!Q444</f>
        <v>0</v>
      </c>
      <c r="K684" s="99">
        <f>'THE BOARD'!U443</f>
        <v>0</v>
      </c>
    </row>
    <row r="685" spans="1:11" ht="12.75" x14ac:dyDescent="0.2">
      <c r="A685" s="68">
        <f>'THE BOARD'!A438</f>
        <v>0</v>
      </c>
      <c r="B685" s="68">
        <f>'THE BOARD'!B438</f>
        <v>0</v>
      </c>
      <c r="C685" s="99" t="str">
        <f>IF('THE BOARD'!U444 = "NESTED","",IF('THE BOARD'!D438&lt;&gt;"",'THE BOARD'!D438+0.72,""))</f>
        <v/>
      </c>
      <c r="D685" s="99" t="str">
        <f>IF(C685&lt;&gt;"", IF('THE BOARD'!U444 = "NESTED","",'THE BOARD'!D438 + IF(C685&lt;&gt;"", 0.72,0)),"")</f>
        <v/>
      </c>
      <c r="E685" s="68">
        <f>'THE BOARD'!E438</f>
        <v>0</v>
      </c>
      <c r="F685" s="68">
        <f>'THE BOARD'!F438</f>
        <v>0</v>
      </c>
      <c r="G685" s="68">
        <f>'THE BOARD'!G438</f>
        <v>0</v>
      </c>
      <c r="H685" s="68">
        <f>'THE BOARD'!H438</f>
        <v>0</v>
      </c>
      <c r="I685" s="68">
        <f>'THE BOARD'!I438</f>
        <v>0</v>
      </c>
      <c r="J685" s="68">
        <f>'THE BOARD'!Q445</f>
        <v>0</v>
      </c>
      <c r="K685" s="99">
        <f>'THE BOARD'!U444</f>
        <v>0</v>
      </c>
    </row>
    <row r="686" spans="1:11" ht="12.75" x14ac:dyDescent="0.2">
      <c r="A686" s="68">
        <f>'THE BOARD'!A439</f>
        <v>0</v>
      </c>
      <c r="B686" s="68">
        <f>'THE BOARD'!B439</f>
        <v>0</v>
      </c>
      <c r="C686" s="99" t="str">
        <f>IF('THE BOARD'!U445 = "NESTED","",IF('THE BOARD'!D439&lt;&gt;"",'THE BOARD'!D439+0.72,""))</f>
        <v/>
      </c>
      <c r="D686" s="99" t="str">
        <f>IF(C686&lt;&gt;"", IF('THE BOARD'!U445 = "NESTED","",'THE BOARD'!D439 + IF(C686&lt;&gt;"", 0.72,0)),"")</f>
        <v/>
      </c>
      <c r="E686" s="68">
        <f>'THE BOARD'!E439</f>
        <v>0</v>
      </c>
      <c r="F686" s="68">
        <f>'THE BOARD'!F439</f>
        <v>0</v>
      </c>
      <c r="G686" s="68">
        <f>'THE BOARD'!G439</f>
        <v>0</v>
      </c>
      <c r="H686" s="68">
        <f>'THE BOARD'!H439</f>
        <v>0</v>
      </c>
      <c r="I686" s="68">
        <f>'THE BOARD'!I439</f>
        <v>0</v>
      </c>
      <c r="J686" s="68">
        <f>'THE BOARD'!Q446</f>
        <v>0</v>
      </c>
      <c r="K686" s="99">
        <f>'THE BOARD'!U445</f>
        <v>0</v>
      </c>
    </row>
    <row r="687" spans="1:11" ht="12.75" x14ac:dyDescent="0.2">
      <c r="A687" s="68">
        <f>'THE BOARD'!A440</f>
        <v>0</v>
      </c>
      <c r="B687" s="68">
        <f>'THE BOARD'!B440</f>
        <v>0</v>
      </c>
      <c r="C687" s="99" t="str">
        <f>IF('THE BOARD'!U446 = "NESTED","",IF('THE BOARD'!D440&lt;&gt;"",'THE BOARD'!D440+0.72,""))</f>
        <v/>
      </c>
      <c r="D687" s="99" t="str">
        <f>IF(C687&lt;&gt;"", IF('THE BOARD'!U446 = "NESTED","",'THE BOARD'!D440 + IF(C687&lt;&gt;"", 0.72,0)),"")</f>
        <v/>
      </c>
      <c r="E687" s="68">
        <f>'THE BOARD'!E440</f>
        <v>0</v>
      </c>
      <c r="F687" s="68">
        <f>'THE BOARD'!F440</f>
        <v>0</v>
      </c>
      <c r="G687" s="68">
        <f>'THE BOARD'!G440</f>
        <v>0</v>
      </c>
      <c r="H687" s="68">
        <f>'THE BOARD'!H440</f>
        <v>0</v>
      </c>
      <c r="I687" s="68">
        <f>'THE BOARD'!I440</f>
        <v>0</v>
      </c>
      <c r="J687" s="68">
        <f>'THE BOARD'!Q447</f>
        <v>0</v>
      </c>
      <c r="K687" s="99">
        <f>'THE BOARD'!U446</f>
        <v>0</v>
      </c>
    </row>
    <row r="688" spans="1:11" ht="12.75" x14ac:dyDescent="0.2">
      <c r="A688" s="68">
        <f>'THE BOARD'!A441</f>
        <v>0</v>
      </c>
      <c r="B688" s="68">
        <f>'THE BOARD'!B441</f>
        <v>0</v>
      </c>
      <c r="C688" s="99" t="str">
        <f>IF('THE BOARD'!U447 = "NESTED","",IF('THE BOARD'!D441&lt;&gt;"",'THE BOARD'!D441+0.72,""))</f>
        <v/>
      </c>
      <c r="D688" s="99" t="str">
        <f>IF(C688&lt;&gt;"", IF('THE BOARD'!U447 = "NESTED","",'THE BOARD'!D441 + IF(C688&lt;&gt;"", 0.72,0)),"")</f>
        <v/>
      </c>
      <c r="E688" s="68">
        <f>'THE BOARD'!E441</f>
        <v>0</v>
      </c>
      <c r="F688" s="68">
        <f>'THE BOARD'!F441</f>
        <v>0</v>
      </c>
      <c r="G688" s="68">
        <f>'THE BOARD'!G441</f>
        <v>0</v>
      </c>
      <c r="H688" s="68">
        <f>'THE BOARD'!H441</f>
        <v>0</v>
      </c>
      <c r="I688" s="68">
        <f>'THE BOARD'!I441</f>
        <v>0</v>
      </c>
      <c r="J688" s="68">
        <f>'THE BOARD'!Q448</f>
        <v>0</v>
      </c>
      <c r="K688" s="99">
        <f>'THE BOARD'!U447</f>
        <v>0</v>
      </c>
    </row>
    <row r="689" spans="1:11" ht="12.75" x14ac:dyDescent="0.2">
      <c r="A689" s="68">
        <f>'THE BOARD'!A442</f>
        <v>0</v>
      </c>
      <c r="B689" s="68">
        <f>'THE BOARD'!B442</f>
        <v>0</v>
      </c>
      <c r="C689" s="99" t="str">
        <f>IF('THE BOARD'!U448 = "NESTED","",IF('THE BOARD'!D442&lt;&gt;"",'THE BOARD'!D442+0.72,""))</f>
        <v/>
      </c>
      <c r="D689" s="99" t="str">
        <f>IF(C689&lt;&gt;"", IF('THE BOARD'!U448 = "NESTED","",'THE BOARD'!D442 + IF(C689&lt;&gt;"", 0.72,0)),"")</f>
        <v/>
      </c>
      <c r="E689" s="68">
        <f>'THE BOARD'!E442</f>
        <v>0</v>
      </c>
      <c r="F689" s="68">
        <f>'THE BOARD'!F442</f>
        <v>0</v>
      </c>
      <c r="G689" s="68">
        <f>'THE BOARD'!G442</f>
        <v>0</v>
      </c>
      <c r="H689" s="68">
        <f>'THE BOARD'!H442</f>
        <v>0</v>
      </c>
      <c r="I689" s="68">
        <f>'THE BOARD'!I442</f>
        <v>0</v>
      </c>
      <c r="J689" s="68">
        <f>'THE BOARD'!Q449</f>
        <v>0</v>
      </c>
      <c r="K689" s="99">
        <f>'THE BOARD'!U448</f>
        <v>0</v>
      </c>
    </row>
    <row r="690" spans="1:11" ht="12.75" x14ac:dyDescent="0.2">
      <c r="A690" s="68">
        <f>'THE BOARD'!A443</f>
        <v>0</v>
      </c>
      <c r="B690" s="68">
        <f>'THE BOARD'!B443</f>
        <v>0</v>
      </c>
      <c r="C690" s="99" t="str">
        <f>IF('THE BOARD'!U449 = "NESTED","",IF('THE BOARD'!D443&lt;&gt;"",'THE BOARD'!D443+0.72,""))</f>
        <v/>
      </c>
      <c r="D690" s="99" t="str">
        <f>IF(C690&lt;&gt;"", IF('THE BOARD'!U449 = "NESTED","",'THE BOARD'!D443 + IF(C690&lt;&gt;"", 0.72,0)),"")</f>
        <v/>
      </c>
      <c r="E690" s="68">
        <f>'THE BOARD'!E443</f>
        <v>0</v>
      </c>
      <c r="F690" s="68">
        <f>'THE BOARD'!F443</f>
        <v>0</v>
      </c>
      <c r="G690" s="68">
        <f>'THE BOARD'!G443</f>
        <v>0</v>
      </c>
      <c r="H690" s="68">
        <f>'THE BOARD'!H443</f>
        <v>0</v>
      </c>
      <c r="I690" s="68">
        <f>'THE BOARD'!I443</f>
        <v>0</v>
      </c>
      <c r="J690" s="68">
        <f>'THE BOARD'!Q450</f>
        <v>0</v>
      </c>
      <c r="K690" s="99">
        <f>'THE BOARD'!U449</f>
        <v>0</v>
      </c>
    </row>
    <row r="691" spans="1:11" ht="12.75" x14ac:dyDescent="0.2">
      <c r="A691" s="68">
        <f>'THE BOARD'!A444</f>
        <v>0</v>
      </c>
      <c r="B691" s="68">
        <f>'THE BOARD'!B444</f>
        <v>0</v>
      </c>
      <c r="C691" s="99" t="str">
        <f>IF('THE BOARD'!U450 = "NESTED","",IF('THE BOARD'!D444&lt;&gt;"",'THE BOARD'!D444+0.72,""))</f>
        <v/>
      </c>
      <c r="D691" s="99" t="str">
        <f>IF(C691&lt;&gt;"", IF('THE BOARD'!U450 = "NESTED","",'THE BOARD'!D444 + IF(C691&lt;&gt;"", 0.72,0)),"")</f>
        <v/>
      </c>
      <c r="E691" s="68">
        <f>'THE BOARD'!E444</f>
        <v>0</v>
      </c>
      <c r="F691" s="68">
        <f>'THE BOARD'!F444</f>
        <v>0</v>
      </c>
      <c r="G691" s="68">
        <f>'THE BOARD'!G444</f>
        <v>0</v>
      </c>
      <c r="H691" s="68">
        <f>'THE BOARD'!H444</f>
        <v>0</v>
      </c>
      <c r="I691" s="68">
        <f>'THE BOARD'!I444</f>
        <v>0</v>
      </c>
      <c r="J691" s="68">
        <f>'THE BOARD'!Q451</f>
        <v>0</v>
      </c>
      <c r="K691" s="99">
        <f>'THE BOARD'!U450</f>
        <v>0</v>
      </c>
    </row>
    <row r="692" spans="1:11" ht="12.75" x14ac:dyDescent="0.2">
      <c r="A692" s="68">
        <f>'THE BOARD'!A445</f>
        <v>0</v>
      </c>
      <c r="B692" s="68">
        <f>'THE BOARD'!B445</f>
        <v>0</v>
      </c>
      <c r="C692" s="99" t="str">
        <f>IF('THE BOARD'!U451 = "NESTED","",IF('THE BOARD'!D445&lt;&gt;"",'THE BOARD'!D445+0.72,""))</f>
        <v/>
      </c>
      <c r="D692" s="99" t="str">
        <f>IF(C692&lt;&gt;"", IF('THE BOARD'!U451 = "NESTED","",'THE BOARD'!D445 + IF(C692&lt;&gt;"", 0.72,0)),"")</f>
        <v/>
      </c>
      <c r="E692" s="68">
        <f>'THE BOARD'!E445</f>
        <v>0</v>
      </c>
      <c r="F692" s="68">
        <f>'THE BOARD'!F445</f>
        <v>0</v>
      </c>
      <c r="G692" s="68">
        <f>'THE BOARD'!G445</f>
        <v>0</v>
      </c>
      <c r="H692" s="68">
        <f>'THE BOARD'!H445</f>
        <v>0</v>
      </c>
      <c r="I692" s="68">
        <f>'THE BOARD'!I445</f>
        <v>0</v>
      </c>
      <c r="J692" s="68">
        <f>'THE BOARD'!Q452</f>
        <v>0</v>
      </c>
      <c r="K692" s="99">
        <f>'THE BOARD'!U451</f>
        <v>0</v>
      </c>
    </row>
    <row r="693" spans="1:11" ht="12.75" x14ac:dyDescent="0.2">
      <c r="A693" s="68">
        <f>'THE BOARD'!A446</f>
        <v>0</v>
      </c>
      <c r="B693" s="68">
        <f>'THE BOARD'!B446</f>
        <v>0</v>
      </c>
      <c r="C693" s="99" t="str">
        <f>IF('THE BOARD'!U452 = "NESTED","",IF('THE BOARD'!D446&lt;&gt;"",'THE BOARD'!D446+0.72,""))</f>
        <v/>
      </c>
      <c r="D693" s="99" t="str">
        <f>IF(C693&lt;&gt;"", IF('THE BOARD'!U452 = "NESTED","",'THE BOARD'!D446 + IF(C693&lt;&gt;"", 0.72,0)),"")</f>
        <v/>
      </c>
      <c r="E693" s="68">
        <f>'THE BOARD'!E446</f>
        <v>0</v>
      </c>
      <c r="F693" s="68">
        <f>'THE BOARD'!F446</f>
        <v>0</v>
      </c>
      <c r="G693" s="68">
        <f>'THE BOARD'!G446</f>
        <v>0</v>
      </c>
      <c r="H693" s="68">
        <f>'THE BOARD'!H446</f>
        <v>0</v>
      </c>
      <c r="I693" s="68">
        <f>'THE BOARD'!I446</f>
        <v>0</v>
      </c>
      <c r="J693" s="68">
        <f>'THE BOARD'!Q453</f>
        <v>0</v>
      </c>
      <c r="K693" s="99">
        <f>'THE BOARD'!U452</f>
        <v>0</v>
      </c>
    </row>
    <row r="694" spans="1:11" ht="12.75" x14ac:dyDescent="0.2">
      <c r="A694" s="68">
        <f>'THE BOARD'!A447</f>
        <v>0</v>
      </c>
      <c r="B694" s="68">
        <f>'THE BOARD'!B447</f>
        <v>0</v>
      </c>
      <c r="C694" s="99" t="str">
        <f>IF('THE BOARD'!U453 = "NESTED","",IF('THE BOARD'!D447&lt;&gt;"",'THE BOARD'!D447+0.72,""))</f>
        <v/>
      </c>
      <c r="D694" s="99" t="str">
        <f>IF(C694&lt;&gt;"", IF('THE BOARD'!U453 = "NESTED","",'THE BOARD'!D447 + IF(C694&lt;&gt;"", 0.72,0)),"")</f>
        <v/>
      </c>
      <c r="E694" s="68">
        <f>'THE BOARD'!E447</f>
        <v>0</v>
      </c>
      <c r="F694" s="68">
        <f>'THE BOARD'!F447</f>
        <v>0</v>
      </c>
      <c r="G694" s="68">
        <f>'THE BOARD'!G447</f>
        <v>0</v>
      </c>
      <c r="H694" s="68">
        <f>'THE BOARD'!H447</f>
        <v>0</v>
      </c>
      <c r="I694" s="68">
        <f>'THE BOARD'!I447</f>
        <v>0</v>
      </c>
      <c r="J694" s="68">
        <f>'THE BOARD'!Q454</f>
        <v>0</v>
      </c>
      <c r="K694" s="99">
        <f>'THE BOARD'!U453</f>
        <v>0</v>
      </c>
    </row>
    <row r="695" spans="1:11" ht="12.75" x14ac:dyDescent="0.2">
      <c r="A695" s="68">
        <f>'THE BOARD'!A448</f>
        <v>0</v>
      </c>
      <c r="B695" s="68">
        <f>'THE BOARD'!B448</f>
        <v>0</v>
      </c>
      <c r="C695" s="99" t="str">
        <f>IF('THE BOARD'!U454 = "NESTED","",IF('THE BOARD'!D448&lt;&gt;"",'THE BOARD'!D448+0.72,""))</f>
        <v/>
      </c>
      <c r="D695" s="99" t="str">
        <f>IF(C695&lt;&gt;"", IF('THE BOARD'!U454 = "NESTED","",'THE BOARD'!D448 + IF(C695&lt;&gt;"", 0.72,0)),"")</f>
        <v/>
      </c>
      <c r="E695" s="68">
        <f>'THE BOARD'!E448</f>
        <v>0</v>
      </c>
      <c r="F695" s="68">
        <f>'THE BOARD'!F448</f>
        <v>0</v>
      </c>
      <c r="G695" s="68">
        <f>'THE BOARD'!G448</f>
        <v>0</v>
      </c>
      <c r="H695" s="68">
        <f>'THE BOARD'!H448</f>
        <v>0</v>
      </c>
      <c r="I695" s="68">
        <f>'THE BOARD'!I448</f>
        <v>0</v>
      </c>
      <c r="J695" s="68">
        <f>'THE BOARD'!Q455</f>
        <v>0</v>
      </c>
      <c r="K695" s="99">
        <f>'THE BOARD'!U454</f>
        <v>0</v>
      </c>
    </row>
    <row r="696" spans="1:11" ht="12.75" x14ac:dyDescent="0.2">
      <c r="A696" s="68">
        <f>'THE BOARD'!A449</f>
        <v>0</v>
      </c>
      <c r="B696" s="68">
        <f>'THE BOARD'!B449</f>
        <v>0</v>
      </c>
      <c r="C696" s="99" t="str">
        <f>IF('THE BOARD'!U455 = "NESTED","",IF('THE BOARD'!D449&lt;&gt;"",'THE BOARD'!D449+0.72,""))</f>
        <v/>
      </c>
      <c r="D696" s="99" t="str">
        <f>IF(C696&lt;&gt;"", IF('THE BOARD'!U455 = "NESTED","",'THE BOARD'!D449 + IF(C696&lt;&gt;"", 0.72,0)),"")</f>
        <v/>
      </c>
      <c r="E696" s="68">
        <f>'THE BOARD'!E449</f>
        <v>0</v>
      </c>
      <c r="F696" s="68">
        <f>'THE BOARD'!F449</f>
        <v>0</v>
      </c>
      <c r="G696" s="68">
        <f>'THE BOARD'!G449</f>
        <v>0</v>
      </c>
      <c r="H696" s="68">
        <f>'THE BOARD'!H449</f>
        <v>0</v>
      </c>
      <c r="I696" s="68">
        <f>'THE BOARD'!I449</f>
        <v>0</v>
      </c>
      <c r="J696" s="68">
        <f>'THE BOARD'!Q456</f>
        <v>0</v>
      </c>
      <c r="K696" s="99">
        <f>'THE BOARD'!U455</f>
        <v>0</v>
      </c>
    </row>
    <row r="697" spans="1:11" ht="12.75" x14ac:dyDescent="0.2">
      <c r="A697" s="68">
        <f>'THE BOARD'!A450</f>
        <v>0</v>
      </c>
      <c r="B697" s="68">
        <f>'THE BOARD'!B450</f>
        <v>0</v>
      </c>
      <c r="C697" s="99" t="str">
        <f>IF('THE BOARD'!U456 = "NESTED","",IF('THE BOARD'!D450&lt;&gt;"",'THE BOARD'!D450+0.72,""))</f>
        <v/>
      </c>
      <c r="D697" s="99" t="str">
        <f>IF(C697&lt;&gt;"", IF('THE BOARD'!U456 = "NESTED","",'THE BOARD'!D450 + IF(C697&lt;&gt;"", 0.72,0)),"")</f>
        <v/>
      </c>
      <c r="E697" s="68">
        <f>'THE BOARD'!E450</f>
        <v>0</v>
      </c>
      <c r="F697" s="68">
        <f>'THE BOARD'!F450</f>
        <v>0</v>
      </c>
      <c r="G697" s="68">
        <f>'THE BOARD'!G450</f>
        <v>0</v>
      </c>
      <c r="H697" s="68">
        <f>'THE BOARD'!H450</f>
        <v>0</v>
      </c>
      <c r="I697" s="68">
        <f>'THE BOARD'!I450</f>
        <v>0</v>
      </c>
      <c r="J697" s="68">
        <f>'THE BOARD'!Q457</f>
        <v>0</v>
      </c>
      <c r="K697" s="99">
        <f>'THE BOARD'!U456</f>
        <v>0</v>
      </c>
    </row>
    <row r="698" spans="1:11" ht="12.75" x14ac:dyDescent="0.2">
      <c r="A698" s="68">
        <f>'THE BOARD'!A451</f>
        <v>0</v>
      </c>
      <c r="B698" s="68">
        <f>'THE BOARD'!B451</f>
        <v>0</v>
      </c>
      <c r="C698" s="99" t="str">
        <f>IF('THE BOARD'!U457 = "NESTED","",IF('THE BOARD'!D451&lt;&gt;"",'THE BOARD'!D451+0.72,""))</f>
        <v/>
      </c>
      <c r="D698" s="99" t="str">
        <f>IF(C698&lt;&gt;"", IF('THE BOARD'!U457 = "NESTED","",'THE BOARD'!D451 + IF(C698&lt;&gt;"", 0.72,0)),"")</f>
        <v/>
      </c>
      <c r="E698" s="68">
        <f>'THE BOARD'!E451</f>
        <v>0</v>
      </c>
      <c r="F698" s="68">
        <f>'THE BOARD'!F451</f>
        <v>0</v>
      </c>
      <c r="G698" s="68">
        <f>'THE BOARD'!G451</f>
        <v>0</v>
      </c>
      <c r="H698" s="68">
        <f>'THE BOARD'!H451</f>
        <v>0</v>
      </c>
      <c r="I698" s="68">
        <f>'THE BOARD'!I451</f>
        <v>0</v>
      </c>
      <c r="J698" s="68">
        <f>'THE BOARD'!Q458</f>
        <v>0</v>
      </c>
      <c r="K698" s="99">
        <f>'THE BOARD'!U457</f>
        <v>0</v>
      </c>
    </row>
    <row r="699" spans="1:11" ht="12.75" x14ac:dyDescent="0.2">
      <c r="A699" s="68">
        <f>'THE BOARD'!A452</f>
        <v>0</v>
      </c>
      <c r="B699" s="68">
        <f>'THE BOARD'!B452</f>
        <v>0</v>
      </c>
      <c r="C699" s="99" t="str">
        <f>IF('THE BOARD'!U458 = "NESTED","",IF('THE BOARD'!D452&lt;&gt;"",'THE BOARD'!D452+0.72,""))</f>
        <v/>
      </c>
      <c r="D699" s="99" t="str">
        <f>IF(C699&lt;&gt;"", IF('THE BOARD'!U458 = "NESTED","",'THE BOARD'!D452 + IF(C699&lt;&gt;"", 0.72,0)),"")</f>
        <v/>
      </c>
      <c r="E699" s="68">
        <f>'THE BOARD'!E452</f>
        <v>0</v>
      </c>
      <c r="F699" s="68">
        <f>'THE BOARD'!F452</f>
        <v>0</v>
      </c>
      <c r="G699" s="68">
        <f>'THE BOARD'!G452</f>
        <v>0</v>
      </c>
      <c r="H699" s="68">
        <f>'THE BOARD'!H452</f>
        <v>0</v>
      </c>
      <c r="I699" s="68">
        <f>'THE BOARD'!I452</f>
        <v>0</v>
      </c>
      <c r="J699" s="68">
        <f>'THE BOARD'!Q459</f>
        <v>0</v>
      </c>
      <c r="K699" s="99">
        <f>'THE BOARD'!U458</f>
        <v>0</v>
      </c>
    </row>
    <row r="700" spans="1:11" ht="12.75" x14ac:dyDescent="0.2">
      <c r="A700" s="68">
        <f>'THE BOARD'!A453</f>
        <v>0</v>
      </c>
      <c r="B700" s="68">
        <f>'THE BOARD'!B453</f>
        <v>0</v>
      </c>
      <c r="C700" s="99" t="str">
        <f>IF('THE BOARD'!U459 = "NESTED","",IF('THE BOARD'!D453&lt;&gt;"",'THE BOARD'!D453+0.72,""))</f>
        <v/>
      </c>
      <c r="D700" s="99" t="str">
        <f>IF(C700&lt;&gt;"", IF('THE BOARD'!U459 = "NESTED","",'THE BOARD'!D453 + IF(C700&lt;&gt;"", 0.72,0)),"")</f>
        <v/>
      </c>
      <c r="E700" s="68">
        <f>'THE BOARD'!E453</f>
        <v>0</v>
      </c>
      <c r="F700" s="68">
        <f>'THE BOARD'!F453</f>
        <v>0</v>
      </c>
      <c r="G700" s="68">
        <f>'THE BOARD'!G453</f>
        <v>0</v>
      </c>
      <c r="H700" s="68">
        <f>'THE BOARD'!H453</f>
        <v>0</v>
      </c>
      <c r="I700" s="68">
        <f>'THE BOARD'!I453</f>
        <v>0</v>
      </c>
      <c r="J700" s="68">
        <f>'THE BOARD'!Q460</f>
        <v>0</v>
      </c>
      <c r="K700" s="99">
        <f>'THE BOARD'!U459</f>
        <v>0</v>
      </c>
    </row>
    <row r="701" spans="1:11" ht="12.75" x14ac:dyDescent="0.2">
      <c r="A701" s="68">
        <f>'THE BOARD'!A454</f>
        <v>0</v>
      </c>
      <c r="B701" s="68">
        <f>'THE BOARD'!B454</f>
        <v>0</v>
      </c>
      <c r="C701" s="99" t="str">
        <f>IF('THE BOARD'!U460 = "NESTED","",IF('THE BOARD'!D454&lt;&gt;"",'THE BOARD'!D454+0.72,""))</f>
        <v/>
      </c>
      <c r="D701" s="99" t="str">
        <f>IF(C701&lt;&gt;"", IF('THE BOARD'!U460 = "NESTED","",'THE BOARD'!D454 + IF(C701&lt;&gt;"", 0.72,0)),"")</f>
        <v/>
      </c>
      <c r="E701" s="68">
        <f>'THE BOARD'!E454</f>
        <v>0</v>
      </c>
      <c r="F701" s="68">
        <f>'THE BOARD'!F454</f>
        <v>0</v>
      </c>
      <c r="G701" s="68">
        <f>'THE BOARD'!G454</f>
        <v>0</v>
      </c>
      <c r="H701" s="68">
        <f>'THE BOARD'!H454</f>
        <v>0</v>
      </c>
      <c r="I701" s="68">
        <f>'THE BOARD'!I454</f>
        <v>0</v>
      </c>
      <c r="J701" s="68">
        <f>'THE BOARD'!Q461</f>
        <v>0</v>
      </c>
      <c r="K701" s="99">
        <f>'THE BOARD'!U460</f>
        <v>0</v>
      </c>
    </row>
    <row r="702" spans="1:11" ht="12.75" x14ac:dyDescent="0.2">
      <c r="A702" s="68">
        <f>'THE BOARD'!A455</f>
        <v>0</v>
      </c>
      <c r="B702" s="68">
        <f>'THE BOARD'!B455</f>
        <v>0</v>
      </c>
      <c r="C702" s="99" t="str">
        <f>IF('THE BOARD'!U461 = "NESTED","",IF('THE BOARD'!D455&lt;&gt;"",'THE BOARD'!D455+0.72,""))</f>
        <v/>
      </c>
      <c r="D702" s="99" t="str">
        <f>IF(C702&lt;&gt;"", IF('THE BOARD'!U461 = "NESTED","",'THE BOARD'!D455 + IF(C702&lt;&gt;"", 0.72,0)),"")</f>
        <v/>
      </c>
      <c r="E702" s="68">
        <f>'THE BOARD'!E455</f>
        <v>0</v>
      </c>
      <c r="F702" s="68">
        <f>'THE BOARD'!F455</f>
        <v>0</v>
      </c>
      <c r="G702" s="68">
        <f>'THE BOARD'!G455</f>
        <v>0</v>
      </c>
      <c r="H702" s="68">
        <f>'THE BOARD'!H455</f>
        <v>0</v>
      </c>
      <c r="I702" s="68">
        <f>'THE BOARD'!I455</f>
        <v>0</v>
      </c>
      <c r="J702" s="68">
        <f>'THE BOARD'!Q462</f>
        <v>0</v>
      </c>
      <c r="K702" s="99">
        <f>'THE BOARD'!U461</f>
        <v>0</v>
      </c>
    </row>
    <row r="703" spans="1:11" ht="12.75" x14ac:dyDescent="0.2">
      <c r="A703" s="68">
        <f>'THE BOARD'!A456</f>
        <v>0</v>
      </c>
      <c r="B703" s="68">
        <f>'THE BOARD'!B456</f>
        <v>0</v>
      </c>
      <c r="C703" s="99" t="str">
        <f>IF('THE BOARD'!U462 = "NESTED","",IF('THE BOARD'!D456&lt;&gt;"",'THE BOARD'!D456+0.72,""))</f>
        <v/>
      </c>
      <c r="D703" s="99" t="str">
        <f>IF(C703&lt;&gt;"", IF('THE BOARD'!U462 = "NESTED","",'THE BOARD'!D456 + IF(C703&lt;&gt;"", 0.72,0)),"")</f>
        <v/>
      </c>
      <c r="E703" s="68">
        <f>'THE BOARD'!E456</f>
        <v>0</v>
      </c>
      <c r="F703" s="68">
        <f>'THE BOARD'!F456</f>
        <v>0</v>
      </c>
      <c r="G703" s="68">
        <f>'THE BOARD'!G456</f>
        <v>0</v>
      </c>
      <c r="H703" s="68">
        <f>'THE BOARD'!H456</f>
        <v>0</v>
      </c>
      <c r="I703" s="68">
        <f>'THE BOARD'!I456</f>
        <v>0</v>
      </c>
      <c r="J703" s="68">
        <f>'THE BOARD'!Q463</f>
        <v>0</v>
      </c>
      <c r="K703" s="99">
        <f>'THE BOARD'!U462</f>
        <v>0</v>
      </c>
    </row>
    <row r="704" spans="1:11" ht="12.75" x14ac:dyDescent="0.2">
      <c r="A704" s="68">
        <f>'THE BOARD'!A457</f>
        <v>0</v>
      </c>
      <c r="B704" s="68">
        <f>'THE BOARD'!B457</f>
        <v>0</v>
      </c>
      <c r="C704" s="99" t="str">
        <f>IF('THE BOARD'!U463 = "NESTED","",IF('THE BOARD'!D457&lt;&gt;"",'THE BOARD'!D457+0.72,""))</f>
        <v/>
      </c>
      <c r="D704" s="99" t="str">
        <f>IF(C704&lt;&gt;"", IF('THE BOARD'!U463 = "NESTED","",'THE BOARD'!D457 + IF(C704&lt;&gt;"", 0.72,0)),"")</f>
        <v/>
      </c>
      <c r="E704" s="68">
        <f>'THE BOARD'!E457</f>
        <v>0</v>
      </c>
      <c r="F704" s="68">
        <f>'THE BOARD'!F457</f>
        <v>0</v>
      </c>
      <c r="G704" s="68">
        <f>'THE BOARD'!G457</f>
        <v>0</v>
      </c>
      <c r="H704" s="68">
        <f>'THE BOARD'!H457</f>
        <v>0</v>
      </c>
      <c r="I704" s="68">
        <f>'THE BOARD'!I457</f>
        <v>0</v>
      </c>
      <c r="J704" s="68">
        <f>'THE BOARD'!Q464</f>
        <v>0</v>
      </c>
      <c r="K704" s="99">
        <f>'THE BOARD'!U463</f>
        <v>0</v>
      </c>
    </row>
    <row r="705" spans="1:11" ht="12.75" x14ac:dyDescent="0.2">
      <c r="A705" s="68">
        <f>'THE BOARD'!A458</f>
        <v>0</v>
      </c>
      <c r="B705" s="68">
        <f>'THE BOARD'!B458</f>
        <v>0</v>
      </c>
      <c r="C705" s="99" t="str">
        <f>IF('THE BOARD'!U464 = "NESTED","",IF('THE BOARD'!D458&lt;&gt;"",'THE BOARD'!D458+0.72,""))</f>
        <v/>
      </c>
      <c r="D705" s="99" t="str">
        <f>IF(C705&lt;&gt;"", IF('THE BOARD'!U464 = "NESTED","",'THE BOARD'!D458 + IF(C705&lt;&gt;"", 0.72,0)),"")</f>
        <v/>
      </c>
      <c r="E705" s="68">
        <f>'THE BOARD'!E458</f>
        <v>0</v>
      </c>
      <c r="F705" s="68">
        <f>'THE BOARD'!F458</f>
        <v>0</v>
      </c>
      <c r="G705" s="68">
        <f>'THE BOARD'!G458</f>
        <v>0</v>
      </c>
      <c r="H705" s="68">
        <f>'THE BOARD'!H458</f>
        <v>0</v>
      </c>
      <c r="I705" s="68">
        <f>'THE BOARD'!I458</f>
        <v>0</v>
      </c>
      <c r="J705" s="68">
        <f>'THE BOARD'!Q465</f>
        <v>0</v>
      </c>
      <c r="K705" s="99">
        <f>'THE BOARD'!U464</f>
        <v>0</v>
      </c>
    </row>
    <row r="706" spans="1:11" ht="12.75" x14ac:dyDescent="0.2">
      <c r="A706" s="68">
        <f>'THE BOARD'!A459</f>
        <v>0</v>
      </c>
      <c r="B706" s="68">
        <f>'THE BOARD'!B459</f>
        <v>0</v>
      </c>
      <c r="C706" s="99" t="str">
        <f>IF('THE BOARD'!U465 = "NESTED","",IF('THE BOARD'!D459&lt;&gt;"",'THE BOARD'!D459+0.72,""))</f>
        <v/>
      </c>
      <c r="D706" s="99" t="str">
        <f>IF(C706&lt;&gt;"", IF('THE BOARD'!U465 = "NESTED","",'THE BOARD'!D459 + IF(C706&lt;&gt;"", 0.72,0)),"")</f>
        <v/>
      </c>
      <c r="E706" s="68">
        <f>'THE BOARD'!E459</f>
        <v>0</v>
      </c>
      <c r="F706" s="68">
        <f>'THE BOARD'!F459</f>
        <v>0</v>
      </c>
      <c r="G706" s="68">
        <f>'THE BOARD'!G459</f>
        <v>0</v>
      </c>
      <c r="H706" s="68">
        <f>'THE BOARD'!H459</f>
        <v>0</v>
      </c>
      <c r="I706" s="68">
        <f>'THE BOARD'!I459</f>
        <v>0</v>
      </c>
      <c r="J706" s="68">
        <f>'THE BOARD'!Q466</f>
        <v>0</v>
      </c>
      <c r="K706" s="99">
        <f>'THE BOARD'!U465</f>
        <v>0</v>
      </c>
    </row>
    <row r="707" spans="1:11" ht="12.75" x14ac:dyDescent="0.2">
      <c r="A707" s="68">
        <f>'THE BOARD'!A460</f>
        <v>0</v>
      </c>
      <c r="B707" s="68">
        <f>'THE BOARD'!B460</f>
        <v>0</v>
      </c>
      <c r="C707" s="99" t="str">
        <f>IF('THE BOARD'!U466 = "NESTED","",IF('THE BOARD'!D460&lt;&gt;"",'THE BOARD'!D460+0.72,""))</f>
        <v/>
      </c>
      <c r="D707" s="99" t="str">
        <f>IF(C707&lt;&gt;"", IF('THE BOARD'!U466 = "NESTED","",'THE BOARD'!D460 + IF(C707&lt;&gt;"", 0.72,0)),"")</f>
        <v/>
      </c>
      <c r="E707" s="68">
        <f>'THE BOARD'!E460</f>
        <v>0</v>
      </c>
      <c r="F707" s="68">
        <f>'THE BOARD'!F460</f>
        <v>0</v>
      </c>
      <c r="G707" s="68">
        <f>'THE BOARD'!G460</f>
        <v>0</v>
      </c>
      <c r="H707" s="68">
        <f>'THE BOARD'!H460</f>
        <v>0</v>
      </c>
      <c r="I707" s="68">
        <f>'THE BOARD'!I460</f>
        <v>0</v>
      </c>
      <c r="J707" s="68">
        <f>'THE BOARD'!Q467</f>
        <v>0</v>
      </c>
      <c r="K707" s="99">
        <f>'THE BOARD'!U466</f>
        <v>0</v>
      </c>
    </row>
    <row r="708" spans="1:11" ht="12.75" x14ac:dyDescent="0.2">
      <c r="A708" s="68">
        <f>'THE BOARD'!A461</f>
        <v>0</v>
      </c>
      <c r="B708" s="68">
        <f>'THE BOARD'!B461</f>
        <v>0</v>
      </c>
      <c r="C708" s="99" t="str">
        <f>IF('THE BOARD'!U467 = "NESTED","",IF('THE BOARD'!D461&lt;&gt;"",'THE BOARD'!D461+0.72,""))</f>
        <v/>
      </c>
      <c r="D708" s="99" t="str">
        <f>IF(C708&lt;&gt;"", IF('THE BOARD'!U467 = "NESTED","",'THE BOARD'!D461 + IF(C708&lt;&gt;"", 0.72,0)),"")</f>
        <v/>
      </c>
      <c r="E708" s="68">
        <f>'THE BOARD'!E461</f>
        <v>0</v>
      </c>
      <c r="F708" s="68">
        <f>'THE BOARD'!F461</f>
        <v>0</v>
      </c>
      <c r="G708" s="68">
        <f>'THE BOARD'!G461</f>
        <v>0</v>
      </c>
      <c r="H708" s="68">
        <f>'THE BOARD'!H461</f>
        <v>0</v>
      </c>
      <c r="I708" s="68">
        <f>'THE BOARD'!I461</f>
        <v>0</v>
      </c>
      <c r="J708" s="68">
        <f>'THE BOARD'!Q468</f>
        <v>0</v>
      </c>
      <c r="K708" s="99">
        <f>'THE BOARD'!U467</f>
        <v>0</v>
      </c>
    </row>
    <row r="709" spans="1:11" ht="12.75" x14ac:dyDescent="0.2">
      <c r="A709" s="68">
        <f>'THE BOARD'!A462</f>
        <v>0</v>
      </c>
      <c r="B709" s="68">
        <f>'THE BOARD'!B462</f>
        <v>0</v>
      </c>
      <c r="C709" s="99" t="str">
        <f>IF('THE BOARD'!U468 = "NESTED","",IF('THE BOARD'!D462&lt;&gt;"",'THE BOARD'!D462+0.72,""))</f>
        <v/>
      </c>
      <c r="D709" s="99" t="str">
        <f>IF(C709&lt;&gt;"", IF('THE BOARD'!U468 = "NESTED","",'THE BOARD'!D462 + IF(C709&lt;&gt;"", 0.72,0)),"")</f>
        <v/>
      </c>
      <c r="E709" s="68">
        <f>'THE BOARD'!E462</f>
        <v>0</v>
      </c>
      <c r="F709" s="68">
        <f>'THE BOARD'!F462</f>
        <v>0</v>
      </c>
      <c r="G709" s="68">
        <f>'THE BOARD'!G462</f>
        <v>0</v>
      </c>
      <c r="H709" s="68">
        <f>'THE BOARD'!H462</f>
        <v>0</v>
      </c>
      <c r="I709" s="68">
        <f>'THE BOARD'!I462</f>
        <v>0</v>
      </c>
      <c r="J709" s="68">
        <f>'THE BOARD'!Q469</f>
        <v>0</v>
      </c>
      <c r="K709" s="99">
        <f>'THE BOARD'!U468</f>
        <v>0</v>
      </c>
    </row>
    <row r="710" spans="1:11" ht="12.75" x14ac:dyDescent="0.2">
      <c r="A710" s="68">
        <f>'THE BOARD'!A463</f>
        <v>0</v>
      </c>
      <c r="B710" s="68">
        <f>'THE BOARD'!B463</f>
        <v>0</v>
      </c>
      <c r="C710" s="99" t="str">
        <f>IF('THE BOARD'!U469 = "NESTED","",IF('THE BOARD'!D463&lt;&gt;"",'THE BOARD'!D463+0.72,""))</f>
        <v/>
      </c>
      <c r="D710" s="99" t="str">
        <f>IF(C710&lt;&gt;"", IF('THE BOARD'!U469 = "NESTED","",'THE BOARD'!D463 + IF(C710&lt;&gt;"", 0.72,0)),"")</f>
        <v/>
      </c>
      <c r="E710" s="68">
        <f>'THE BOARD'!E463</f>
        <v>0</v>
      </c>
      <c r="F710" s="68">
        <f>'THE BOARD'!F463</f>
        <v>0</v>
      </c>
      <c r="G710" s="68">
        <f>'THE BOARD'!G463</f>
        <v>0</v>
      </c>
      <c r="H710" s="68">
        <f>'THE BOARD'!H463</f>
        <v>0</v>
      </c>
      <c r="I710" s="68">
        <f>'THE BOARD'!I463</f>
        <v>0</v>
      </c>
      <c r="J710" s="68">
        <f>'THE BOARD'!Q470</f>
        <v>0</v>
      </c>
      <c r="K710" s="99">
        <f>'THE BOARD'!U469</f>
        <v>0</v>
      </c>
    </row>
    <row r="711" spans="1:11" ht="12.75" x14ac:dyDescent="0.2">
      <c r="A711" s="68">
        <f>'THE BOARD'!A464</f>
        <v>0</v>
      </c>
      <c r="B711" s="68">
        <f>'THE BOARD'!B464</f>
        <v>0</v>
      </c>
      <c r="C711" s="99" t="str">
        <f>IF('THE BOARD'!U470 = "NESTED","",IF('THE BOARD'!D464&lt;&gt;"",'THE BOARD'!D464+0.72,""))</f>
        <v/>
      </c>
      <c r="D711" s="99" t="str">
        <f>IF(C711&lt;&gt;"", IF('THE BOARD'!U470 = "NESTED","",'THE BOARD'!D464 + IF(C711&lt;&gt;"", 0.72,0)),"")</f>
        <v/>
      </c>
      <c r="E711" s="68">
        <f>'THE BOARD'!E464</f>
        <v>0</v>
      </c>
      <c r="F711" s="68">
        <f>'THE BOARD'!F464</f>
        <v>0</v>
      </c>
      <c r="G711" s="68">
        <f>'THE BOARD'!G464</f>
        <v>0</v>
      </c>
      <c r="H711" s="68">
        <f>'THE BOARD'!H464</f>
        <v>0</v>
      </c>
      <c r="I711" s="68">
        <f>'THE BOARD'!I464</f>
        <v>0</v>
      </c>
      <c r="J711" s="68">
        <f>'THE BOARD'!Q471</f>
        <v>0</v>
      </c>
      <c r="K711" s="99">
        <f>'THE BOARD'!U470</f>
        <v>0</v>
      </c>
    </row>
    <row r="712" spans="1:11" ht="12.75" x14ac:dyDescent="0.2">
      <c r="A712" s="68">
        <f>'THE BOARD'!A465</f>
        <v>0</v>
      </c>
      <c r="B712" s="68">
        <f>'THE BOARD'!B465</f>
        <v>0</v>
      </c>
      <c r="C712" s="99" t="str">
        <f>IF('THE BOARD'!U471 = "NESTED","",IF('THE BOARD'!D465&lt;&gt;"",'THE BOARD'!D465+0.72,""))</f>
        <v/>
      </c>
      <c r="D712" s="99" t="str">
        <f>IF(C712&lt;&gt;"", IF('THE BOARD'!U471 = "NESTED","",'THE BOARD'!D465 + IF(C712&lt;&gt;"", 0.72,0)),"")</f>
        <v/>
      </c>
      <c r="E712" s="68">
        <f>'THE BOARD'!E465</f>
        <v>0</v>
      </c>
      <c r="F712" s="68">
        <f>'THE BOARD'!F465</f>
        <v>0</v>
      </c>
      <c r="G712" s="68">
        <f>'THE BOARD'!G465</f>
        <v>0</v>
      </c>
      <c r="H712" s="68">
        <f>'THE BOARD'!H465</f>
        <v>0</v>
      </c>
      <c r="I712" s="68">
        <f>'THE BOARD'!I465</f>
        <v>0</v>
      </c>
      <c r="J712" s="68">
        <f>'THE BOARD'!Q472</f>
        <v>0</v>
      </c>
      <c r="K712" s="99">
        <f>'THE BOARD'!U471</f>
        <v>0</v>
      </c>
    </row>
    <row r="713" spans="1:11" ht="12.75" x14ac:dyDescent="0.2">
      <c r="A713" s="68">
        <f>'THE BOARD'!A466</f>
        <v>0</v>
      </c>
      <c r="B713" s="68">
        <f>'THE BOARD'!B466</f>
        <v>0</v>
      </c>
      <c r="C713" s="99" t="str">
        <f>IF('THE BOARD'!U472 = "NESTED","",IF('THE BOARD'!D466&lt;&gt;"",'THE BOARD'!D466+0.72,""))</f>
        <v/>
      </c>
      <c r="D713" s="99" t="str">
        <f>IF(C713&lt;&gt;"", IF('THE BOARD'!U472 = "NESTED","",'THE BOARD'!D466 + IF(C713&lt;&gt;"", 0.72,0)),"")</f>
        <v/>
      </c>
      <c r="E713" s="68">
        <f>'THE BOARD'!E466</f>
        <v>0</v>
      </c>
      <c r="F713" s="68">
        <f>'THE BOARD'!F466</f>
        <v>0</v>
      </c>
      <c r="G713" s="68">
        <f>'THE BOARD'!G466</f>
        <v>0</v>
      </c>
      <c r="H713" s="68">
        <f>'THE BOARD'!H466</f>
        <v>0</v>
      </c>
      <c r="I713" s="68">
        <f>'THE BOARD'!I466</f>
        <v>0</v>
      </c>
      <c r="J713" s="68">
        <f>'THE BOARD'!Q473</f>
        <v>0</v>
      </c>
      <c r="K713" s="99">
        <f>'THE BOARD'!U472</f>
        <v>0</v>
      </c>
    </row>
    <row r="714" spans="1:11" ht="12.75" x14ac:dyDescent="0.2">
      <c r="A714" s="68">
        <f>'THE BOARD'!A467</f>
        <v>0</v>
      </c>
      <c r="B714" s="68">
        <f>'THE BOARD'!B467</f>
        <v>0</v>
      </c>
      <c r="C714" s="99" t="str">
        <f>IF('THE BOARD'!U473 = "NESTED","",IF('THE BOARD'!D467&lt;&gt;"",'THE BOARD'!D467+0.72,""))</f>
        <v/>
      </c>
      <c r="D714" s="99" t="str">
        <f>IF(C714&lt;&gt;"", IF('THE BOARD'!U473 = "NESTED","",'THE BOARD'!D467 + IF(C714&lt;&gt;"", 0.72,0)),"")</f>
        <v/>
      </c>
      <c r="E714" s="68">
        <f>'THE BOARD'!E467</f>
        <v>0</v>
      </c>
      <c r="F714" s="68">
        <f>'THE BOARD'!F467</f>
        <v>0</v>
      </c>
      <c r="G714" s="68">
        <f>'THE BOARD'!G467</f>
        <v>0</v>
      </c>
      <c r="H714" s="68">
        <f>'THE BOARD'!H467</f>
        <v>0</v>
      </c>
      <c r="I714" s="68">
        <f>'THE BOARD'!I467</f>
        <v>0</v>
      </c>
      <c r="J714" s="68">
        <f>'THE BOARD'!Q474</f>
        <v>0</v>
      </c>
      <c r="K714" s="99">
        <f>'THE BOARD'!U473</f>
        <v>0</v>
      </c>
    </row>
    <row r="715" spans="1:11" ht="12.75" x14ac:dyDescent="0.2">
      <c r="A715" s="68">
        <f>'THE BOARD'!A468</f>
        <v>0</v>
      </c>
      <c r="B715" s="68">
        <f>'THE BOARD'!B468</f>
        <v>0</v>
      </c>
      <c r="C715" s="99" t="str">
        <f>IF('THE BOARD'!U474 = "NESTED","",IF('THE BOARD'!D468&lt;&gt;"",'THE BOARD'!D468+0.72,""))</f>
        <v/>
      </c>
      <c r="D715" s="99" t="str">
        <f>IF(C715&lt;&gt;"", IF('THE BOARD'!U474 = "NESTED","",'THE BOARD'!D468 + IF(C715&lt;&gt;"", 0.72,0)),"")</f>
        <v/>
      </c>
      <c r="E715" s="68">
        <f>'THE BOARD'!E468</f>
        <v>0</v>
      </c>
      <c r="F715" s="68">
        <f>'THE BOARD'!F468</f>
        <v>0</v>
      </c>
      <c r="G715" s="68">
        <f>'THE BOARD'!G468</f>
        <v>0</v>
      </c>
      <c r="H715" s="68">
        <f>'THE BOARD'!H468</f>
        <v>0</v>
      </c>
      <c r="I715" s="68">
        <f>'THE BOARD'!I468</f>
        <v>0</v>
      </c>
      <c r="J715" s="68">
        <f>'THE BOARD'!Q475</f>
        <v>0</v>
      </c>
      <c r="K715" s="99">
        <f>'THE BOARD'!U474</f>
        <v>0</v>
      </c>
    </row>
    <row r="716" spans="1:11" ht="12.75" x14ac:dyDescent="0.2">
      <c r="A716" s="68">
        <f>'THE BOARD'!A469</f>
        <v>0</v>
      </c>
      <c r="B716" s="68">
        <f>'THE BOARD'!B469</f>
        <v>0</v>
      </c>
      <c r="C716" s="99" t="str">
        <f>IF('THE BOARD'!U475 = "NESTED","",IF('THE BOARD'!D469&lt;&gt;"",'THE BOARD'!D469+0.72,""))</f>
        <v/>
      </c>
      <c r="D716" s="99" t="str">
        <f>IF(C716&lt;&gt;"", IF('THE BOARD'!U475 = "NESTED","",'THE BOARD'!D469 + IF(C716&lt;&gt;"", 0.72,0)),"")</f>
        <v/>
      </c>
      <c r="E716" s="68">
        <f>'THE BOARD'!E469</f>
        <v>0</v>
      </c>
      <c r="F716" s="68">
        <f>'THE BOARD'!F469</f>
        <v>0</v>
      </c>
      <c r="G716" s="68">
        <f>'THE BOARD'!G469</f>
        <v>0</v>
      </c>
      <c r="H716" s="68">
        <f>'THE BOARD'!H469</f>
        <v>0</v>
      </c>
      <c r="I716" s="68">
        <f>'THE BOARD'!I469</f>
        <v>0</v>
      </c>
      <c r="J716" s="68">
        <f>'THE BOARD'!Q476</f>
        <v>0</v>
      </c>
      <c r="K716" s="99">
        <f>'THE BOARD'!U475</f>
        <v>0</v>
      </c>
    </row>
    <row r="717" spans="1:11" ht="12.75" x14ac:dyDescent="0.2">
      <c r="A717" s="68">
        <f>'THE BOARD'!A470</f>
        <v>0</v>
      </c>
      <c r="B717" s="68">
        <f>'THE BOARD'!B470</f>
        <v>0</v>
      </c>
      <c r="C717" s="99" t="str">
        <f>IF('THE BOARD'!U476 = "NESTED","",IF('THE BOARD'!D470&lt;&gt;"",'THE BOARD'!D470+0.72,""))</f>
        <v/>
      </c>
      <c r="D717" s="99" t="str">
        <f>IF(C717&lt;&gt;"", IF('THE BOARD'!U476 = "NESTED","",'THE BOARD'!D470 + IF(C717&lt;&gt;"", 0.72,0)),"")</f>
        <v/>
      </c>
      <c r="E717" s="68">
        <f>'THE BOARD'!E470</f>
        <v>0</v>
      </c>
      <c r="F717" s="68">
        <f>'THE BOARD'!F470</f>
        <v>0</v>
      </c>
      <c r="G717" s="68">
        <f>'THE BOARD'!G470</f>
        <v>0</v>
      </c>
      <c r="H717" s="68">
        <f>'THE BOARD'!H470</f>
        <v>0</v>
      </c>
      <c r="I717" s="68">
        <f>'THE BOARD'!I470</f>
        <v>0</v>
      </c>
      <c r="J717" s="68">
        <f>'THE BOARD'!Q477</f>
        <v>0</v>
      </c>
      <c r="K717" s="99">
        <f>'THE BOARD'!U476</f>
        <v>0</v>
      </c>
    </row>
    <row r="718" spans="1:11" ht="12.75" x14ac:dyDescent="0.2">
      <c r="A718" s="68">
        <f>'THE BOARD'!A471</f>
        <v>0</v>
      </c>
      <c r="B718" s="68">
        <f>'THE BOARD'!B471</f>
        <v>0</v>
      </c>
      <c r="C718" s="99" t="str">
        <f>IF('THE BOARD'!U477 = "NESTED","",IF('THE BOARD'!D471&lt;&gt;"",'THE BOARD'!D471+0.72,""))</f>
        <v/>
      </c>
      <c r="D718" s="99" t="str">
        <f>IF(C718&lt;&gt;"", IF('THE BOARD'!U477 = "NESTED","",'THE BOARD'!D471 + IF(C718&lt;&gt;"", 0.72,0)),"")</f>
        <v/>
      </c>
      <c r="E718" s="68">
        <f>'THE BOARD'!E471</f>
        <v>0</v>
      </c>
      <c r="F718" s="68">
        <f>'THE BOARD'!F471</f>
        <v>0</v>
      </c>
      <c r="G718" s="68">
        <f>'THE BOARD'!G471</f>
        <v>0</v>
      </c>
      <c r="H718" s="68">
        <f>'THE BOARD'!H471</f>
        <v>0</v>
      </c>
      <c r="I718" s="68">
        <f>'THE BOARD'!I471</f>
        <v>0</v>
      </c>
      <c r="J718" s="68">
        <f>'THE BOARD'!Q478</f>
        <v>0</v>
      </c>
      <c r="K718" s="99">
        <f>'THE BOARD'!U477</f>
        <v>0</v>
      </c>
    </row>
    <row r="719" spans="1:11" ht="12.75" x14ac:dyDescent="0.2">
      <c r="A719" s="68">
        <f>'THE BOARD'!A472</f>
        <v>0</v>
      </c>
      <c r="B719" s="68">
        <f>'THE BOARD'!B472</f>
        <v>0</v>
      </c>
      <c r="C719" s="99" t="str">
        <f>IF('THE BOARD'!U478 = "NESTED","",IF('THE BOARD'!D472&lt;&gt;"",'THE BOARD'!D472+0.72,""))</f>
        <v/>
      </c>
      <c r="D719" s="99" t="str">
        <f>IF(C719&lt;&gt;"", IF('THE BOARD'!U478 = "NESTED","",'THE BOARD'!D472 + IF(C719&lt;&gt;"", 0.72,0)),"")</f>
        <v/>
      </c>
      <c r="E719" s="68">
        <f>'THE BOARD'!E472</f>
        <v>0</v>
      </c>
      <c r="F719" s="68">
        <f>'THE BOARD'!F472</f>
        <v>0</v>
      </c>
      <c r="G719" s="68">
        <f>'THE BOARD'!G472</f>
        <v>0</v>
      </c>
      <c r="H719" s="68">
        <f>'THE BOARD'!H472</f>
        <v>0</v>
      </c>
      <c r="I719" s="68">
        <f>'THE BOARD'!I472</f>
        <v>0</v>
      </c>
      <c r="J719" s="68">
        <f>'THE BOARD'!Q479</f>
        <v>0</v>
      </c>
      <c r="K719" s="99">
        <f>'THE BOARD'!U478</f>
        <v>0</v>
      </c>
    </row>
    <row r="720" spans="1:11" ht="12.75" x14ac:dyDescent="0.2">
      <c r="A720" s="68">
        <f>'THE BOARD'!A473</f>
        <v>0</v>
      </c>
      <c r="B720" s="68">
        <f>'THE BOARD'!B473</f>
        <v>0</v>
      </c>
      <c r="C720" s="99" t="str">
        <f>IF('THE BOARD'!U479 = "NESTED","",IF('THE BOARD'!D473&lt;&gt;"",'THE BOARD'!D473+0.72,""))</f>
        <v/>
      </c>
      <c r="D720" s="99" t="str">
        <f>IF(C720&lt;&gt;"", IF('THE BOARD'!U479 = "NESTED","",'THE BOARD'!D473 + IF(C720&lt;&gt;"", 0.72,0)),"")</f>
        <v/>
      </c>
      <c r="E720" s="68">
        <f>'THE BOARD'!E473</f>
        <v>0</v>
      </c>
      <c r="F720" s="68">
        <f>'THE BOARD'!F473</f>
        <v>0</v>
      </c>
      <c r="G720" s="68">
        <f>'THE BOARD'!G473</f>
        <v>0</v>
      </c>
      <c r="H720" s="68">
        <f>'THE BOARD'!H473</f>
        <v>0</v>
      </c>
      <c r="I720" s="68">
        <f>'THE BOARD'!I473</f>
        <v>0</v>
      </c>
      <c r="J720" s="68">
        <f>'THE BOARD'!Q480</f>
        <v>0</v>
      </c>
      <c r="K720" s="99">
        <f>'THE BOARD'!U479</f>
        <v>0</v>
      </c>
    </row>
    <row r="721" spans="1:11" ht="12.75" x14ac:dyDescent="0.2">
      <c r="A721" s="68">
        <f>'THE BOARD'!A474</f>
        <v>0</v>
      </c>
      <c r="B721" s="68">
        <f>'THE BOARD'!B474</f>
        <v>0</v>
      </c>
      <c r="C721" s="99" t="str">
        <f>IF('THE BOARD'!U480 = "NESTED","",IF('THE BOARD'!D474&lt;&gt;"",'THE BOARD'!D474+0.72,""))</f>
        <v/>
      </c>
      <c r="D721" s="99" t="str">
        <f>IF(C721&lt;&gt;"", IF('THE BOARD'!U480 = "NESTED","",'THE BOARD'!D474 + IF(C721&lt;&gt;"", 0.72,0)),"")</f>
        <v/>
      </c>
      <c r="E721" s="68">
        <f>'THE BOARD'!E474</f>
        <v>0</v>
      </c>
      <c r="F721" s="68">
        <f>'THE BOARD'!F474</f>
        <v>0</v>
      </c>
      <c r="G721" s="68">
        <f>'THE BOARD'!G474</f>
        <v>0</v>
      </c>
      <c r="H721" s="68">
        <f>'THE BOARD'!H474</f>
        <v>0</v>
      </c>
      <c r="I721" s="68">
        <f>'THE BOARD'!I474</f>
        <v>0</v>
      </c>
      <c r="J721" s="68">
        <f>'THE BOARD'!Q481</f>
        <v>0</v>
      </c>
      <c r="K721" s="99">
        <f>'THE BOARD'!U480</f>
        <v>0</v>
      </c>
    </row>
    <row r="722" spans="1:11" ht="12.75" x14ac:dyDescent="0.2">
      <c r="A722" s="68">
        <f>'THE BOARD'!A475</f>
        <v>0</v>
      </c>
      <c r="B722" s="68">
        <f>'THE BOARD'!B475</f>
        <v>0</v>
      </c>
      <c r="C722" s="99" t="str">
        <f>IF('THE BOARD'!U481 = "NESTED","",IF('THE BOARD'!D475&lt;&gt;"",'THE BOARD'!D475+0.72,""))</f>
        <v/>
      </c>
      <c r="D722" s="99" t="str">
        <f>IF(C722&lt;&gt;"", IF('THE BOARD'!U481 = "NESTED","",'THE BOARD'!D475 + IF(C722&lt;&gt;"", 0.72,0)),"")</f>
        <v/>
      </c>
      <c r="E722" s="68">
        <f>'THE BOARD'!E475</f>
        <v>0</v>
      </c>
      <c r="F722" s="68">
        <f>'THE BOARD'!F475</f>
        <v>0</v>
      </c>
      <c r="G722" s="68">
        <f>'THE BOARD'!G475</f>
        <v>0</v>
      </c>
      <c r="H722" s="68">
        <f>'THE BOARD'!H475</f>
        <v>0</v>
      </c>
      <c r="I722" s="68">
        <f>'THE BOARD'!I475</f>
        <v>0</v>
      </c>
      <c r="J722" s="68">
        <f>'THE BOARD'!Q482</f>
        <v>0</v>
      </c>
      <c r="K722" s="99">
        <f>'THE BOARD'!U481</f>
        <v>0</v>
      </c>
    </row>
    <row r="723" spans="1:11" ht="12.75" x14ac:dyDescent="0.2">
      <c r="A723" s="68">
        <f>'THE BOARD'!A476</f>
        <v>0</v>
      </c>
      <c r="B723" s="68">
        <f>'THE BOARD'!B476</f>
        <v>0</v>
      </c>
      <c r="C723" s="99" t="str">
        <f>IF('THE BOARD'!U482 = "NESTED","",IF('THE BOARD'!D476&lt;&gt;"",'THE BOARD'!D476+0.72,""))</f>
        <v/>
      </c>
      <c r="D723" s="99" t="str">
        <f>IF(C723&lt;&gt;"", IF('THE BOARD'!U482 = "NESTED","",'THE BOARD'!D476 + IF(C723&lt;&gt;"", 0.72,0)),"")</f>
        <v/>
      </c>
      <c r="E723" s="68">
        <f>'THE BOARD'!E476</f>
        <v>0</v>
      </c>
      <c r="F723" s="68">
        <f>'THE BOARD'!F476</f>
        <v>0</v>
      </c>
      <c r="G723" s="68">
        <f>'THE BOARD'!G476</f>
        <v>0</v>
      </c>
      <c r="H723" s="68">
        <f>'THE BOARD'!H476</f>
        <v>0</v>
      </c>
      <c r="I723" s="68">
        <f>'THE BOARD'!I476</f>
        <v>0</v>
      </c>
      <c r="J723" s="68">
        <f>'THE BOARD'!Q483</f>
        <v>0</v>
      </c>
      <c r="K723" s="99">
        <f>'THE BOARD'!U482</f>
        <v>0</v>
      </c>
    </row>
    <row r="724" spans="1:11" ht="12.75" x14ac:dyDescent="0.2">
      <c r="A724" s="68">
        <f>'THE BOARD'!A477</f>
        <v>0</v>
      </c>
      <c r="B724" s="68">
        <f>'THE BOARD'!B477</f>
        <v>0</v>
      </c>
      <c r="C724" s="99" t="str">
        <f>IF('THE BOARD'!U483 = "NESTED","",IF('THE BOARD'!D477&lt;&gt;"",'THE BOARD'!D477+0.72,""))</f>
        <v/>
      </c>
      <c r="D724" s="99" t="str">
        <f>IF(C724&lt;&gt;"", IF('THE BOARD'!U483 = "NESTED","",'THE BOARD'!D477 + IF(C724&lt;&gt;"", 0.72,0)),"")</f>
        <v/>
      </c>
      <c r="E724" s="68">
        <f>'THE BOARD'!E477</f>
        <v>0</v>
      </c>
      <c r="F724" s="68">
        <f>'THE BOARD'!F477</f>
        <v>0</v>
      </c>
      <c r="G724" s="68">
        <f>'THE BOARD'!G477</f>
        <v>0</v>
      </c>
      <c r="H724" s="68">
        <f>'THE BOARD'!H477</f>
        <v>0</v>
      </c>
      <c r="I724" s="68">
        <f>'THE BOARD'!I477</f>
        <v>0</v>
      </c>
      <c r="J724" s="68">
        <f>'THE BOARD'!Q484</f>
        <v>0</v>
      </c>
      <c r="K724" s="99">
        <f>'THE BOARD'!U483</f>
        <v>0</v>
      </c>
    </row>
    <row r="725" spans="1:11" ht="12.75" x14ac:dyDescent="0.2">
      <c r="A725" s="68">
        <f>'THE BOARD'!A478</f>
        <v>0</v>
      </c>
      <c r="B725" s="68">
        <f>'THE BOARD'!B478</f>
        <v>0</v>
      </c>
      <c r="C725" s="99" t="str">
        <f>IF('THE BOARD'!U484 = "NESTED","",IF('THE BOARD'!D478&lt;&gt;"",'THE BOARD'!D478+0.72,""))</f>
        <v/>
      </c>
      <c r="D725" s="99" t="str">
        <f>IF(C725&lt;&gt;"", IF('THE BOARD'!U484 = "NESTED","",'THE BOARD'!D478 + IF(C725&lt;&gt;"", 0.72,0)),"")</f>
        <v/>
      </c>
      <c r="E725" s="68">
        <f>'THE BOARD'!E478</f>
        <v>0</v>
      </c>
      <c r="F725" s="68">
        <f>'THE BOARD'!F478</f>
        <v>0</v>
      </c>
      <c r="G725" s="68">
        <f>'THE BOARD'!G478</f>
        <v>0</v>
      </c>
      <c r="H725" s="68">
        <f>'THE BOARD'!H478</f>
        <v>0</v>
      </c>
      <c r="I725" s="68">
        <f>'THE BOARD'!I478</f>
        <v>0</v>
      </c>
      <c r="J725" s="68">
        <f>'THE BOARD'!Q485</f>
        <v>0</v>
      </c>
      <c r="K725" s="99">
        <f>'THE BOARD'!U484</f>
        <v>0</v>
      </c>
    </row>
    <row r="726" spans="1:11" ht="12.75" x14ac:dyDescent="0.2">
      <c r="A726" s="68">
        <f>'THE BOARD'!A479</f>
        <v>0</v>
      </c>
      <c r="B726" s="68">
        <f>'THE BOARD'!B479</f>
        <v>0</v>
      </c>
      <c r="C726" s="99" t="str">
        <f>IF('THE BOARD'!U485 = "NESTED","",IF('THE BOARD'!D479&lt;&gt;"",'THE BOARD'!D479+0.72,""))</f>
        <v/>
      </c>
      <c r="D726" s="99" t="str">
        <f>IF(C726&lt;&gt;"", IF('THE BOARD'!U485 = "NESTED","",'THE BOARD'!D479 + IF(C726&lt;&gt;"", 0.72,0)),"")</f>
        <v/>
      </c>
      <c r="E726" s="68">
        <f>'THE BOARD'!E479</f>
        <v>0</v>
      </c>
      <c r="F726" s="68">
        <f>'THE BOARD'!F479</f>
        <v>0</v>
      </c>
      <c r="G726" s="68">
        <f>'THE BOARD'!G479</f>
        <v>0</v>
      </c>
      <c r="H726" s="68">
        <f>'THE BOARD'!H479</f>
        <v>0</v>
      </c>
      <c r="I726" s="68">
        <f>'THE BOARD'!I479</f>
        <v>0</v>
      </c>
      <c r="J726" s="68">
        <f>'THE BOARD'!Q486</f>
        <v>0</v>
      </c>
      <c r="K726" s="99">
        <f>'THE BOARD'!U485</f>
        <v>0</v>
      </c>
    </row>
    <row r="727" spans="1:11" ht="12.75" x14ac:dyDescent="0.2">
      <c r="A727" s="68">
        <f>'THE BOARD'!A480</f>
        <v>0</v>
      </c>
      <c r="B727" s="68">
        <f>'THE BOARD'!B480</f>
        <v>0</v>
      </c>
      <c r="C727" s="99" t="str">
        <f>IF('THE BOARD'!U486 = "NESTED","",IF('THE BOARD'!D480&lt;&gt;"",'THE BOARD'!D480+0.72,""))</f>
        <v/>
      </c>
      <c r="D727" s="99" t="str">
        <f>IF(C727&lt;&gt;"", IF('THE BOARD'!U486 = "NESTED","",'THE BOARD'!D480 + IF(C727&lt;&gt;"", 0.72,0)),"")</f>
        <v/>
      </c>
      <c r="E727" s="68">
        <f>'THE BOARD'!E480</f>
        <v>0</v>
      </c>
      <c r="F727" s="68">
        <f>'THE BOARD'!F480</f>
        <v>0</v>
      </c>
      <c r="G727" s="68">
        <f>'THE BOARD'!G480</f>
        <v>0</v>
      </c>
      <c r="H727" s="68">
        <f>'THE BOARD'!H480</f>
        <v>0</v>
      </c>
      <c r="I727" s="68">
        <f>'THE BOARD'!I480</f>
        <v>0</v>
      </c>
      <c r="J727" s="68">
        <f>'THE BOARD'!Q487</f>
        <v>0</v>
      </c>
      <c r="K727" s="99">
        <f>'THE BOARD'!U486</f>
        <v>0</v>
      </c>
    </row>
    <row r="728" spans="1:11" ht="12.75" x14ac:dyDescent="0.2">
      <c r="A728" s="68">
        <f>'THE BOARD'!A481</f>
        <v>0</v>
      </c>
      <c r="B728" s="68">
        <f>'THE BOARD'!B481</f>
        <v>0</v>
      </c>
      <c r="C728" s="99" t="str">
        <f>IF('THE BOARD'!U487 = "NESTED","",IF('THE BOARD'!D481&lt;&gt;"",'THE BOARD'!D481+0.72,""))</f>
        <v/>
      </c>
      <c r="D728" s="99" t="str">
        <f>IF(C728&lt;&gt;"", IF('THE BOARD'!U487 = "NESTED","",'THE BOARD'!D481 + IF(C728&lt;&gt;"", 0.72,0)),"")</f>
        <v/>
      </c>
      <c r="E728" s="68">
        <f>'THE BOARD'!E481</f>
        <v>0</v>
      </c>
      <c r="F728" s="68">
        <f>'THE BOARD'!F481</f>
        <v>0</v>
      </c>
      <c r="G728" s="68">
        <f>'THE BOARD'!G481</f>
        <v>0</v>
      </c>
      <c r="H728" s="68">
        <f>'THE BOARD'!H481</f>
        <v>0</v>
      </c>
      <c r="I728" s="68">
        <f>'THE BOARD'!I481</f>
        <v>0</v>
      </c>
      <c r="J728" s="68">
        <f>'THE BOARD'!Q488</f>
        <v>0</v>
      </c>
      <c r="K728" s="99">
        <f>'THE BOARD'!U487</f>
        <v>0</v>
      </c>
    </row>
    <row r="729" spans="1:11" ht="12.75" x14ac:dyDescent="0.2">
      <c r="A729" s="68">
        <f>'THE BOARD'!A482</f>
        <v>0</v>
      </c>
      <c r="B729" s="68">
        <f>'THE BOARD'!B482</f>
        <v>0</v>
      </c>
      <c r="C729" s="99" t="str">
        <f>IF('THE BOARD'!U488 = "NESTED","",IF('THE BOARD'!D482&lt;&gt;"",'THE BOARD'!D482+0.72,""))</f>
        <v/>
      </c>
      <c r="D729" s="99" t="str">
        <f>IF(C729&lt;&gt;"", IF('THE BOARD'!U488 = "NESTED","",'THE BOARD'!D482 + IF(C729&lt;&gt;"", 0.72,0)),"")</f>
        <v/>
      </c>
      <c r="E729" s="68">
        <f>'THE BOARD'!E482</f>
        <v>0</v>
      </c>
      <c r="F729" s="68">
        <f>'THE BOARD'!F482</f>
        <v>0</v>
      </c>
      <c r="G729" s="68">
        <f>'THE BOARD'!G482</f>
        <v>0</v>
      </c>
      <c r="H729" s="68">
        <f>'THE BOARD'!H482</f>
        <v>0</v>
      </c>
      <c r="I729" s="68">
        <f>'THE BOARD'!I482</f>
        <v>0</v>
      </c>
      <c r="J729" s="68">
        <f>'THE BOARD'!Q489</f>
        <v>0</v>
      </c>
      <c r="K729" s="99">
        <f>'THE BOARD'!U488</f>
        <v>0</v>
      </c>
    </row>
    <row r="730" spans="1:11" ht="12.75" x14ac:dyDescent="0.2">
      <c r="A730" s="68">
        <f>'THE BOARD'!A483</f>
        <v>0</v>
      </c>
      <c r="B730" s="68">
        <f>'THE BOARD'!B483</f>
        <v>0</v>
      </c>
      <c r="C730" s="99" t="str">
        <f>IF('THE BOARD'!U489 = "NESTED","",IF('THE BOARD'!D483&lt;&gt;"",'THE BOARD'!D483+0.72,""))</f>
        <v/>
      </c>
      <c r="D730" s="99" t="str">
        <f>IF(C730&lt;&gt;"", IF('THE BOARD'!U489 = "NESTED","",'THE BOARD'!D483 + IF(C730&lt;&gt;"", 0.72,0)),"")</f>
        <v/>
      </c>
      <c r="E730" s="68">
        <f>'THE BOARD'!E483</f>
        <v>0</v>
      </c>
      <c r="F730" s="68">
        <f>'THE BOARD'!F483</f>
        <v>0</v>
      </c>
      <c r="G730" s="68">
        <f>'THE BOARD'!G483</f>
        <v>0</v>
      </c>
      <c r="H730" s="68">
        <f>'THE BOARD'!H483</f>
        <v>0</v>
      </c>
      <c r="I730" s="68">
        <f>'THE BOARD'!I483</f>
        <v>0</v>
      </c>
      <c r="J730" s="68">
        <f>'THE BOARD'!Q490</f>
        <v>0</v>
      </c>
      <c r="K730" s="99">
        <f>'THE BOARD'!U489</f>
        <v>0</v>
      </c>
    </row>
    <row r="731" spans="1:11" ht="12.75" x14ac:dyDescent="0.2">
      <c r="A731" s="68">
        <f>'THE BOARD'!A484</f>
        <v>0</v>
      </c>
      <c r="B731" s="68">
        <f>'THE BOARD'!B484</f>
        <v>0</v>
      </c>
      <c r="C731" s="99" t="str">
        <f>IF('THE BOARD'!U490 = "NESTED","",IF('THE BOARD'!D484&lt;&gt;"",'THE BOARD'!D484+0.72,""))</f>
        <v/>
      </c>
      <c r="D731" s="99" t="str">
        <f>IF(C731&lt;&gt;"", IF('THE BOARD'!U490 = "NESTED","",'THE BOARD'!D484 + IF(C731&lt;&gt;"", 0.72,0)),"")</f>
        <v/>
      </c>
      <c r="E731" s="68">
        <f>'THE BOARD'!E484</f>
        <v>0</v>
      </c>
      <c r="F731" s="68">
        <f>'THE BOARD'!F484</f>
        <v>0</v>
      </c>
      <c r="G731" s="68">
        <f>'THE BOARD'!G484</f>
        <v>0</v>
      </c>
      <c r="H731" s="68">
        <f>'THE BOARD'!H484</f>
        <v>0</v>
      </c>
      <c r="I731" s="68">
        <f>'THE BOARD'!I484</f>
        <v>0</v>
      </c>
      <c r="J731" s="68">
        <f>'THE BOARD'!Q491</f>
        <v>0</v>
      </c>
      <c r="K731" s="99">
        <f>'THE BOARD'!U490</f>
        <v>0</v>
      </c>
    </row>
    <row r="732" spans="1:11" ht="12.75" x14ac:dyDescent="0.2">
      <c r="A732" s="68">
        <f>'THE BOARD'!A485</f>
        <v>0</v>
      </c>
      <c r="B732" s="68">
        <f>'THE BOARD'!B485</f>
        <v>0</v>
      </c>
      <c r="C732" s="99" t="str">
        <f>IF('THE BOARD'!U491 = "NESTED","",IF('THE BOARD'!D485&lt;&gt;"",'THE BOARD'!D485+0.72,""))</f>
        <v/>
      </c>
      <c r="D732" s="99" t="str">
        <f>IF(C732&lt;&gt;"", IF('THE BOARD'!U491 = "NESTED","",'THE BOARD'!D485 + IF(C732&lt;&gt;"", 0.72,0)),"")</f>
        <v/>
      </c>
      <c r="E732" s="68">
        <f>'THE BOARD'!E485</f>
        <v>0</v>
      </c>
      <c r="F732" s="68">
        <f>'THE BOARD'!F485</f>
        <v>0</v>
      </c>
      <c r="G732" s="68">
        <f>'THE BOARD'!G485</f>
        <v>0</v>
      </c>
      <c r="H732" s="68">
        <f>'THE BOARD'!H485</f>
        <v>0</v>
      </c>
      <c r="I732" s="68">
        <f>'THE BOARD'!I485</f>
        <v>0</v>
      </c>
      <c r="J732" s="68">
        <f>'THE BOARD'!Q492</f>
        <v>0</v>
      </c>
      <c r="K732" s="99">
        <f>'THE BOARD'!U491</f>
        <v>0</v>
      </c>
    </row>
    <row r="733" spans="1:11" ht="12.75" x14ac:dyDescent="0.2">
      <c r="A733" s="68">
        <f>'THE BOARD'!A486</f>
        <v>0</v>
      </c>
      <c r="B733" s="68">
        <f>'THE BOARD'!B486</f>
        <v>0</v>
      </c>
      <c r="C733" s="99" t="str">
        <f>IF('THE BOARD'!U492 = "NESTED","",IF('THE BOARD'!D486&lt;&gt;"",'THE BOARD'!D486+0.72,""))</f>
        <v/>
      </c>
      <c r="D733" s="99" t="str">
        <f>IF(C733&lt;&gt;"", IF('THE BOARD'!U492 = "NESTED","",'THE BOARD'!D486 + IF(C733&lt;&gt;"", 0.72,0)),"")</f>
        <v/>
      </c>
      <c r="E733" s="68">
        <f>'THE BOARD'!E486</f>
        <v>0</v>
      </c>
      <c r="F733" s="68">
        <f>'THE BOARD'!F486</f>
        <v>0</v>
      </c>
      <c r="G733" s="68">
        <f>'THE BOARD'!G486</f>
        <v>0</v>
      </c>
      <c r="H733" s="68">
        <f>'THE BOARD'!H486</f>
        <v>0</v>
      </c>
      <c r="I733" s="68">
        <f>'THE BOARD'!I486</f>
        <v>0</v>
      </c>
      <c r="J733" s="68">
        <f>'THE BOARD'!Q493</f>
        <v>0</v>
      </c>
      <c r="K733" s="99">
        <f>'THE BOARD'!U492</f>
        <v>0</v>
      </c>
    </row>
    <row r="734" spans="1:11" ht="12.75" x14ac:dyDescent="0.2">
      <c r="A734" s="68">
        <f>'THE BOARD'!A487</f>
        <v>0</v>
      </c>
      <c r="B734" s="68">
        <f>'THE BOARD'!B487</f>
        <v>0</v>
      </c>
      <c r="C734" s="99" t="str">
        <f>IF('THE BOARD'!U493 = "NESTED","",IF('THE BOARD'!D487&lt;&gt;"",'THE BOARD'!D487+0.72,""))</f>
        <v/>
      </c>
      <c r="D734" s="99" t="str">
        <f>IF(C734&lt;&gt;"", IF('THE BOARD'!U493 = "NESTED","",'THE BOARD'!D487 + IF(C734&lt;&gt;"", 0.72,0)),"")</f>
        <v/>
      </c>
      <c r="E734" s="68">
        <f>'THE BOARD'!E487</f>
        <v>0</v>
      </c>
      <c r="F734" s="68">
        <f>'THE BOARD'!F487</f>
        <v>0</v>
      </c>
      <c r="G734" s="68">
        <f>'THE BOARD'!G487</f>
        <v>0</v>
      </c>
      <c r="H734" s="68">
        <f>'THE BOARD'!H487</f>
        <v>0</v>
      </c>
      <c r="I734" s="68">
        <f>'THE BOARD'!I487</f>
        <v>0</v>
      </c>
      <c r="J734" s="68">
        <f>'THE BOARD'!Q494</f>
        <v>0</v>
      </c>
      <c r="K734" s="99">
        <f>'THE BOARD'!U493</f>
        <v>0</v>
      </c>
    </row>
    <row r="735" spans="1:11" ht="12.75" x14ac:dyDescent="0.2">
      <c r="A735" s="68">
        <f>'THE BOARD'!A488</f>
        <v>0</v>
      </c>
      <c r="B735" s="68">
        <f>'THE BOARD'!B488</f>
        <v>0</v>
      </c>
      <c r="C735" s="99" t="str">
        <f>IF('THE BOARD'!U494 = "NESTED","",IF('THE BOARD'!D488&lt;&gt;"",'THE BOARD'!D488+0.72,""))</f>
        <v/>
      </c>
      <c r="D735" s="99" t="str">
        <f>IF(C735&lt;&gt;"", IF('THE BOARD'!U494 = "NESTED","",'THE BOARD'!D488 + IF(C735&lt;&gt;"", 0.72,0)),"")</f>
        <v/>
      </c>
      <c r="E735" s="68">
        <f>'THE BOARD'!E488</f>
        <v>0</v>
      </c>
      <c r="F735" s="68">
        <f>'THE BOARD'!F488</f>
        <v>0</v>
      </c>
      <c r="G735" s="68">
        <f>'THE BOARD'!G488</f>
        <v>0</v>
      </c>
      <c r="H735" s="68">
        <f>'THE BOARD'!H488</f>
        <v>0</v>
      </c>
      <c r="I735" s="68">
        <f>'THE BOARD'!I488</f>
        <v>0</v>
      </c>
      <c r="J735" s="68">
        <f>'THE BOARD'!Q495</f>
        <v>0</v>
      </c>
      <c r="K735" s="99">
        <f>'THE BOARD'!U494</f>
        <v>0</v>
      </c>
    </row>
    <row r="736" spans="1:11" ht="12.75" x14ac:dyDescent="0.2">
      <c r="A736" s="68">
        <f>'THE BOARD'!A489</f>
        <v>0</v>
      </c>
      <c r="B736" s="68">
        <f>'THE BOARD'!B489</f>
        <v>0</v>
      </c>
      <c r="C736" s="99" t="str">
        <f>IF('THE BOARD'!U495 = "NESTED","",IF('THE BOARD'!D489&lt;&gt;"",'THE BOARD'!D489+0.72,""))</f>
        <v/>
      </c>
      <c r="D736" s="99" t="str">
        <f>IF(C736&lt;&gt;"", IF('THE BOARD'!U495 = "NESTED","",'THE BOARD'!D489 + IF(C736&lt;&gt;"", 0.72,0)),"")</f>
        <v/>
      </c>
      <c r="E736" s="68">
        <f>'THE BOARD'!E489</f>
        <v>0</v>
      </c>
      <c r="F736" s="68">
        <f>'THE BOARD'!F489</f>
        <v>0</v>
      </c>
      <c r="G736" s="68">
        <f>'THE BOARD'!G489</f>
        <v>0</v>
      </c>
      <c r="H736" s="68">
        <f>'THE BOARD'!H489</f>
        <v>0</v>
      </c>
      <c r="I736" s="68">
        <f>'THE BOARD'!I489</f>
        <v>0</v>
      </c>
      <c r="J736" s="68">
        <f>'THE BOARD'!Q496</f>
        <v>0</v>
      </c>
      <c r="K736" s="99">
        <f>'THE BOARD'!U495</f>
        <v>0</v>
      </c>
    </row>
    <row r="737" spans="1:11" ht="12.75" x14ac:dyDescent="0.2">
      <c r="A737" s="68">
        <f>'THE BOARD'!A490</f>
        <v>0</v>
      </c>
      <c r="B737" s="68">
        <f>'THE BOARD'!B490</f>
        <v>0</v>
      </c>
      <c r="C737" s="99" t="str">
        <f>IF('THE BOARD'!U496 = "NESTED","",IF('THE BOARD'!D490&lt;&gt;"",'THE BOARD'!D490+0.72,""))</f>
        <v/>
      </c>
      <c r="D737" s="99" t="str">
        <f>IF(C737&lt;&gt;"", IF('THE BOARD'!U496 = "NESTED","",'THE BOARD'!D490 + IF(C737&lt;&gt;"", 0.72,0)),"")</f>
        <v/>
      </c>
      <c r="E737" s="68">
        <f>'THE BOARD'!E490</f>
        <v>0</v>
      </c>
      <c r="F737" s="68">
        <f>'THE BOARD'!F490</f>
        <v>0</v>
      </c>
      <c r="G737" s="68">
        <f>'THE BOARD'!G490</f>
        <v>0</v>
      </c>
      <c r="H737" s="68">
        <f>'THE BOARD'!H490</f>
        <v>0</v>
      </c>
      <c r="I737" s="68">
        <f>'THE BOARD'!I490</f>
        <v>0</v>
      </c>
      <c r="J737" s="68">
        <f>'THE BOARD'!Q497</f>
        <v>0</v>
      </c>
      <c r="K737" s="99">
        <f>'THE BOARD'!U496</f>
        <v>0</v>
      </c>
    </row>
    <row r="738" spans="1:11" ht="12.75" x14ac:dyDescent="0.2">
      <c r="A738" s="68">
        <f>'THE BOARD'!A491</f>
        <v>0</v>
      </c>
      <c r="B738" s="68">
        <f>'THE BOARD'!B491</f>
        <v>0</v>
      </c>
      <c r="C738" s="99" t="str">
        <f>IF('THE BOARD'!U497 = "NESTED","",IF('THE BOARD'!D491&lt;&gt;"",'THE BOARD'!D491+0.72,""))</f>
        <v/>
      </c>
      <c r="D738" s="99" t="str">
        <f>IF(C738&lt;&gt;"", IF('THE BOARD'!U497 = "NESTED","",'THE BOARD'!D491 + IF(C738&lt;&gt;"", 0.72,0)),"")</f>
        <v/>
      </c>
      <c r="E738" s="68">
        <f>'THE BOARD'!E491</f>
        <v>0</v>
      </c>
      <c r="F738" s="68">
        <f>'THE BOARD'!F491</f>
        <v>0</v>
      </c>
      <c r="G738" s="68">
        <f>'THE BOARD'!G491</f>
        <v>0</v>
      </c>
      <c r="H738" s="68">
        <f>'THE BOARD'!H491</f>
        <v>0</v>
      </c>
      <c r="I738" s="68">
        <f>'THE BOARD'!I491</f>
        <v>0</v>
      </c>
      <c r="J738" s="68">
        <f>'THE BOARD'!Q498</f>
        <v>0</v>
      </c>
      <c r="K738" s="99">
        <f>'THE BOARD'!U497</f>
        <v>0</v>
      </c>
    </row>
    <row r="739" spans="1:11" ht="12.75" x14ac:dyDescent="0.2">
      <c r="A739" s="68">
        <f>'THE BOARD'!A492</f>
        <v>0</v>
      </c>
      <c r="B739" s="68">
        <f>'THE BOARD'!B492</f>
        <v>0</v>
      </c>
      <c r="C739" s="99" t="str">
        <f>IF('THE BOARD'!U498 = "NESTED","",IF('THE BOARD'!D492&lt;&gt;"",'THE BOARD'!D492+0.72,""))</f>
        <v/>
      </c>
      <c r="D739" s="99" t="str">
        <f>IF(C739&lt;&gt;"", IF('THE BOARD'!U498 = "NESTED","",'THE BOARD'!D492 + IF(C739&lt;&gt;"", 0.72,0)),"")</f>
        <v/>
      </c>
      <c r="E739" s="68">
        <f>'THE BOARD'!E492</f>
        <v>0</v>
      </c>
      <c r="F739" s="68">
        <f>'THE BOARD'!F492</f>
        <v>0</v>
      </c>
      <c r="G739" s="68">
        <f>'THE BOARD'!G492</f>
        <v>0</v>
      </c>
      <c r="H739" s="68">
        <f>'THE BOARD'!H492</f>
        <v>0</v>
      </c>
      <c r="I739" s="68">
        <f>'THE BOARD'!I492</f>
        <v>0</v>
      </c>
      <c r="J739" s="68">
        <f>'THE BOARD'!Q499</f>
        <v>0</v>
      </c>
      <c r="K739" s="99">
        <f>'THE BOARD'!U498</f>
        <v>0</v>
      </c>
    </row>
    <row r="740" spans="1:11" ht="12.75" x14ac:dyDescent="0.2">
      <c r="A740" s="68">
        <f>'THE BOARD'!A493</f>
        <v>0</v>
      </c>
      <c r="B740" s="68">
        <f>'THE BOARD'!B493</f>
        <v>0</v>
      </c>
      <c r="C740" s="99" t="str">
        <f>IF('THE BOARD'!U499 = "NESTED","",IF('THE BOARD'!D493&lt;&gt;"",'THE BOARD'!D493+0.72,""))</f>
        <v/>
      </c>
      <c r="D740" s="99" t="str">
        <f>IF(C740&lt;&gt;"", IF('THE BOARD'!U499 = "NESTED","",'THE BOARD'!D493 + IF(C740&lt;&gt;"", 0.72,0)),"")</f>
        <v/>
      </c>
      <c r="E740" s="68">
        <f>'THE BOARD'!E493</f>
        <v>0</v>
      </c>
      <c r="F740" s="68">
        <f>'THE BOARD'!F493</f>
        <v>0</v>
      </c>
      <c r="G740" s="68">
        <f>'THE BOARD'!G493</f>
        <v>0</v>
      </c>
      <c r="H740" s="68">
        <f>'THE BOARD'!H493</f>
        <v>0</v>
      </c>
      <c r="I740" s="68">
        <f>'THE BOARD'!I493</f>
        <v>0</v>
      </c>
      <c r="J740" s="68">
        <f>'THE BOARD'!Q500</f>
        <v>0</v>
      </c>
      <c r="K740" s="99">
        <f>'THE BOARD'!U499</f>
        <v>0</v>
      </c>
    </row>
    <row r="741" spans="1:11" ht="12.75" x14ac:dyDescent="0.2">
      <c r="A741" s="68">
        <f>'THE BOARD'!A494</f>
        <v>0</v>
      </c>
      <c r="B741" s="68">
        <f>'THE BOARD'!B494</f>
        <v>0</v>
      </c>
      <c r="C741" s="99" t="str">
        <f>IF('THE BOARD'!U500 = "NESTED","",IF('THE BOARD'!D494&lt;&gt;"",'THE BOARD'!D494+0.72,""))</f>
        <v/>
      </c>
      <c r="D741" s="99" t="str">
        <f>IF(C741&lt;&gt;"", IF('THE BOARD'!U500 = "NESTED","",'THE BOARD'!D494 + IF(C741&lt;&gt;"", 0.72,0)),"")</f>
        <v/>
      </c>
      <c r="E741" s="68">
        <f>'THE BOARD'!E494</f>
        <v>0</v>
      </c>
      <c r="F741" s="68">
        <f>'THE BOARD'!F494</f>
        <v>0</v>
      </c>
      <c r="G741" s="68">
        <f>'THE BOARD'!G494</f>
        <v>0</v>
      </c>
      <c r="H741" s="68">
        <f>'THE BOARD'!H494</f>
        <v>0</v>
      </c>
      <c r="I741" s="68">
        <f>'THE BOARD'!I494</f>
        <v>0</v>
      </c>
      <c r="J741" s="68">
        <f>'THE BOARD'!Q501</f>
        <v>0</v>
      </c>
      <c r="K741" s="99">
        <f>'THE BOARD'!U500</f>
        <v>0</v>
      </c>
    </row>
    <row r="742" spans="1:11" ht="12.75" x14ac:dyDescent="0.2">
      <c r="A742" s="68">
        <f>'THE BOARD'!A495</f>
        <v>0</v>
      </c>
      <c r="B742" s="68">
        <f>'THE BOARD'!B495</f>
        <v>0</v>
      </c>
      <c r="C742" s="99" t="str">
        <f>IF('THE BOARD'!U501 = "NESTED","",IF('THE BOARD'!D495&lt;&gt;"",'THE BOARD'!D495+0.72,""))</f>
        <v/>
      </c>
      <c r="D742" s="99" t="str">
        <f>IF(C742&lt;&gt;"", IF('THE BOARD'!U501 = "NESTED","",'THE BOARD'!D495 + IF(C742&lt;&gt;"", 0.72,0)),"")</f>
        <v/>
      </c>
      <c r="E742" s="68">
        <f>'THE BOARD'!E495</f>
        <v>0</v>
      </c>
      <c r="F742" s="68">
        <f>'THE BOARD'!F495</f>
        <v>0</v>
      </c>
      <c r="G742" s="68">
        <f>'THE BOARD'!G495</f>
        <v>0</v>
      </c>
      <c r="H742" s="68">
        <f>'THE BOARD'!H495</f>
        <v>0</v>
      </c>
      <c r="I742" s="68">
        <f>'THE BOARD'!I495</f>
        <v>0</v>
      </c>
      <c r="J742" s="68">
        <f>'THE BOARD'!Q502</f>
        <v>0</v>
      </c>
      <c r="K742" s="99">
        <f>'THE BOARD'!U501</f>
        <v>0</v>
      </c>
    </row>
    <row r="743" spans="1:11" ht="12.75" x14ac:dyDescent="0.2">
      <c r="A743" s="68">
        <f>'THE BOARD'!A496</f>
        <v>0</v>
      </c>
      <c r="B743" s="68">
        <f>'THE BOARD'!B496</f>
        <v>0</v>
      </c>
      <c r="C743" s="99" t="str">
        <f>IF('THE BOARD'!U502 = "NESTED","",IF('THE BOARD'!D496&lt;&gt;"",'THE BOARD'!D496+0.72,""))</f>
        <v/>
      </c>
      <c r="D743" s="99" t="str">
        <f>IF(C743&lt;&gt;"", IF('THE BOARD'!U502 = "NESTED","",'THE BOARD'!D496 + IF(C743&lt;&gt;"", 0.72,0)),"")</f>
        <v/>
      </c>
      <c r="E743" s="68">
        <f>'THE BOARD'!E496</f>
        <v>0</v>
      </c>
      <c r="F743" s="68">
        <f>'THE BOARD'!F496</f>
        <v>0</v>
      </c>
      <c r="G743" s="68">
        <f>'THE BOARD'!G496</f>
        <v>0</v>
      </c>
      <c r="H743" s="68">
        <f>'THE BOARD'!H496</f>
        <v>0</v>
      </c>
      <c r="I743" s="68">
        <f>'THE BOARD'!I496</f>
        <v>0</v>
      </c>
      <c r="J743" s="68">
        <f>'THE BOARD'!Q503</f>
        <v>0</v>
      </c>
      <c r="K743" s="99">
        <f>'THE BOARD'!U502</f>
        <v>0</v>
      </c>
    </row>
    <row r="744" spans="1:11" ht="12.75" x14ac:dyDescent="0.2">
      <c r="A744" s="68">
        <f>'THE BOARD'!A497</f>
        <v>0</v>
      </c>
      <c r="B744" s="68">
        <f>'THE BOARD'!B497</f>
        <v>0</v>
      </c>
      <c r="C744" s="99" t="str">
        <f>IF('THE BOARD'!U503 = "NESTED","",IF('THE BOARD'!D497&lt;&gt;"",'THE BOARD'!D497+0.72,""))</f>
        <v/>
      </c>
      <c r="D744" s="99" t="str">
        <f>IF(C744&lt;&gt;"", IF('THE BOARD'!U503 = "NESTED","",'THE BOARD'!D497 + IF(C744&lt;&gt;"", 0.72,0)),"")</f>
        <v/>
      </c>
      <c r="E744" s="68">
        <f>'THE BOARD'!E497</f>
        <v>0</v>
      </c>
      <c r="F744" s="68">
        <f>'THE BOARD'!F497</f>
        <v>0</v>
      </c>
      <c r="G744" s="68">
        <f>'THE BOARD'!G497</f>
        <v>0</v>
      </c>
      <c r="H744" s="68">
        <f>'THE BOARD'!H497</f>
        <v>0</v>
      </c>
      <c r="I744" s="68">
        <f>'THE BOARD'!I497</f>
        <v>0</v>
      </c>
      <c r="J744" s="68">
        <f>'THE BOARD'!Q504</f>
        <v>0</v>
      </c>
      <c r="K744" s="99">
        <f>'THE BOARD'!U503</f>
        <v>0</v>
      </c>
    </row>
    <row r="745" spans="1:11" ht="12.75" x14ac:dyDescent="0.2">
      <c r="A745" s="68">
        <f>'THE BOARD'!A498</f>
        <v>0</v>
      </c>
      <c r="B745" s="68">
        <f>'THE BOARD'!B498</f>
        <v>0</v>
      </c>
      <c r="C745" s="99" t="str">
        <f>IF('THE BOARD'!U504 = "NESTED","",IF('THE BOARD'!D498&lt;&gt;"",'THE BOARD'!D498+0.72,""))</f>
        <v/>
      </c>
      <c r="D745" s="99" t="str">
        <f>IF(C745&lt;&gt;"", IF('THE BOARD'!U504 = "NESTED","",'THE BOARD'!D498 + IF(C745&lt;&gt;"", 0.72,0)),"")</f>
        <v/>
      </c>
      <c r="E745" s="68">
        <f>'THE BOARD'!E498</f>
        <v>0</v>
      </c>
      <c r="F745" s="68">
        <f>'THE BOARD'!F498</f>
        <v>0</v>
      </c>
      <c r="G745" s="68">
        <f>'THE BOARD'!G498</f>
        <v>0</v>
      </c>
      <c r="H745" s="68">
        <f>'THE BOARD'!H498</f>
        <v>0</v>
      </c>
      <c r="I745" s="68">
        <f>'THE BOARD'!I498</f>
        <v>0</v>
      </c>
      <c r="J745" s="68">
        <f>'THE BOARD'!Q505</f>
        <v>0</v>
      </c>
      <c r="K745" s="99">
        <f>'THE BOARD'!U504</f>
        <v>0</v>
      </c>
    </row>
    <row r="746" spans="1:11" ht="12.75" x14ac:dyDescent="0.2">
      <c r="A746" s="68">
        <f>'THE BOARD'!A499</f>
        <v>0</v>
      </c>
      <c r="B746" s="68">
        <f>'THE BOARD'!B499</f>
        <v>0</v>
      </c>
      <c r="C746" s="99" t="str">
        <f>IF('THE BOARD'!U505 = "NESTED","",IF('THE BOARD'!D499&lt;&gt;"",'THE BOARD'!D499+0.72,""))</f>
        <v/>
      </c>
      <c r="D746" s="99" t="str">
        <f>IF(C746&lt;&gt;"", IF('THE BOARD'!U505 = "NESTED","",'THE BOARD'!D499 + IF(C746&lt;&gt;"", 0.72,0)),"")</f>
        <v/>
      </c>
      <c r="E746" s="68">
        <f>'THE BOARD'!E499</f>
        <v>0</v>
      </c>
      <c r="F746" s="68">
        <f>'THE BOARD'!F499</f>
        <v>0</v>
      </c>
      <c r="G746" s="68">
        <f>'THE BOARD'!G499</f>
        <v>0</v>
      </c>
      <c r="H746" s="68">
        <f>'THE BOARD'!H499</f>
        <v>0</v>
      </c>
      <c r="I746" s="68">
        <f>'THE BOARD'!I499</f>
        <v>0</v>
      </c>
      <c r="J746" s="68">
        <f>'THE BOARD'!Q506</f>
        <v>0</v>
      </c>
      <c r="K746" s="99">
        <f>'THE BOARD'!U505</f>
        <v>0</v>
      </c>
    </row>
    <row r="747" spans="1:11" ht="12.75" x14ac:dyDescent="0.2">
      <c r="A747" s="68">
        <f>'THE BOARD'!A500</f>
        <v>0</v>
      </c>
      <c r="B747" s="68">
        <f>'THE BOARD'!B500</f>
        <v>0</v>
      </c>
      <c r="C747" s="99" t="str">
        <f>IF('THE BOARD'!U506 = "NESTED","",IF('THE BOARD'!D500&lt;&gt;"",'THE BOARD'!D500+0.72,""))</f>
        <v/>
      </c>
      <c r="D747" s="99" t="str">
        <f>IF(C747&lt;&gt;"", IF('THE BOARD'!U506 = "NESTED","",'THE BOARD'!D500 + IF(C747&lt;&gt;"", 0.72,0)),"")</f>
        <v/>
      </c>
      <c r="E747" s="68">
        <f>'THE BOARD'!E500</f>
        <v>0</v>
      </c>
      <c r="F747" s="68">
        <f>'THE BOARD'!F500</f>
        <v>0</v>
      </c>
      <c r="G747" s="68">
        <f>'THE BOARD'!G500</f>
        <v>0</v>
      </c>
      <c r="H747" s="68">
        <f>'THE BOARD'!H500</f>
        <v>0</v>
      </c>
      <c r="I747" s="68">
        <f>'THE BOARD'!I500</f>
        <v>0</v>
      </c>
      <c r="J747" s="68">
        <f>'THE BOARD'!Q507</f>
        <v>0</v>
      </c>
      <c r="K747" s="99">
        <f>'THE BOARD'!U506</f>
        <v>0</v>
      </c>
    </row>
    <row r="748" spans="1:11" ht="12.75" x14ac:dyDescent="0.2">
      <c r="A748" s="68">
        <f>'THE BOARD'!A501</f>
        <v>0</v>
      </c>
      <c r="B748" s="68">
        <f>'THE BOARD'!B501</f>
        <v>0</v>
      </c>
      <c r="C748" s="99" t="str">
        <f>IF('THE BOARD'!U507 = "NESTED","",IF('THE BOARD'!D501&lt;&gt;"",'THE BOARD'!D501+0.72,""))</f>
        <v/>
      </c>
      <c r="D748" s="99" t="str">
        <f>IF(C748&lt;&gt;"", IF('THE BOARD'!U507 = "NESTED","",'THE BOARD'!D501 + IF(C748&lt;&gt;"", 0.72,0)),"")</f>
        <v/>
      </c>
      <c r="E748" s="68">
        <f>'THE BOARD'!E501</f>
        <v>0</v>
      </c>
      <c r="F748" s="68">
        <f>'THE BOARD'!F501</f>
        <v>0</v>
      </c>
      <c r="G748" s="68">
        <f>'THE BOARD'!G501</f>
        <v>0</v>
      </c>
      <c r="H748" s="68">
        <f>'THE BOARD'!H501</f>
        <v>0</v>
      </c>
      <c r="I748" s="68">
        <f>'THE BOARD'!I501</f>
        <v>0</v>
      </c>
      <c r="J748" s="68">
        <f>'THE BOARD'!Q508</f>
        <v>0</v>
      </c>
      <c r="K748" s="99">
        <f>'THE BOARD'!U507</f>
        <v>0</v>
      </c>
    </row>
    <row r="749" spans="1:11" ht="12.75" x14ac:dyDescent="0.2">
      <c r="A749" s="68">
        <f>'THE BOARD'!A502</f>
        <v>0</v>
      </c>
      <c r="B749" s="68">
        <f>'THE BOARD'!B502</f>
        <v>0</v>
      </c>
      <c r="C749" s="99" t="str">
        <f>IF('THE BOARD'!U508 = "NESTED","",IF('THE BOARD'!D502&lt;&gt;"",'THE BOARD'!D502+0.72,""))</f>
        <v/>
      </c>
      <c r="D749" s="99" t="str">
        <f>IF(C749&lt;&gt;"", IF('THE BOARD'!U508 = "NESTED","",'THE BOARD'!D502 + IF(C749&lt;&gt;"", 0.72,0)),"")</f>
        <v/>
      </c>
      <c r="E749" s="68">
        <f>'THE BOARD'!E502</f>
        <v>0</v>
      </c>
      <c r="F749" s="68">
        <f>'THE BOARD'!F502</f>
        <v>0</v>
      </c>
      <c r="G749" s="68">
        <f>'THE BOARD'!G502</f>
        <v>0</v>
      </c>
      <c r="H749" s="68">
        <f>'THE BOARD'!H502</f>
        <v>0</v>
      </c>
      <c r="I749" s="68">
        <f>'THE BOARD'!I502</f>
        <v>0</v>
      </c>
      <c r="J749" s="68">
        <f>'THE BOARD'!Q509</f>
        <v>0</v>
      </c>
      <c r="K749" s="99">
        <f>'THE BOARD'!U508</f>
        <v>0</v>
      </c>
    </row>
    <row r="750" spans="1:11" ht="12.75" x14ac:dyDescent="0.2">
      <c r="A750" s="68">
        <f>'THE BOARD'!A503</f>
        <v>0</v>
      </c>
      <c r="B750" s="68">
        <f>'THE BOARD'!B503</f>
        <v>0</v>
      </c>
      <c r="C750" s="99" t="str">
        <f>IF('THE BOARD'!U509 = "NESTED","",IF('THE BOARD'!D503&lt;&gt;"",'THE BOARD'!D503+0.72,""))</f>
        <v/>
      </c>
      <c r="D750" s="99" t="str">
        <f>IF(C750&lt;&gt;"", IF('THE BOARD'!U509 = "NESTED","",'THE BOARD'!D503 + IF(C750&lt;&gt;"", 0.72,0)),"")</f>
        <v/>
      </c>
      <c r="E750" s="68">
        <f>'THE BOARD'!E503</f>
        <v>0</v>
      </c>
      <c r="F750" s="68">
        <f>'THE BOARD'!F503</f>
        <v>0</v>
      </c>
      <c r="G750" s="68">
        <f>'THE BOARD'!G503</f>
        <v>0</v>
      </c>
      <c r="H750" s="68">
        <f>'THE BOARD'!H503</f>
        <v>0</v>
      </c>
      <c r="I750" s="68">
        <f>'THE BOARD'!I503</f>
        <v>0</v>
      </c>
      <c r="J750" s="68">
        <f>'THE BOARD'!Q510</f>
        <v>0</v>
      </c>
      <c r="K750" s="99">
        <f>'THE BOARD'!U509</f>
        <v>0</v>
      </c>
    </row>
    <row r="751" spans="1:11" ht="12.75" x14ac:dyDescent="0.2">
      <c r="A751" s="68">
        <f>'THE BOARD'!A504</f>
        <v>0</v>
      </c>
      <c r="B751" s="68">
        <f>'THE BOARD'!B504</f>
        <v>0</v>
      </c>
      <c r="C751" s="99" t="str">
        <f>IF('THE BOARD'!U510 = "NESTED","",IF('THE BOARD'!D504&lt;&gt;"",'THE BOARD'!D504+0.72,""))</f>
        <v/>
      </c>
      <c r="D751" s="99" t="str">
        <f>IF(C751&lt;&gt;"", IF('THE BOARD'!U510 = "NESTED","",'THE BOARD'!D504 + IF(C751&lt;&gt;"", 0.72,0)),"")</f>
        <v/>
      </c>
      <c r="E751" s="68">
        <f>'THE BOARD'!E504</f>
        <v>0</v>
      </c>
      <c r="F751" s="68">
        <f>'THE BOARD'!F504</f>
        <v>0</v>
      </c>
      <c r="G751" s="68">
        <f>'THE BOARD'!G504</f>
        <v>0</v>
      </c>
      <c r="H751" s="68">
        <f>'THE BOARD'!H504</f>
        <v>0</v>
      </c>
      <c r="I751" s="68">
        <f>'THE BOARD'!I504</f>
        <v>0</v>
      </c>
      <c r="J751" s="68">
        <f>'THE BOARD'!Q511</f>
        <v>0</v>
      </c>
      <c r="K751" s="99">
        <f>'THE BOARD'!U510</f>
        <v>0</v>
      </c>
    </row>
    <row r="752" spans="1:11" ht="12.75" x14ac:dyDescent="0.2">
      <c r="A752" s="68">
        <f>'THE BOARD'!A505</f>
        <v>0</v>
      </c>
      <c r="B752" s="68">
        <f>'THE BOARD'!B505</f>
        <v>0</v>
      </c>
      <c r="C752" s="99" t="str">
        <f>IF('THE BOARD'!U511 = "NESTED","",IF('THE BOARD'!D505&lt;&gt;"",'THE BOARD'!D505+0.72,""))</f>
        <v/>
      </c>
      <c r="D752" s="99" t="str">
        <f>IF(C752&lt;&gt;"", IF('THE BOARD'!U511 = "NESTED","",'THE BOARD'!D505 + IF(C752&lt;&gt;"", 0.72,0)),"")</f>
        <v/>
      </c>
      <c r="E752" s="68">
        <f>'THE BOARD'!E505</f>
        <v>0</v>
      </c>
      <c r="F752" s="68">
        <f>'THE BOARD'!F505</f>
        <v>0</v>
      </c>
      <c r="G752" s="68">
        <f>'THE BOARD'!G505</f>
        <v>0</v>
      </c>
      <c r="H752" s="68">
        <f>'THE BOARD'!H505</f>
        <v>0</v>
      </c>
      <c r="I752" s="68">
        <f>'THE BOARD'!I505</f>
        <v>0</v>
      </c>
      <c r="J752" s="68">
        <f>'THE BOARD'!Q512</f>
        <v>0</v>
      </c>
      <c r="K752" s="99">
        <f>'THE BOARD'!U511</f>
        <v>0</v>
      </c>
    </row>
    <row r="753" spans="1:11" ht="12.75" x14ac:dyDescent="0.2">
      <c r="A753" s="68">
        <f>'THE BOARD'!A506</f>
        <v>0</v>
      </c>
      <c r="B753" s="68">
        <f>'THE BOARD'!B506</f>
        <v>0</v>
      </c>
      <c r="C753" s="99" t="str">
        <f>IF('THE BOARD'!U512 = "NESTED","",IF('THE BOARD'!D506&lt;&gt;"",'THE BOARD'!D506+0.72,""))</f>
        <v/>
      </c>
      <c r="D753" s="99" t="str">
        <f>IF(C753&lt;&gt;"", IF('THE BOARD'!U512 = "NESTED","",'THE BOARD'!D506 + IF(C753&lt;&gt;"", 0.72,0)),"")</f>
        <v/>
      </c>
      <c r="E753" s="68">
        <f>'THE BOARD'!E506</f>
        <v>0</v>
      </c>
      <c r="F753" s="68">
        <f>'THE BOARD'!F506</f>
        <v>0</v>
      </c>
      <c r="G753" s="68">
        <f>'THE BOARD'!G506</f>
        <v>0</v>
      </c>
      <c r="H753" s="68">
        <f>'THE BOARD'!H506</f>
        <v>0</v>
      </c>
      <c r="I753" s="68">
        <f>'THE BOARD'!I506</f>
        <v>0</v>
      </c>
      <c r="J753" s="68">
        <f>'THE BOARD'!Q513</f>
        <v>0</v>
      </c>
      <c r="K753" s="99">
        <f>'THE BOARD'!U512</f>
        <v>0</v>
      </c>
    </row>
    <row r="754" spans="1:11" ht="12.75" x14ac:dyDescent="0.2">
      <c r="A754" s="68">
        <f>'THE BOARD'!A507</f>
        <v>0</v>
      </c>
      <c r="B754" s="68">
        <f>'THE BOARD'!B507</f>
        <v>0</v>
      </c>
      <c r="C754" s="99" t="str">
        <f>IF('THE BOARD'!U513 = "NESTED","",IF('THE BOARD'!D507&lt;&gt;"",'THE BOARD'!D507+0.72,""))</f>
        <v/>
      </c>
      <c r="D754" s="99" t="str">
        <f>IF(C754&lt;&gt;"", IF('THE BOARD'!U513 = "NESTED","",'THE BOARD'!D507 + IF(C754&lt;&gt;"", 0.72,0)),"")</f>
        <v/>
      </c>
      <c r="E754" s="68">
        <f>'THE BOARD'!E507</f>
        <v>0</v>
      </c>
      <c r="F754" s="68">
        <f>'THE BOARD'!F507</f>
        <v>0</v>
      </c>
      <c r="G754" s="68">
        <f>'THE BOARD'!G507</f>
        <v>0</v>
      </c>
      <c r="H754" s="68">
        <f>'THE BOARD'!H507</f>
        <v>0</v>
      </c>
      <c r="I754" s="68">
        <f>'THE BOARD'!I507</f>
        <v>0</v>
      </c>
      <c r="J754" s="68">
        <f>'THE BOARD'!Q514</f>
        <v>0</v>
      </c>
      <c r="K754" s="99">
        <f>'THE BOARD'!U513</f>
        <v>0</v>
      </c>
    </row>
    <row r="755" spans="1:11" ht="12.75" x14ac:dyDescent="0.2">
      <c r="A755" s="68">
        <f>'THE BOARD'!A508</f>
        <v>0</v>
      </c>
      <c r="B755" s="68">
        <f>'THE BOARD'!B508</f>
        <v>0</v>
      </c>
      <c r="C755" s="99" t="str">
        <f>IF('THE BOARD'!U514 = "NESTED","",IF('THE BOARD'!D508&lt;&gt;"",'THE BOARD'!D508+0.72,""))</f>
        <v/>
      </c>
      <c r="D755" s="99" t="str">
        <f>IF(C755&lt;&gt;"", IF('THE BOARD'!U514 = "NESTED","",'THE BOARD'!D508 + IF(C755&lt;&gt;"", 0.72,0)),"")</f>
        <v/>
      </c>
      <c r="E755" s="68">
        <f>'THE BOARD'!E508</f>
        <v>0</v>
      </c>
      <c r="F755" s="68">
        <f>'THE BOARD'!F508</f>
        <v>0</v>
      </c>
      <c r="G755" s="68">
        <f>'THE BOARD'!G508</f>
        <v>0</v>
      </c>
      <c r="H755" s="68">
        <f>'THE BOARD'!H508</f>
        <v>0</v>
      </c>
      <c r="I755" s="68">
        <f>'THE BOARD'!I508</f>
        <v>0</v>
      </c>
      <c r="J755" s="68">
        <f>'THE BOARD'!Q515</f>
        <v>0</v>
      </c>
      <c r="K755" s="99">
        <f>'THE BOARD'!U514</f>
        <v>0</v>
      </c>
    </row>
    <row r="756" spans="1:11" ht="12.75" x14ac:dyDescent="0.2">
      <c r="A756" s="68">
        <f>'THE BOARD'!A509</f>
        <v>0</v>
      </c>
      <c r="B756" s="68">
        <f>'THE BOARD'!B509</f>
        <v>0</v>
      </c>
      <c r="C756" s="99" t="str">
        <f>IF('THE BOARD'!U515 = "NESTED","",IF('THE BOARD'!D509&lt;&gt;"",'THE BOARD'!D509+0.72,""))</f>
        <v/>
      </c>
      <c r="D756" s="99" t="str">
        <f>IF(C756&lt;&gt;"", IF('THE BOARD'!U515 = "NESTED","",'THE BOARD'!D509 + IF(C756&lt;&gt;"", 0.72,0)),"")</f>
        <v/>
      </c>
      <c r="E756" s="68">
        <f>'THE BOARD'!E509</f>
        <v>0</v>
      </c>
      <c r="F756" s="68">
        <f>'THE BOARD'!F509</f>
        <v>0</v>
      </c>
      <c r="G756" s="68">
        <f>'THE BOARD'!G509</f>
        <v>0</v>
      </c>
      <c r="H756" s="68">
        <f>'THE BOARD'!H509</f>
        <v>0</v>
      </c>
      <c r="I756" s="68">
        <f>'THE BOARD'!I509</f>
        <v>0</v>
      </c>
      <c r="J756" s="68">
        <f>'THE BOARD'!Q516</f>
        <v>0</v>
      </c>
      <c r="K756" s="99">
        <f>'THE BOARD'!U515</f>
        <v>0</v>
      </c>
    </row>
    <row r="757" spans="1:11" ht="12.75" x14ac:dyDescent="0.2">
      <c r="A757" s="68">
        <f>'THE BOARD'!A510</f>
        <v>0</v>
      </c>
      <c r="B757" s="68">
        <f>'THE BOARD'!B510</f>
        <v>0</v>
      </c>
      <c r="C757" s="99" t="str">
        <f>IF('THE BOARD'!U516 = "NESTED","",IF('THE BOARD'!D510&lt;&gt;"",'THE BOARD'!D510+0.72,""))</f>
        <v/>
      </c>
      <c r="D757" s="99" t="str">
        <f>IF(C757&lt;&gt;"", IF('THE BOARD'!U516 = "NESTED","",'THE BOARD'!D510 + IF(C757&lt;&gt;"", 0.72,0)),"")</f>
        <v/>
      </c>
      <c r="E757" s="68">
        <f>'THE BOARD'!E510</f>
        <v>0</v>
      </c>
      <c r="F757" s="68">
        <f>'THE BOARD'!F510</f>
        <v>0</v>
      </c>
      <c r="G757" s="68">
        <f>'THE BOARD'!G510</f>
        <v>0</v>
      </c>
      <c r="H757" s="68">
        <f>'THE BOARD'!H510</f>
        <v>0</v>
      </c>
      <c r="I757" s="68">
        <f>'THE BOARD'!I510</f>
        <v>0</v>
      </c>
      <c r="J757" s="68">
        <f>'THE BOARD'!Q517</f>
        <v>0</v>
      </c>
      <c r="K757" s="99">
        <f>'THE BOARD'!U516</f>
        <v>0</v>
      </c>
    </row>
    <row r="758" spans="1:11" ht="12.75" x14ac:dyDescent="0.2">
      <c r="A758" s="68">
        <f>'THE BOARD'!A511</f>
        <v>0</v>
      </c>
      <c r="B758" s="68">
        <f>'THE BOARD'!B511</f>
        <v>0</v>
      </c>
      <c r="C758" s="99" t="str">
        <f>IF('THE BOARD'!U517 = "NESTED","",IF('THE BOARD'!D511&lt;&gt;"",'THE BOARD'!D511+0.72,""))</f>
        <v/>
      </c>
      <c r="D758" s="99" t="str">
        <f>IF(C758&lt;&gt;"", IF('THE BOARD'!U517 = "NESTED","",'THE BOARD'!D511 + IF(C758&lt;&gt;"", 0.72,0)),"")</f>
        <v/>
      </c>
      <c r="E758" s="68">
        <f>'THE BOARD'!E511</f>
        <v>0</v>
      </c>
      <c r="F758" s="68">
        <f>'THE BOARD'!F511</f>
        <v>0</v>
      </c>
      <c r="G758" s="68">
        <f>'THE BOARD'!G511</f>
        <v>0</v>
      </c>
      <c r="H758" s="68">
        <f>'THE BOARD'!H511</f>
        <v>0</v>
      </c>
      <c r="I758" s="68">
        <f>'THE BOARD'!I511</f>
        <v>0</v>
      </c>
      <c r="J758" s="68">
        <f>'THE BOARD'!Q518</f>
        <v>0</v>
      </c>
      <c r="K758" s="99">
        <f>'THE BOARD'!U517</f>
        <v>0</v>
      </c>
    </row>
    <row r="759" spans="1:11" ht="12.75" x14ac:dyDescent="0.2">
      <c r="A759" s="68">
        <f>'THE BOARD'!A512</f>
        <v>0</v>
      </c>
      <c r="B759" s="68">
        <f>'THE BOARD'!B512</f>
        <v>0</v>
      </c>
      <c r="C759" s="99" t="str">
        <f>IF('THE BOARD'!U518 = "NESTED","",IF('THE BOARD'!D512&lt;&gt;"",'THE BOARD'!D512+0.72,""))</f>
        <v/>
      </c>
      <c r="D759" s="99" t="str">
        <f>IF(C759&lt;&gt;"", IF('THE BOARD'!U518 = "NESTED","",'THE BOARD'!D512 + IF(C759&lt;&gt;"", 0.72,0)),"")</f>
        <v/>
      </c>
      <c r="E759" s="68">
        <f>'THE BOARD'!E512</f>
        <v>0</v>
      </c>
      <c r="F759" s="68">
        <f>'THE BOARD'!F512</f>
        <v>0</v>
      </c>
      <c r="G759" s="68">
        <f>'THE BOARD'!G512</f>
        <v>0</v>
      </c>
      <c r="H759" s="68">
        <f>'THE BOARD'!H512</f>
        <v>0</v>
      </c>
      <c r="I759" s="68">
        <f>'THE BOARD'!I512</f>
        <v>0</v>
      </c>
      <c r="J759" s="68">
        <f>'THE BOARD'!Q519</f>
        <v>0</v>
      </c>
      <c r="K759" s="99">
        <f>'THE BOARD'!U518</f>
        <v>0</v>
      </c>
    </row>
    <row r="760" spans="1:11" ht="12.75" x14ac:dyDescent="0.2">
      <c r="A760" s="68">
        <f>'THE BOARD'!A513</f>
        <v>0</v>
      </c>
      <c r="B760" s="68">
        <f>'THE BOARD'!B513</f>
        <v>0</v>
      </c>
      <c r="C760" s="99" t="str">
        <f>IF('THE BOARD'!U519 = "NESTED","",IF('THE BOARD'!D513&lt;&gt;"",'THE BOARD'!D513+0.72,""))</f>
        <v/>
      </c>
      <c r="D760" s="99" t="str">
        <f>IF(C760&lt;&gt;"", IF('THE BOARD'!U519 = "NESTED","",'THE BOARD'!D513 + IF(C760&lt;&gt;"", 0.72,0)),"")</f>
        <v/>
      </c>
      <c r="E760" s="68">
        <f>'THE BOARD'!E513</f>
        <v>0</v>
      </c>
      <c r="F760" s="68">
        <f>'THE BOARD'!F513</f>
        <v>0</v>
      </c>
      <c r="G760" s="68">
        <f>'THE BOARD'!G513</f>
        <v>0</v>
      </c>
      <c r="H760" s="68">
        <f>'THE BOARD'!H513</f>
        <v>0</v>
      </c>
      <c r="I760" s="68">
        <f>'THE BOARD'!I513</f>
        <v>0</v>
      </c>
      <c r="J760" s="68">
        <f>'THE BOARD'!Q520</f>
        <v>0</v>
      </c>
      <c r="K760" s="99">
        <f>'THE BOARD'!U519</f>
        <v>0</v>
      </c>
    </row>
    <row r="761" spans="1:11" ht="12.75" x14ac:dyDescent="0.2">
      <c r="A761" s="68">
        <f>'THE BOARD'!A514</f>
        <v>0</v>
      </c>
      <c r="B761" s="68">
        <f>'THE BOARD'!B514</f>
        <v>0</v>
      </c>
      <c r="C761" s="99" t="str">
        <f>IF('THE BOARD'!U520 = "NESTED","",IF('THE BOARD'!D514&lt;&gt;"",'THE BOARD'!D514+0.72,""))</f>
        <v/>
      </c>
      <c r="D761" s="99" t="str">
        <f>IF(C761&lt;&gt;"", IF('THE BOARD'!U520 = "NESTED","",'THE BOARD'!D514 + IF(C761&lt;&gt;"", 0.72,0)),"")</f>
        <v/>
      </c>
      <c r="E761" s="68">
        <f>'THE BOARD'!E514</f>
        <v>0</v>
      </c>
      <c r="F761" s="68">
        <f>'THE BOARD'!F514</f>
        <v>0</v>
      </c>
      <c r="G761" s="68">
        <f>'THE BOARD'!G514</f>
        <v>0</v>
      </c>
      <c r="H761" s="68">
        <f>'THE BOARD'!H514</f>
        <v>0</v>
      </c>
      <c r="I761" s="68">
        <f>'THE BOARD'!I514</f>
        <v>0</v>
      </c>
      <c r="J761" s="68">
        <f>'THE BOARD'!Q521</f>
        <v>0</v>
      </c>
      <c r="K761" s="99">
        <f>'THE BOARD'!U520</f>
        <v>0</v>
      </c>
    </row>
    <row r="762" spans="1:11" ht="12.75" x14ac:dyDescent="0.2">
      <c r="A762" s="68">
        <f>'THE BOARD'!A515</f>
        <v>0</v>
      </c>
      <c r="B762" s="68">
        <f>'THE BOARD'!B515</f>
        <v>0</v>
      </c>
      <c r="C762" s="99" t="str">
        <f>IF('THE BOARD'!U521 = "NESTED","",IF('THE BOARD'!D515&lt;&gt;"",'THE BOARD'!D515+0.72,""))</f>
        <v/>
      </c>
      <c r="D762" s="99" t="str">
        <f>IF(C762&lt;&gt;"", IF('THE BOARD'!U521 = "NESTED","",'THE BOARD'!D515 + IF(C762&lt;&gt;"", 0.72,0)),"")</f>
        <v/>
      </c>
      <c r="E762" s="68">
        <f>'THE BOARD'!E515</f>
        <v>0</v>
      </c>
      <c r="F762" s="68">
        <f>'THE BOARD'!F515</f>
        <v>0</v>
      </c>
      <c r="G762" s="68">
        <f>'THE BOARD'!G515</f>
        <v>0</v>
      </c>
      <c r="H762" s="68">
        <f>'THE BOARD'!H515</f>
        <v>0</v>
      </c>
      <c r="I762" s="68">
        <f>'THE BOARD'!I515</f>
        <v>0</v>
      </c>
      <c r="J762" s="68">
        <f>'THE BOARD'!Q522</f>
        <v>0</v>
      </c>
      <c r="K762" s="99">
        <f>'THE BOARD'!U521</f>
        <v>0</v>
      </c>
    </row>
    <row r="763" spans="1:11" ht="12.75" x14ac:dyDescent="0.2">
      <c r="A763" s="68">
        <f>'THE BOARD'!A516</f>
        <v>0</v>
      </c>
      <c r="B763" s="68">
        <f>'THE BOARD'!B516</f>
        <v>0</v>
      </c>
      <c r="C763" s="99" t="str">
        <f>IF('THE BOARD'!U522 = "NESTED","",IF('THE BOARD'!D516&lt;&gt;"",'THE BOARD'!D516+0.72,""))</f>
        <v/>
      </c>
      <c r="D763" s="99" t="str">
        <f>IF(C763&lt;&gt;"", IF('THE BOARD'!U522 = "NESTED","",'THE BOARD'!D516 + IF(C763&lt;&gt;"", 0.72,0)),"")</f>
        <v/>
      </c>
      <c r="E763" s="68">
        <f>'THE BOARD'!E516</f>
        <v>0</v>
      </c>
      <c r="F763" s="68">
        <f>'THE BOARD'!F516</f>
        <v>0</v>
      </c>
      <c r="G763" s="68">
        <f>'THE BOARD'!G516</f>
        <v>0</v>
      </c>
      <c r="H763" s="68">
        <f>'THE BOARD'!H516</f>
        <v>0</v>
      </c>
      <c r="I763" s="68">
        <f>'THE BOARD'!I516</f>
        <v>0</v>
      </c>
      <c r="J763" s="68">
        <f>'THE BOARD'!Q523</f>
        <v>0</v>
      </c>
      <c r="K763" s="99">
        <f>'THE BOARD'!U522</f>
        <v>0</v>
      </c>
    </row>
    <row r="764" spans="1:11" ht="12.75" x14ac:dyDescent="0.2">
      <c r="A764" s="68">
        <f>'THE BOARD'!A517</f>
        <v>0</v>
      </c>
      <c r="B764" s="68">
        <f>'THE BOARD'!B517</f>
        <v>0</v>
      </c>
      <c r="C764" s="99" t="str">
        <f>IF('THE BOARD'!U523 = "NESTED","",IF('THE BOARD'!D517&lt;&gt;"",'THE BOARD'!D517+0.72,""))</f>
        <v/>
      </c>
      <c r="D764" s="99" t="str">
        <f>IF(C764&lt;&gt;"", IF('THE BOARD'!U523 = "NESTED","",'THE BOARD'!D517 + IF(C764&lt;&gt;"", 0.72,0)),"")</f>
        <v/>
      </c>
      <c r="E764" s="68">
        <f>'THE BOARD'!E517</f>
        <v>0</v>
      </c>
      <c r="F764" s="68">
        <f>'THE BOARD'!F517</f>
        <v>0</v>
      </c>
      <c r="G764" s="68">
        <f>'THE BOARD'!G517</f>
        <v>0</v>
      </c>
      <c r="H764" s="68">
        <f>'THE BOARD'!H517</f>
        <v>0</v>
      </c>
      <c r="I764" s="68">
        <f>'THE BOARD'!I517</f>
        <v>0</v>
      </c>
      <c r="J764" s="68">
        <f>'THE BOARD'!Q524</f>
        <v>0</v>
      </c>
      <c r="K764" s="99">
        <f>'THE BOARD'!U523</f>
        <v>0</v>
      </c>
    </row>
    <row r="765" spans="1:11" ht="12.75" x14ac:dyDescent="0.2">
      <c r="A765" s="68">
        <f>'THE BOARD'!A518</f>
        <v>0</v>
      </c>
      <c r="B765" s="68">
        <f>'THE BOARD'!B518</f>
        <v>0</v>
      </c>
      <c r="C765" s="99" t="str">
        <f>IF('THE BOARD'!U524 = "NESTED","",IF('THE BOARD'!D518&lt;&gt;"",'THE BOARD'!D518+0.72,""))</f>
        <v/>
      </c>
      <c r="D765" s="99" t="str">
        <f>IF(C765&lt;&gt;"", IF('THE BOARD'!U524 = "NESTED","",'THE BOARD'!D518 + IF(C765&lt;&gt;"", 0.72,0)),"")</f>
        <v/>
      </c>
      <c r="E765" s="68">
        <f>'THE BOARD'!E518</f>
        <v>0</v>
      </c>
      <c r="F765" s="68">
        <f>'THE BOARD'!F518</f>
        <v>0</v>
      </c>
      <c r="G765" s="68">
        <f>'THE BOARD'!G518</f>
        <v>0</v>
      </c>
      <c r="H765" s="68">
        <f>'THE BOARD'!H518</f>
        <v>0</v>
      </c>
      <c r="I765" s="68">
        <f>'THE BOARD'!I518</f>
        <v>0</v>
      </c>
      <c r="J765" s="68">
        <f>'THE BOARD'!Q525</f>
        <v>0</v>
      </c>
      <c r="K765" s="99">
        <f>'THE BOARD'!U524</f>
        <v>0</v>
      </c>
    </row>
    <row r="766" spans="1:11" ht="12.75" x14ac:dyDescent="0.2">
      <c r="A766" s="68">
        <f>'THE BOARD'!A519</f>
        <v>0</v>
      </c>
      <c r="B766" s="68">
        <f>'THE BOARD'!B519</f>
        <v>0</v>
      </c>
      <c r="C766" s="99" t="str">
        <f>IF('THE BOARD'!U525 = "NESTED","",IF('THE BOARD'!D519&lt;&gt;"",'THE BOARD'!D519+0.72,""))</f>
        <v/>
      </c>
      <c r="D766" s="99" t="str">
        <f>IF(C766&lt;&gt;"", IF('THE BOARD'!U525 = "NESTED","",'THE BOARD'!D519 + IF(C766&lt;&gt;"", 0.72,0)),"")</f>
        <v/>
      </c>
      <c r="E766" s="68">
        <f>'THE BOARD'!E519</f>
        <v>0</v>
      </c>
      <c r="F766" s="68">
        <f>'THE BOARD'!F519</f>
        <v>0</v>
      </c>
      <c r="G766" s="68">
        <f>'THE BOARD'!G519</f>
        <v>0</v>
      </c>
      <c r="H766" s="68">
        <f>'THE BOARD'!H519</f>
        <v>0</v>
      </c>
      <c r="I766" s="68">
        <f>'THE BOARD'!I519</f>
        <v>0</v>
      </c>
      <c r="J766" s="68">
        <f>'THE BOARD'!Q526</f>
        <v>0</v>
      </c>
      <c r="K766" s="99">
        <f>'THE BOARD'!U525</f>
        <v>0</v>
      </c>
    </row>
    <row r="767" spans="1:11" ht="12.75" x14ac:dyDescent="0.2">
      <c r="A767" s="68">
        <f>'THE BOARD'!A520</f>
        <v>0</v>
      </c>
      <c r="B767" s="68">
        <f>'THE BOARD'!B520</f>
        <v>0</v>
      </c>
      <c r="C767" s="99" t="str">
        <f>IF('THE BOARD'!U526 = "NESTED","",IF('THE BOARD'!D520&lt;&gt;"",'THE BOARD'!D520+0.72,""))</f>
        <v/>
      </c>
      <c r="D767" s="99" t="str">
        <f>IF(C767&lt;&gt;"", IF('THE BOARD'!U526 = "NESTED","",'THE BOARD'!D520 + IF(C767&lt;&gt;"", 0.72,0)),"")</f>
        <v/>
      </c>
      <c r="E767" s="68">
        <f>'THE BOARD'!E520</f>
        <v>0</v>
      </c>
      <c r="F767" s="68">
        <f>'THE BOARD'!F520</f>
        <v>0</v>
      </c>
      <c r="G767" s="68">
        <f>'THE BOARD'!G520</f>
        <v>0</v>
      </c>
      <c r="H767" s="68">
        <f>'THE BOARD'!H520</f>
        <v>0</v>
      </c>
      <c r="I767" s="68">
        <f>'THE BOARD'!I520</f>
        <v>0</v>
      </c>
      <c r="J767" s="68">
        <f>'THE BOARD'!Q527</f>
        <v>0</v>
      </c>
      <c r="K767" s="99">
        <f>'THE BOARD'!U526</f>
        <v>0</v>
      </c>
    </row>
    <row r="768" spans="1:11" ht="12.75" x14ac:dyDescent="0.2">
      <c r="A768" s="68">
        <f>'THE BOARD'!A521</f>
        <v>0</v>
      </c>
      <c r="B768" s="68">
        <f>'THE BOARD'!B521</f>
        <v>0</v>
      </c>
      <c r="C768" s="99" t="str">
        <f>IF('THE BOARD'!U527 = "NESTED","",IF('THE BOARD'!D521&lt;&gt;"",'THE BOARD'!D521+0.72,""))</f>
        <v/>
      </c>
      <c r="D768" s="99" t="str">
        <f>IF(C768&lt;&gt;"", IF('THE BOARD'!U527 = "NESTED","",'THE BOARD'!D521 + IF(C768&lt;&gt;"", 0.72,0)),"")</f>
        <v/>
      </c>
      <c r="E768" s="68">
        <f>'THE BOARD'!E521</f>
        <v>0</v>
      </c>
      <c r="F768" s="68">
        <f>'THE BOARD'!F521</f>
        <v>0</v>
      </c>
      <c r="G768" s="68">
        <f>'THE BOARD'!G521</f>
        <v>0</v>
      </c>
      <c r="H768" s="68">
        <f>'THE BOARD'!H521</f>
        <v>0</v>
      </c>
      <c r="I768" s="68">
        <f>'THE BOARD'!I521</f>
        <v>0</v>
      </c>
      <c r="J768" s="68">
        <f>'THE BOARD'!Q528</f>
        <v>0</v>
      </c>
      <c r="K768" s="99">
        <f>'THE BOARD'!U527</f>
        <v>0</v>
      </c>
    </row>
    <row r="769" spans="1:11" ht="12.75" x14ac:dyDescent="0.2">
      <c r="A769" s="68">
        <f>'THE BOARD'!A522</f>
        <v>0</v>
      </c>
      <c r="B769" s="68">
        <f>'THE BOARD'!B522</f>
        <v>0</v>
      </c>
      <c r="C769" s="99" t="str">
        <f>IF('THE BOARD'!U528 = "NESTED","",IF('THE BOARD'!D522&lt;&gt;"",'THE BOARD'!D522+0.72,""))</f>
        <v/>
      </c>
      <c r="D769" s="99" t="str">
        <f>IF(C769&lt;&gt;"", IF('THE BOARD'!U528 = "NESTED","",'THE BOARD'!D522 + IF(C769&lt;&gt;"", 0.72,0)),"")</f>
        <v/>
      </c>
      <c r="E769" s="68">
        <f>'THE BOARD'!E522</f>
        <v>0</v>
      </c>
      <c r="F769" s="68">
        <f>'THE BOARD'!F522</f>
        <v>0</v>
      </c>
      <c r="G769" s="68">
        <f>'THE BOARD'!G522</f>
        <v>0</v>
      </c>
      <c r="H769" s="68">
        <f>'THE BOARD'!H522</f>
        <v>0</v>
      </c>
      <c r="I769" s="68">
        <f>'THE BOARD'!I522</f>
        <v>0</v>
      </c>
      <c r="J769" s="68">
        <f>'THE BOARD'!Q529</f>
        <v>0</v>
      </c>
      <c r="K769" s="99">
        <f>'THE BOARD'!U528</f>
        <v>0</v>
      </c>
    </row>
    <row r="770" spans="1:11" ht="12.75" x14ac:dyDescent="0.2">
      <c r="A770" s="68">
        <f>'THE BOARD'!A523</f>
        <v>0</v>
      </c>
      <c r="B770" s="68">
        <f>'THE BOARD'!B523</f>
        <v>0</v>
      </c>
      <c r="C770" s="99" t="str">
        <f>IF('THE BOARD'!U529 = "NESTED","",IF('THE BOARD'!D523&lt;&gt;"",'THE BOARD'!D523+0.72,""))</f>
        <v/>
      </c>
      <c r="D770" s="99" t="str">
        <f>IF(C770&lt;&gt;"", IF('THE BOARD'!U529 = "NESTED","",'THE BOARD'!D523 + IF(C770&lt;&gt;"", 0.72,0)),"")</f>
        <v/>
      </c>
      <c r="E770" s="68">
        <f>'THE BOARD'!E523</f>
        <v>0</v>
      </c>
      <c r="F770" s="68">
        <f>'THE BOARD'!F523</f>
        <v>0</v>
      </c>
      <c r="G770" s="68">
        <f>'THE BOARD'!G523</f>
        <v>0</v>
      </c>
      <c r="H770" s="68">
        <f>'THE BOARD'!H523</f>
        <v>0</v>
      </c>
      <c r="I770" s="68">
        <f>'THE BOARD'!I523</f>
        <v>0</v>
      </c>
      <c r="J770" s="68">
        <f>'THE BOARD'!Q530</f>
        <v>0</v>
      </c>
      <c r="K770" s="99">
        <f>'THE BOARD'!U529</f>
        <v>0</v>
      </c>
    </row>
    <row r="771" spans="1:11" ht="12.75" x14ac:dyDescent="0.2">
      <c r="A771" s="68">
        <f>'THE BOARD'!A524</f>
        <v>0</v>
      </c>
      <c r="B771" s="68">
        <f>'THE BOARD'!B524</f>
        <v>0</v>
      </c>
      <c r="C771" s="99" t="str">
        <f>IF('THE BOARD'!U530 = "NESTED","",IF('THE BOARD'!D524&lt;&gt;"",'THE BOARD'!D524+0.72,""))</f>
        <v/>
      </c>
      <c r="D771" s="99" t="str">
        <f>IF(C771&lt;&gt;"", IF('THE BOARD'!U530 = "NESTED","",'THE BOARD'!D524 + IF(C771&lt;&gt;"", 0.72,0)),"")</f>
        <v/>
      </c>
      <c r="E771" s="68">
        <f>'THE BOARD'!E524</f>
        <v>0</v>
      </c>
      <c r="F771" s="68">
        <f>'THE BOARD'!F524</f>
        <v>0</v>
      </c>
      <c r="G771" s="68">
        <f>'THE BOARD'!G524</f>
        <v>0</v>
      </c>
      <c r="H771" s="68">
        <f>'THE BOARD'!H524</f>
        <v>0</v>
      </c>
      <c r="I771" s="68">
        <f>'THE BOARD'!I524</f>
        <v>0</v>
      </c>
      <c r="J771" s="68">
        <f>'THE BOARD'!Q531</f>
        <v>0</v>
      </c>
      <c r="K771" s="99">
        <f>'THE BOARD'!U530</f>
        <v>0</v>
      </c>
    </row>
    <row r="772" spans="1:11" ht="12.75" x14ac:dyDescent="0.2">
      <c r="A772" s="68">
        <f>'THE BOARD'!A525</f>
        <v>0</v>
      </c>
      <c r="B772" s="68">
        <f>'THE BOARD'!B525</f>
        <v>0</v>
      </c>
      <c r="C772" s="99" t="str">
        <f>IF('THE BOARD'!U531 = "NESTED","",IF('THE BOARD'!D525&lt;&gt;"",'THE BOARD'!D525+0.72,""))</f>
        <v/>
      </c>
      <c r="D772" s="99" t="str">
        <f>IF(C772&lt;&gt;"", IF('THE BOARD'!U531 = "NESTED","",'THE BOARD'!D525 + IF(C772&lt;&gt;"", 0.72,0)),"")</f>
        <v/>
      </c>
      <c r="E772" s="68">
        <f>'THE BOARD'!E525</f>
        <v>0</v>
      </c>
      <c r="F772" s="68">
        <f>'THE BOARD'!F525</f>
        <v>0</v>
      </c>
      <c r="G772" s="68">
        <f>'THE BOARD'!G525</f>
        <v>0</v>
      </c>
      <c r="H772" s="68">
        <f>'THE BOARD'!H525</f>
        <v>0</v>
      </c>
      <c r="I772" s="68">
        <f>'THE BOARD'!I525</f>
        <v>0</v>
      </c>
      <c r="J772" s="68">
        <f>'THE BOARD'!Q532</f>
        <v>0</v>
      </c>
      <c r="K772" s="99">
        <f>'THE BOARD'!U531</f>
        <v>0</v>
      </c>
    </row>
    <row r="773" spans="1:11" ht="12.75" x14ac:dyDescent="0.2">
      <c r="A773" s="68">
        <f>'THE BOARD'!A526</f>
        <v>0</v>
      </c>
      <c r="B773" s="68">
        <f>'THE BOARD'!B526</f>
        <v>0</v>
      </c>
      <c r="C773" s="99" t="str">
        <f>IF('THE BOARD'!U532 = "NESTED","",IF('THE BOARD'!D526&lt;&gt;"",'THE BOARD'!D526+0.72,""))</f>
        <v/>
      </c>
      <c r="D773" s="99" t="str">
        <f>IF(C773&lt;&gt;"", IF('THE BOARD'!U532 = "NESTED","",'THE BOARD'!D526 + IF(C773&lt;&gt;"", 0.72,0)),"")</f>
        <v/>
      </c>
      <c r="E773" s="68">
        <f>'THE BOARD'!E526</f>
        <v>0</v>
      </c>
      <c r="F773" s="68">
        <f>'THE BOARD'!F526</f>
        <v>0</v>
      </c>
      <c r="G773" s="68">
        <f>'THE BOARD'!G526</f>
        <v>0</v>
      </c>
      <c r="H773" s="68">
        <f>'THE BOARD'!H526</f>
        <v>0</v>
      </c>
      <c r="I773" s="68">
        <f>'THE BOARD'!I526</f>
        <v>0</v>
      </c>
      <c r="J773" s="68">
        <f>'THE BOARD'!Q533</f>
        <v>0</v>
      </c>
      <c r="K773" s="99">
        <f>'THE BOARD'!U532</f>
        <v>0</v>
      </c>
    </row>
    <row r="774" spans="1:11" ht="12.75" x14ac:dyDescent="0.2">
      <c r="A774" s="68">
        <f>'THE BOARD'!A527</f>
        <v>0</v>
      </c>
      <c r="B774" s="68">
        <f>'THE BOARD'!B527</f>
        <v>0</v>
      </c>
      <c r="C774" s="99" t="str">
        <f>IF('THE BOARD'!U533 = "NESTED","",IF('THE BOARD'!D527&lt;&gt;"",'THE BOARD'!D527+0.72,""))</f>
        <v/>
      </c>
      <c r="D774" s="99" t="str">
        <f>IF(C774&lt;&gt;"", IF('THE BOARD'!U533 = "NESTED","",'THE BOARD'!D527 + IF(C774&lt;&gt;"", 0.72,0)),"")</f>
        <v/>
      </c>
      <c r="E774" s="68">
        <f>'THE BOARD'!E527</f>
        <v>0</v>
      </c>
      <c r="F774" s="68">
        <f>'THE BOARD'!F527</f>
        <v>0</v>
      </c>
      <c r="G774" s="68">
        <f>'THE BOARD'!G527</f>
        <v>0</v>
      </c>
      <c r="H774" s="68">
        <f>'THE BOARD'!H527</f>
        <v>0</v>
      </c>
      <c r="I774" s="68">
        <f>'THE BOARD'!I527</f>
        <v>0</v>
      </c>
      <c r="J774" s="68">
        <f>'THE BOARD'!Q534</f>
        <v>0</v>
      </c>
      <c r="K774" s="99">
        <f>'THE BOARD'!U533</f>
        <v>0</v>
      </c>
    </row>
    <row r="775" spans="1:11" ht="12.75" x14ac:dyDescent="0.2">
      <c r="A775" s="68">
        <f>'THE BOARD'!A528</f>
        <v>0</v>
      </c>
      <c r="B775" s="68">
        <f>'THE BOARD'!B528</f>
        <v>0</v>
      </c>
      <c r="C775" s="99" t="str">
        <f>IF('THE BOARD'!U534 = "NESTED","",IF('THE BOARD'!D528&lt;&gt;"",'THE BOARD'!D528+0.72,""))</f>
        <v/>
      </c>
      <c r="D775" s="99" t="str">
        <f>IF(C775&lt;&gt;"", IF('THE BOARD'!U534 = "NESTED","",'THE BOARD'!D528 + IF(C775&lt;&gt;"", 0.72,0)),"")</f>
        <v/>
      </c>
      <c r="E775" s="68">
        <f>'THE BOARD'!E528</f>
        <v>0</v>
      </c>
      <c r="F775" s="68">
        <f>'THE BOARD'!F528</f>
        <v>0</v>
      </c>
      <c r="G775" s="68">
        <f>'THE BOARD'!G528</f>
        <v>0</v>
      </c>
      <c r="H775" s="68">
        <f>'THE BOARD'!H528</f>
        <v>0</v>
      </c>
      <c r="I775" s="68">
        <f>'THE BOARD'!I528</f>
        <v>0</v>
      </c>
      <c r="J775" s="68">
        <f>'THE BOARD'!Q535</f>
        <v>0</v>
      </c>
      <c r="K775" s="99">
        <f>'THE BOARD'!U534</f>
        <v>0</v>
      </c>
    </row>
    <row r="776" spans="1:11" ht="12.75" x14ac:dyDescent="0.2">
      <c r="A776" s="68">
        <f>'THE BOARD'!A529</f>
        <v>0</v>
      </c>
      <c r="B776" s="68">
        <f>'THE BOARD'!B529</f>
        <v>0</v>
      </c>
      <c r="C776" s="99" t="str">
        <f>IF('THE BOARD'!U535 = "NESTED","",IF('THE BOARD'!D529&lt;&gt;"",'THE BOARD'!D529+0.72,""))</f>
        <v/>
      </c>
      <c r="D776" s="99" t="str">
        <f>IF(C776&lt;&gt;"", IF('THE BOARD'!U535 = "NESTED","",'THE BOARD'!D529 + IF(C776&lt;&gt;"", 0.72,0)),"")</f>
        <v/>
      </c>
      <c r="E776" s="68">
        <f>'THE BOARD'!E529</f>
        <v>0</v>
      </c>
      <c r="F776" s="68">
        <f>'THE BOARD'!F529</f>
        <v>0</v>
      </c>
      <c r="G776" s="68">
        <f>'THE BOARD'!G529</f>
        <v>0</v>
      </c>
      <c r="H776" s="68">
        <f>'THE BOARD'!H529</f>
        <v>0</v>
      </c>
      <c r="I776" s="68">
        <f>'THE BOARD'!I529</f>
        <v>0</v>
      </c>
      <c r="J776" s="68">
        <f>'THE BOARD'!Q536</f>
        <v>0</v>
      </c>
      <c r="K776" s="99">
        <f>'THE BOARD'!U535</f>
        <v>0</v>
      </c>
    </row>
    <row r="777" spans="1:11" ht="12.75" x14ac:dyDescent="0.2">
      <c r="A777" s="68">
        <f>'THE BOARD'!A530</f>
        <v>0</v>
      </c>
      <c r="B777" s="68">
        <f>'THE BOARD'!B530</f>
        <v>0</v>
      </c>
      <c r="C777" s="99" t="str">
        <f>IF('THE BOARD'!U536 = "NESTED","",IF('THE BOARD'!D530&lt;&gt;"",'THE BOARD'!D530+0.72,""))</f>
        <v/>
      </c>
      <c r="D777" s="99" t="str">
        <f>IF(C777&lt;&gt;"", IF('THE BOARD'!U536 = "NESTED","",'THE BOARD'!D530 + IF(C777&lt;&gt;"", 0.72,0)),"")</f>
        <v/>
      </c>
      <c r="E777" s="68">
        <f>'THE BOARD'!E530</f>
        <v>0</v>
      </c>
      <c r="F777" s="68">
        <f>'THE BOARD'!F530</f>
        <v>0</v>
      </c>
      <c r="G777" s="68">
        <f>'THE BOARD'!G530</f>
        <v>0</v>
      </c>
      <c r="H777" s="68">
        <f>'THE BOARD'!H530</f>
        <v>0</v>
      </c>
      <c r="I777" s="68">
        <f>'THE BOARD'!I530</f>
        <v>0</v>
      </c>
      <c r="J777" s="68">
        <f>'THE BOARD'!Q537</f>
        <v>0</v>
      </c>
      <c r="K777" s="99">
        <f>'THE BOARD'!U536</f>
        <v>0</v>
      </c>
    </row>
    <row r="778" spans="1:11" ht="12.75" x14ac:dyDescent="0.2">
      <c r="A778" s="68">
        <f>'THE BOARD'!A531</f>
        <v>0</v>
      </c>
      <c r="B778" s="68">
        <f>'THE BOARD'!B531</f>
        <v>0</v>
      </c>
      <c r="C778" s="99" t="str">
        <f>IF('THE BOARD'!U537 = "NESTED","",IF('THE BOARD'!D531&lt;&gt;"",'THE BOARD'!D531+0.72,""))</f>
        <v/>
      </c>
      <c r="D778" s="99" t="str">
        <f>IF(C778&lt;&gt;"", IF('THE BOARD'!U537 = "NESTED","",'THE BOARD'!D531 + IF(C778&lt;&gt;"", 0.72,0)),"")</f>
        <v/>
      </c>
      <c r="E778" s="68">
        <f>'THE BOARD'!E531</f>
        <v>0</v>
      </c>
      <c r="F778" s="68">
        <f>'THE BOARD'!F531</f>
        <v>0</v>
      </c>
      <c r="G778" s="68">
        <f>'THE BOARD'!G531</f>
        <v>0</v>
      </c>
      <c r="H778" s="68">
        <f>'THE BOARD'!H531</f>
        <v>0</v>
      </c>
      <c r="I778" s="68">
        <f>'THE BOARD'!I531</f>
        <v>0</v>
      </c>
      <c r="J778" s="68">
        <f>'THE BOARD'!Q538</f>
        <v>0</v>
      </c>
      <c r="K778" s="99">
        <f>'THE BOARD'!U537</f>
        <v>0</v>
      </c>
    </row>
    <row r="779" spans="1:11" ht="12.75" x14ac:dyDescent="0.2">
      <c r="A779" s="68">
        <f>'THE BOARD'!A532</f>
        <v>0</v>
      </c>
      <c r="B779" s="68">
        <f>'THE BOARD'!B532</f>
        <v>0</v>
      </c>
      <c r="C779" s="99" t="str">
        <f>IF('THE BOARD'!U538 = "NESTED","",IF('THE BOARD'!D532&lt;&gt;"",'THE BOARD'!D532+0.72,""))</f>
        <v/>
      </c>
      <c r="D779" s="99" t="str">
        <f>IF(C779&lt;&gt;"", IF('THE BOARD'!U538 = "NESTED","",'THE BOARD'!D532 + IF(C779&lt;&gt;"", 0.72,0)),"")</f>
        <v/>
      </c>
      <c r="E779" s="68">
        <f>'THE BOARD'!E532</f>
        <v>0</v>
      </c>
      <c r="F779" s="68">
        <f>'THE BOARD'!F532</f>
        <v>0</v>
      </c>
      <c r="G779" s="68">
        <f>'THE BOARD'!G532</f>
        <v>0</v>
      </c>
      <c r="H779" s="68">
        <f>'THE BOARD'!H532</f>
        <v>0</v>
      </c>
      <c r="I779" s="68">
        <f>'THE BOARD'!I532</f>
        <v>0</v>
      </c>
      <c r="J779" s="68">
        <f>'THE BOARD'!Q539</f>
        <v>0</v>
      </c>
      <c r="K779" s="99">
        <f>'THE BOARD'!U538</f>
        <v>0</v>
      </c>
    </row>
    <row r="780" spans="1:11" ht="12.75" x14ac:dyDescent="0.2">
      <c r="A780" s="68">
        <f>'THE BOARD'!A533</f>
        <v>0</v>
      </c>
      <c r="B780" s="68">
        <f>'THE BOARD'!B533</f>
        <v>0</v>
      </c>
      <c r="C780" s="99" t="str">
        <f>IF('THE BOARD'!U539 = "NESTED","",IF('THE BOARD'!D533&lt;&gt;"",'THE BOARD'!D533+0.72,""))</f>
        <v/>
      </c>
      <c r="D780" s="99" t="str">
        <f>IF(C780&lt;&gt;"", IF('THE BOARD'!U539 = "NESTED","",'THE BOARD'!D533 + IF(C780&lt;&gt;"", 0.72,0)),"")</f>
        <v/>
      </c>
      <c r="E780" s="68">
        <f>'THE BOARD'!E533</f>
        <v>0</v>
      </c>
      <c r="F780" s="68">
        <f>'THE BOARD'!F533</f>
        <v>0</v>
      </c>
      <c r="G780" s="68">
        <f>'THE BOARD'!G533</f>
        <v>0</v>
      </c>
      <c r="H780" s="68">
        <f>'THE BOARD'!H533</f>
        <v>0</v>
      </c>
      <c r="I780" s="68">
        <f>'THE BOARD'!I533</f>
        <v>0</v>
      </c>
      <c r="J780" s="68">
        <f>'THE BOARD'!Q540</f>
        <v>0</v>
      </c>
      <c r="K780" s="99">
        <f>'THE BOARD'!U539</f>
        <v>0</v>
      </c>
    </row>
    <row r="781" spans="1:11" ht="12.75" x14ac:dyDescent="0.2">
      <c r="A781" s="68">
        <f>'THE BOARD'!A534</f>
        <v>0</v>
      </c>
      <c r="B781" s="68">
        <f>'THE BOARD'!B534</f>
        <v>0</v>
      </c>
      <c r="C781" s="99" t="str">
        <f>IF('THE BOARD'!U540 = "NESTED","",IF('THE BOARD'!D534&lt;&gt;"",'THE BOARD'!D534+0.72,""))</f>
        <v/>
      </c>
      <c r="D781" s="99" t="str">
        <f>IF(C781&lt;&gt;"", IF('THE BOARD'!U540 = "NESTED","",'THE BOARD'!D534 + IF(C781&lt;&gt;"", 0.72,0)),"")</f>
        <v/>
      </c>
      <c r="E781" s="68">
        <f>'THE BOARD'!E534</f>
        <v>0</v>
      </c>
      <c r="F781" s="68">
        <f>'THE BOARD'!F534</f>
        <v>0</v>
      </c>
      <c r="G781" s="68">
        <f>'THE BOARD'!G534</f>
        <v>0</v>
      </c>
      <c r="H781" s="68">
        <f>'THE BOARD'!H534</f>
        <v>0</v>
      </c>
      <c r="I781" s="68">
        <f>'THE BOARD'!I534</f>
        <v>0</v>
      </c>
      <c r="J781" s="68">
        <f>'THE BOARD'!Q541</f>
        <v>0</v>
      </c>
      <c r="K781" s="99">
        <f>'THE BOARD'!U540</f>
        <v>0</v>
      </c>
    </row>
    <row r="782" spans="1:11" ht="12.75" x14ac:dyDescent="0.2">
      <c r="A782" s="68">
        <f>'THE BOARD'!A535</f>
        <v>0</v>
      </c>
      <c r="B782" s="68">
        <f>'THE BOARD'!B535</f>
        <v>0</v>
      </c>
      <c r="C782" s="99" t="str">
        <f>IF('THE BOARD'!U541 = "NESTED","",IF('THE BOARD'!D535&lt;&gt;"",'THE BOARD'!D535+0.72,""))</f>
        <v/>
      </c>
      <c r="D782" s="99" t="str">
        <f>IF(C782&lt;&gt;"", IF('THE BOARD'!U541 = "NESTED","",'THE BOARD'!D535 + IF(C782&lt;&gt;"", 0.72,0)),"")</f>
        <v/>
      </c>
      <c r="E782" s="68">
        <f>'THE BOARD'!E535</f>
        <v>0</v>
      </c>
      <c r="F782" s="68">
        <f>'THE BOARD'!F535</f>
        <v>0</v>
      </c>
      <c r="G782" s="68">
        <f>'THE BOARD'!G535</f>
        <v>0</v>
      </c>
      <c r="H782" s="68">
        <f>'THE BOARD'!H535</f>
        <v>0</v>
      </c>
      <c r="I782" s="68">
        <f>'THE BOARD'!I535</f>
        <v>0</v>
      </c>
      <c r="J782" s="68">
        <f>'THE BOARD'!Q542</f>
        <v>0</v>
      </c>
      <c r="K782" s="99">
        <f>'THE BOARD'!U541</f>
        <v>0</v>
      </c>
    </row>
    <row r="783" spans="1:11" ht="12.75" x14ac:dyDescent="0.2">
      <c r="A783" s="68">
        <f>'THE BOARD'!A536</f>
        <v>0</v>
      </c>
      <c r="B783" s="68">
        <f>'THE BOARD'!B536</f>
        <v>0</v>
      </c>
      <c r="C783" s="99" t="str">
        <f>IF('THE BOARD'!U542 = "NESTED","",IF('THE BOARD'!D536&lt;&gt;"",'THE BOARD'!D536+0.72,""))</f>
        <v/>
      </c>
      <c r="D783" s="99" t="str">
        <f>IF(C783&lt;&gt;"", IF('THE BOARD'!U542 = "NESTED","",'THE BOARD'!D536 + IF(C783&lt;&gt;"", 0.72,0)),"")</f>
        <v/>
      </c>
      <c r="E783" s="68">
        <f>'THE BOARD'!E536</f>
        <v>0</v>
      </c>
      <c r="F783" s="68">
        <f>'THE BOARD'!F536</f>
        <v>0</v>
      </c>
      <c r="G783" s="68">
        <f>'THE BOARD'!G536</f>
        <v>0</v>
      </c>
      <c r="H783" s="68">
        <f>'THE BOARD'!H536</f>
        <v>0</v>
      </c>
      <c r="I783" s="68">
        <f>'THE BOARD'!I536</f>
        <v>0</v>
      </c>
      <c r="J783" s="68">
        <f>'THE BOARD'!Q543</f>
        <v>0</v>
      </c>
      <c r="K783" s="99">
        <f>'THE BOARD'!U542</f>
        <v>0</v>
      </c>
    </row>
    <row r="784" spans="1:11" ht="12.75" x14ac:dyDescent="0.2">
      <c r="A784" s="68">
        <f>'THE BOARD'!A537</f>
        <v>0</v>
      </c>
      <c r="B784" s="68">
        <f>'THE BOARD'!B537</f>
        <v>0</v>
      </c>
      <c r="C784" s="99" t="str">
        <f>IF('THE BOARD'!U543 = "NESTED","",IF('THE BOARD'!D537&lt;&gt;"",'THE BOARD'!D537+0.72,""))</f>
        <v/>
      </c>
      <c r="D784" s="99" t="str">
        <f>IF(C784&lt;&gt;"", IF('THE BOARD'!U543 = "NESTED","",'THE BOARD'!D537 + IF(C784&lt;&gt;"", 0.72,0)),"")</f>
        <v/>
      </c>
      <c r="E784" s="68">
        <f>'THE BOARD'!E537</f>
        <v>0</v>
      </c>
      <c r="F784" s="68">
        <f>'THE BOARD'!F537</f>
        <v>0</v>
      </c>
      <c r="G784" s="68">
        <f>'THE BOARD'!G537</f>
        <v>0</v>
      </c>
      <c r="H784" s="68">
        <f>'THE BOARD'!H537</f>
        <v>0</v>
      </c>
      <c r="I784" s="68">
        <f>'THE BOARD'!I537</f>
        <v>0</v>
      </c>
      <c r="J784" s="68">
        <f>'THE BOARD'!Q544</f>
        <v>0</v>
      </c>
      <c r="K784" s="99">
        <f>'THE BOARD'!U543</f>
        <v>0</v>
      </c>
    </row>
    <row r="785" spans="1:11" ht="12.75" x14ac:dyDescent="0.2">
      <c r="A785" s="68">
        <f>'THE BOARD'!A538</f>
        <v>0</v>
      </c>
      <c r="B785" s="68">
        <f>'THE BOARD'!B538</f>
        <v>0</v>
      </c>
      <c r="C785" s="99" t="str">
        <f>IF('THE BOARD'!U544 = "NESTED","",IF('THE BOARD'!D538&lt;&gt;"",'THE BOARD'!D538+0.72,""))</f>
        <v/>
      </c>
      <c r="D785" s="99" t="str">
        <f>IF(C785&lt;&gt;"", IF('THE BOARD'!U544 = "NESTED","",'THE BOARD'!D538 + IF(C785&lt;&gt;"", 0.72,0)),"")</f>
        <v/>
      </c>
      <c r="E785" s="68">
        <f>'THE BOARD'!E538</f>
        <v>0</v>
      </c>
      <c r="F785" s="68">
        <f>'THE BOARD'!F538</f>
        <v>0</v>
      </c>
      <c r="G785" s="68">
        <f>'THE BOARD'!G538</f>
        <v>0</v>
      </c>
      <c r="H785" s="68">
        <f>'THE BOARD'!H538</f>
        <v>0</v>
      </c>
      <c r="I785" s="68">
        <f>'THE BOARD'!I538</f>
        <v>0</v>
      </c>
      <c r="J785" s="68">
        <f>'THE BOARD'!Q545</f>
        <v>0</v>
      </c>
      <c r="K785" s="99">
        <f>'THE BOARD'!U544</f>
        <v>0</v>
      </c>
    </row>
    <row r="786" spans="1:11" ht="12.75" x14ac:dyDescent="0.2">
      <c r="A786" s="68">
        <f>'THE BOARD'!A539</f>
        <v>0</v>
      </c>
      <c r="B786" s="68">
        <f>'THE BOARD'!B539</f>
        <v>0</v>
      </c>
      <c r="C786" s="99" t="str">
        <f>IF('THE BOARD'!U545 = "NESTED","",IF('THE BOARD'!D539&lt;&gt;"",'THE BOARD'!D539+0.72,""))</f>
        <v/>
      </c>
      <c r="D786" s="99" t="str">
        <f>IF(C786&lt;&gt;"", IF('THE BOARD'!U545 = "NESTED","",'THE BOARD'!D539 + IF(C786&lt;&gt;"", 0.72,0)),"")</f>
        <v/>
      </c>
      <c r="E786" s="68">
        <f>'THE BOARD'!E539</f>
        <v>0</v>
      </c>
      <c r="F786" s="68">
        <f>'THE BOARD'!F539</f>
        <v>0</v>
      </c>
      <c r="G786" s="68">
        <f>'THE BOARD'!G539</f>
        <v>0</v>
      </c>
      <c r="H786" s="68">
        <f>'THE BOARD'!H539</f>
        <v>0</v>
      </c>
      <c r="I786" s="68">
        <f>'THE BOARD'!I539</f>
        <v>0</v>
      </c>
      <c r="J786" s="68">
        <f>'THE BOARD'!Q546</f>
        <v>0</v>
      </c>
      <c r="K786" s="99">
        <f>'THE BOARD'!U545</f>
        <v>0</v>
      </c>
    </row>
    <row r="787" spans="1:11" ht="12.75" x14ac:dyDescent="0.2">
      <c r="A787" s="68">
        <f>'THE BOARD'!A540</f>
        <v>0</v>
      </c>
      <c r="B787" s="68">
        <f>'THE BOARD'!B540</f>
        <v>0</v>
      </c>
      <c r="C787" s="99" t="str">
        <f>IF('THE BOARD'!U546 = "NESTED","",IF('THE BOARD'!D540&lt;&gt;"",'THE BOARD'!D540+0.72,""))</f>
        <v/>
      </c>
      <c r="D787" s="99" t="str">
        <f>IF(C787&lt;&gt;"", IF('THE BOARD'!U546 = "NESTED","",'THE BOARD'!D540 + IF(C787&lt;&gt;"", 0.72,0)),"")</f>
        <v/>
      </c>
      <c r="E787" s="68">
        <f>'THE BOARD'!E540</f>
        <v>0</v>
      </c>
      <c r="F787" s="68">
        <f>'THE BOARD'!F540</f>
        <v>0</v>
      </c>
      <c r="G787" s="68">
        <f>'THE BOARD'!G540</f>
        <v>0</v>
      </c>
      <c r="H787" s="68">
        <f>'THE BOARD'!H540</f>
        <v>0</v>
      </c>
      <c r="I787" s="68">
        <f>'THE BOARD'!I540</f>
        <v>0</v>
      </c>
      <c r="J787" s="68">
        <f>'THE BOARD'!Q547</f>
        <v>0</v>
      </c>
      <c r="K787" s="99">
        <f>'THE BOARD'!U546</f>
        <v>0</v>
      </c>
    </row>
    <row r="788" spans="1:11" ht="12.75" x14ac:dyDescent="0.2">
      <c r="A788" s="68">
        <f>'THE BOARD'!A541</f>
        <v>0</v>
      </c>
      <c r="B788" s="68">
        <f>'THE BOARD'!B541</f>
        <v>0</v>
      </c>
      <c r="C788" s="99" t="str">
        <f>IF('THE BOARD'!U547 = "NESTED","",IF('THE BOARD'!D541&lt;&gt;"",'THE BOARD'!D541+0.72,""))</f>
        <v/>
      </c>
      <c r="D788" s="99" t="str">
        <f>IF(C788&lt;&gt;"", IF('THE BOARD'!U547 = "NESTED","",'THE BOARD'!D541 + IF(C788&lt;&gt;"", 0.72,0)),"")</f>
        <v/>
      </c>
      <c r="E788" s="68">
        <f>'THE BOARD'!E541</f>
        <v>0</v>
      </c>
      <c r="F788" s="68">
        <f>'THE BOARD'!F541</f>
        <v>0</v>
      </c>
      <c r="G788" s="68">
        <f>'THE BOARD'!G541</f>
        <v>0</v>
      </c>
      <c r="H788" s="68">
        <f>'THE BOARD'!H541</f>
        <v>0</v>
      </c>
      <c r="I788" s="68">
        <f>'THE BOARD'!I541</f>
        <v>0</v>
      </c>
      <c r="J788" s="68">
        <f>'THE BOARD'!Q548</f>
        <v>0</v>
      </c>
      <c r="K788" s="99">
        <f>'THE BOARD'!U547</f>
        <v>0</v>
      </c>
    </row>
    <row r="789" spans="1:11" ht="12.75" x14ac:dyDescent="0.2">
      <c r="A789" s="68">
        <f>'THE BOARD'!A542</f>
        <v>0</v>
      </c>
      <c r="B789" s="68">
        <f>'THE BOARD'!B542</f>
        <v>0</v>
      </c>
      <c r="C789" s="99" t="str">
        <f>IF('THE BOARD'!U548 = "NESTED","",IF('THE BOARD'!D542&lt;&gt;"",'THE BOARD'!D542+0.72,""))</f>
        <v/>
      </c>
      <c r="D789" s="99" t="str">
        <f>IF(C789&lt;&gt;"", IF('THE BOARD'!U548 = "NESTED","",'THE BOARD'!D542 + IF(C789&lt;&gt;"", 0.72,0)),"")</f>
        <v/>
      </c>
      <c r="E789" s="68">
        <f>'THE BOARD'!E542</f>
        <v>0</v>
      </c>
      <c r="F789" s="68">
        <f>'THE BOARD'!F542</f>
        <v>0</v>
      </c>
      <c r="G789" s="68">
        <f>'THE BOARD'!G542</f>
        <v>0</v>
      </c>
      <c r="H789" s="68">
        <f>'THE BOARD'!H542</f>
        <v>0</v>
      </c>
      <c r="I789" s="68">
        <f>'THE BOARD'!I542</f>
        <v>0</v>
      </c>
      <c r="J789" s="68">
        <f>'THE BOARD'!Q549</f>
        <v>0</v>
      </c>
      <c r="K789" s="99">
        <f>'THE BOARD'!U548</f>
        <v>0</v>
      </c>
    </row>
    <row r="790" spans="1:11" ht="12.75" x14ac:dyDescent="0.2">
      <c r="A790" s="68">
        <f>'THE BOARD'!A543</f>
        <v>0</v>
      </c>
      <c r="B790" s="68">
        <f>'THE BOARD'!B543</f>
        <v>0</v>
      </c>
      <c r="C790" s="99" t="str">
        <f>IF('THE BOARD'!U549 = "NESTED","",IF('THE BOARD'!D543&lt;&gt;"",'THE BOARD'!D543+0.72,""))</f>
        <v/>
      </c>
      <c r="D790" s="99" t="str">
        <f>IF(C790&lt;&gt;"", IF('THE BOARD'!U549 = "NESTED","",'THE BOARD'!D543 + IF(C790&lt;&gt;"", 0.72,0)),"")</f>
        <v/>
      </c>
      <c r="E790" s="68">
        <f>'THE BOARD'!E543</f>
        <v>0</v>
      </c>
      <c r="F790" s="68">
        <f>'THE BOARD'!F543</f>
        <v>0</v>
      </c>
      <c r="G790" s="68">
        <f>'THE BOARD'!G543</f>
        <v>0</v>
      </c>
      <c r="H790" s="68">
        <f>'THE BOARD'!H543</f>
        <v>0</v>
      </c>
      <c r="I790" s="68">
        <f>'THE BOARD'!I543</f>
        <v>0</v>
      </c>
      <c r="J790" s="68">
        <f>'THE BOARD'!Q550</f>
        <v>0</v>
      </c>
      <c r="K790" s="99">
        <f>'THE BOARD'!U549</f>
        <v>0</v>
      </c>
    </row>
    <row r="791" spans="1:11" ht="12.75" x14ac:dyDescent="0.2">
      <c r="A791" s="68">
        <f>'THE BOARD'!A544</f>
        <v>0</v>
      </c>
      <c r="B791" s="68">
        <f>'THE BOARD'!B544</f>
        <v>0</v>
      </c>
      <c r="C791" s="99" t="str">
        <f>IF('THE BOARD'!U550 = "NESTED","",IF('THE BOARD'!D544&lt;&gt;"",'THE BOARD'!D544+0.72,""))</f>
        <v/>
      </c>
      <c r="D791" s="99" t="str">
        <f>IF(C791&lt;&gt;"", IF('THE BOARD'!U550 = "NESTED","",'THE BOARD'!D544 + IF(C791&lt;&gt;"", 0.72,0)),"")</f>
        <v/>
      </c>
      <c r="E791" s="68">
        <f>'THE BOARD'!E544</f>
        <v>0</v>
      </c>
      <c r="F791" s="68">
        <f>'THE BOARD'!F544</f>
        <v>0</v>
      </c>
      <c r="G791" s="68">
        <f>'THE BOARD'!G544</f>
        <v>0</v>
      </c>
      <c r="H791" s="68">
        <f>'THE BOARD'!H544</f>
        <v>0</v>
      </c>
      <c r="I791" s="68">
        <f>'THE BOARD'!I544</f>
        <v>0</v>
      </c>
      <c r="J791" s="68">
        <f>'THE BOARD'!Q551</f>
        <v>0</v>
      </c>
      <c r="K791" s="99">
        <f>'THE BOARD'!U550</f>
        <v>0</v>
      </c>
    </row>
    <row r="792" spans="1:11" ht="12.75" x14ac:dyDescent="0.2">
      <c r="A792" s="68">
        <f>'THE BOARD'!A545</f>
        <v>0</v>
      </c>
      <c r="B792" s="68">
        <f>'THE BOARD'!B545</f>
        <v>0</v>
      </c>
      <c r="C792" s="99" t="str">
        <f>IF('THE BOARD'!U551 = "NESTED","",IF('THE BOARD'!D545&lt;&gt;"",'THE BOARD'!D545+0.72,""))</f>
        <v/>
      </c>
      <c r="D792" s="99" t="str">
        <f>IF(C792&lt;&gt;"", IF('THE BOARD'!U551 = "NESTED","",'THE BOARD'!D545 + IF(C792&lt;&gt;"", 0.72,0)),"")</f>
        <v/>
      </c>
      <c r="E792" s="68">
        <f>'THE BOARD'!E545</f>
        <v>0</v>
      </c>
      <c r="F792" s="68">
        <f>'THE BOARD'!F545</f>
        <v>0</v>
      </c>
      <c r="G792" s="68">
        <f>'THE BOARD'!G545</f>
        <v>0</v>
      </c>
      <c r="H792" s="68">
        <f>'THE BOARD'!H545</f>
        <v>0</v>
      </c>
      <c r="I792" s="68">
        <f>'THE BOARD'!I545</f>
        <v>0</v>
      </c>
      <c r="J792" s="68">
        <f>'THE BOARD'!Q552</f>
        <v>0</v>
      </c>
      <c r="K792" s="99">
        <f>'THE BOARD'!U551</f>
        <v>0</v>
      </c>
    </row>
    <row r="793" spans="1:11" ht="12.75" x14ac:dyDescent="0.2">
      <c r="A793" s="68">
        <f>'THE BOARD'!A546</f>
        <v>0</v>
      </c>
      <c r="B793" s="68">
        <f>'THE BOARD'!B546</f>
        <v>0</v>
      </c>
      <c r="C793" s="99" t="str">
        <f>IF('THE BOARD'!U552 = "NESTED","",IF('THE BOARD'!D546&lt;&gt;"",'THE BOARD'!D546+0.72,""))</f>
        <v/>
      </c>
      <c r="D793" s="99" t="str">
        <f>IF(C793&lt;&gt;"", IF('THE BOARD'!U552 = "NESTED","",'THE BOARD'!D546 + IF(C793&lt;&gt;"", 0.72,0)),"")</f>
        <v/>
      </c>
      <c r="E793" s="68">
        <f>'THE BOARD'!E546</f>
        <v>0</v>
      </c>
      <c r="F793" s="68">
        <f>'THE BOARD'!F546</f>
        <v>0</v>
      </c>
      <c r="G793" s="68">
        <f>'THE BOARD'!G546</f>
        <v>0</v>
      </c>
      <c r="H793" s="68">
        <f>'THE BOARD'!H546</f>
        <v>0</v>
      </c>
      <c r="I793" s="68">
        <f>'THE BOARD'!I546</f>
        <v>0</v>
      </c>
      <c r="J793" s="68">
        <f>'THE BOARD'!Q553</f>
        <v>0</v>
      </c>
      <c r="K793" s="99">
        <f>'THE BOARD'!U552</f>
        <v>0</v>
      </c>
    </row>
    <row r="794" spans="1:11" ht="12.75" x14ac:dyDescent="0.2">
      <c r="A794" s="68">
        <f>'THE BOARD'!A547</f>
        <v>0</v>
      </c>
      <c r="B794" s="68">
        <f>'THE BOARD'!B547</f>
        <v>0</v>
      </c>
      <c r="C794" s="99" t="str">
        <f>IF('THE BOARD'!U553 = "NESTED","",IF('THE BOARD'!D547&lt;&gt;"",'THE BOARD'!D547+0.72,""))</f>
        <v/>
      </c>
      <c r="D794" s="99" t="str">
        <f>IF(C794&lt;&gt;"", IF('THE BOARD'!U553 = "NESTED","",'THE BOARD'!D547 + IF(C794&lt;&gt;"", 0.72,0)),"")</f>
        <v/>
      </c>
      <c r="E794" s="68">
        <f>'THE BOARD'!E547</f>
        <v>0</v>
      </c>
      <c r="F794" s="68">
        <f>'THE BOARD'!F547</f>
        <v>0</v>
      </c>
      <c r="G794" s="68">
        <f>'THE BOARD'!G547</f>
        <v>0</v>
      </c>
      <c r="H794" s="68">
        <f>'THE BOARD'!H547</f>
        <v>0</v>
      </c>
      <c r="I794" s="68">
        <f>'THE BOARD'!I547</f>
        <v>0</v>
      </c>
      <c r="J794" s="68">
        <f>'THE BOARD'!Q554</f>
        <v>0</v>
      </c>
      <c r="K794" s="99">
        <f>'THE BOARD'!U553</f>
        <v>0</v>
      </c>
    </row>
    <row r="795" spans="1:11" ht="12.75" x14ac:dyDescent="0.2">
      <c r="A795" s="68">
        <f>'THE BOARD'!A548</f>
        <v>0</v>
      </c>
      <c r="B795" s="68">
        <f>'THE BOARD'!B548</f>
        <v>0</v>
      </c>
      <c r="C795" s="99" t="str">
        <f>IF('THE BOARD'!U554 = "NESTED","",IF('THE BOARD'!D548&lt;&gt;"",'THE BOARD'!D548+0.72,""))</f>
        <v/>
      </c>
      <c r="D795" s="99" t="str">
        <f>IF(C795&lt;&gt;"", IF('THE BOARD'!U554 = "NESTED","",'THE BOARD'!D548 + IF(C795&lt;&gt;"", 0.72,0)),"")</f>
        <v/>
      </c>
      <c r="E795" s="68">
        <f>'THE BOARD'!E548</f>
        <v>0</v>
      </c>
      <c r="F795" s="68">
        <f>'THE BOARD'!F548</f>
        <v>0</v>
      </c>
      <c r="G795" s="68">
        <f>'THE BOARD'!G548</f>
        <v>0</v>
      </c>
      <c r="H795" s="68">
        <f>'THE BOARD'!H548</f>
        <v>0</v>
      </c>
      <c r="I795" s="68">
        <f>'THE BOARD'!I548</f>
        <v>0</v>
      </c>
      <c r="J795" s="68">
        <f>'THE BOARD'!Q555</f>
        <v>0</v>
      </c>
      <c r="K795" s="99">
        <f>'THE BOARD'!U554</f>
        <v>0</v>
      </c>
    </row>
    <row r="796" spans="1:11" ht="12.75" x14ac:dyDescent="0.2">
      <c r="A796" s="68">
        <f>'THE BOARD'!A549</f>
        <v>0</v>
      </c>
      <c r="B796" s="68">
        <f>'THE BOARD'!B549</f>
        <v>0</v>
      </c>
      <c r="C796" s="99" t="str">
        <f>IF('THE BOARD'!U555 = "NESTED","",IF('THE BOARD'!D549&lt;&gt;"",'THE BOARD'!D549+0.72,""))</f>
        <v/>
      </c>
      <c r="D796" s="99" t="str">
        <f>IF(C796&lt;&gt;"", IF('THE BOARD'!U555 = "NESTED","",'THE BOARD'!D549 + IF(C796&lt;&gt;"", 0.72,0)),"")</f>
        <v/>
      </c>
      <c r="E796" s="68">
        <f>'THE BOARD'!E549</f>
        <v>0</v>
      </c>
      <c r="F796" s="68">
        <f>'THE BOARD'!F549</f>
        <v>0</v>
      </c>
      <c r="G796" s="68">
        <f>'THE BOARD'!G549</f>
        <v>0</v>
      </c>
      <c r="H796" s="68">
        <f>'THE BOARD'!H549</f>
        <v>0</v>
      </c>
      <c r="I796" s="68">
        <f>'THE BOARD'!I549</f>
        <v>0</v>
      </c>
      <c r="J796" s="68">
        <f>'THE BOARD'!Q556</f>
        <v>0</v>
      </c>
      <c r="K796" s="99">
        <f>'THE BOARD'!U555</f>
        <v>0</v>
      </c>
    </row>
    <row r="797" spans="1:11" ht="12.75" x14ac:dyDescent="0.2">
      <c r="A797" s="68">
        <f>'THE BOARD'!A550</f>
        <v>0</v>
      </c>
      <c r="B797" s="68">
        <f>'THE BOARD'!B550</f>
        <v>0</v>
      </c>
      <c r="C797" s="99" t="str">
        <f>IF('THE BOARD'!U556 = "NESTED","",IF('THE BOARD'!D550&lt;&gt;"",'THE BOARD'!D550+0.72,""))</f>
        <v/>
      </c>
      <c r="D797" s="99" t="str">
        <f>IF(C797&lt;&gt;"", IF('THE BOARD'!U556 = "NESTED","",'THE BOARD'!D550 + IF(C797&lt;&gt;"", 0.72,0)),"")</f>
        <v/>
      </c>
      <c r="E797" s="68">
        <f>'THE BOARD'!E550</f>
        <v>0</v>
      </c>
      <c r="F797" s="68">
        <f>'THE BOARD'!F550</f>
        <v>0</v>
      </c>
      <c r="G797" s="68">
        <f>'THE BOARD'!G550</f>
        <v>0</v>
      </c>
      <c r="H797" s="68">
        <f>'THE BOARD'!H550</f>
        <v>0</v>
      </c>
      <c r="I797" s="68">
        <f>'THE BOARD'!I550</f>
        <v>0</v>
      </c>
      <c r="J797" s="68">
        <f>'THE BOARD'!Q557</f>
        <v>0</v>
      </c>
      <c r="K797" s="99">
        <f>'THE BOARD'!U556</f>
        <v>0</v>
      </c>
    </row>
    <row r="798" spans="1:11" ht="12.75" x14ac:dyDescent="0.2">
      <c r="A798" s="68">
        <f>'THE BOARD'!A551</f>
        <v>0</v>
      </c>
      <c r="B798" s="68">
        <f>'THE BOARD'!B551</f>
        <v>0</v>
      </c>
      <c r="C798" s="99" t="str">
        <f>IF('THE BOARD'!U557 = "NESTED","",IF('THE BOARD'!D551&lt;&gt;"",'THE BOARD'!D551+0.72,""))</f>
        <v/>
      </c>
      <c r="D798" s="99" t="str">
        <f>IF(C798&lt;&gt;"", IF('THE BOARD'!U557 = "NESTED","",'THE BOARD'!D551 + IF(C798&lt;&gt;"", 0.72,0)),"")</f>
        <v/>
      </c>
      <c r="E798" s="68">
        <f>'THE BOARD'!E551</f>
        <v>0</v>
      </c>
      <c r="F798" s="68">
        <f>'THE BOARD'!F551</f>
        <v>0</v>
      </c>
      <c r="G798" s="68">
        <f>'THE BOARD'!G551</f>
        <v>0</v>
      </c>
      <c r="H798" s="68">
        <f>'THE BOARD'!H551</f>
        <v>0</v>
      </c>
      <c r="I798" s="68">
        <f>'THE BOARD'!I551</f>
        <v>0</v>
      </c>
      <c r="J798" s="68">
        <f>'THE BOARD'!Q558</f>
        <v>0</v>
      </c>
      <c r="K798" s="99">
        <f>'THE BOARD'!U557</f>
        <v>0</v>
      </c>
    </row>
    <row r="799" spans="1:11" ht="12.75" x14ac:dyDescent="0.2">
      <c r="A799" s="68">
        <f>'THE BOARD'!A552</f>
        <v>0</v>
      </c>
      <c r="B799" s="68">
        <f>'THE BOARD'!B552</f>
        <v>0</v>
      </c>
      <c r="C799" s="99" t="str">
        <f>IF('THE BOARD'!U558 = "NESTED","",IF('THE BOARD'!D552&lt;&gt;"",'THE BOARD'!D552+0.72,""))</f>
        <v/>
      </c>
      <c r="D799" s="99" t="str">
        <f>IF(C799&lt;&gt;"", IF('THE BOARD'!U558 = "NESTED","",'THE BOARD'!D552 + IF(C799&lt;&gt;"", 0.72,0)),"")</f>
        <v/>
      </c>
      <c r="E799" s="68">
        <f>'THE BOARD'!E552</f>
        <v>0</v>
      </c>
      <c r="F799" s="68">
        <f>'THE BOARD'!F552</f>
        <v>0</v>
      </c>
      <c r="G799" s="68">
        <f>'THE BOARD'!G552</f>
        <v>0</v>
      </c>
      <c r="H799" s="68">
        <f>'THE BOARD'!H552</f>
        <v>0</v>
      </c>
      <c r="I799" s="68">
        <f>'THE BOARD'!I552</f>
        <v>0</v>
      </c>
      <c r="J799" s="68">
        <f>'THE BOARD'!Q559</f>
        <v>0</v>
      </c>
      <c r="K799" s="99">
        <f>'THE BOARD'!U558</f>
        <v>0</v>
      </c>
    </row>
    <row r="800" spans="1:11" ht="12.75" x14ac:dyDescent="0.2">
      <c r="A800" s="68">
        <f>'THE BOARD'!A553</f>
        <v>0</v>
      </c>
      <c r="B800" s="68">
        <f>'THE BOARD'!B553</f>
        <v>0</v>
      </c>
      <c r="C800" s="99" t="str">
        <f>IF('THE BOARD'!U559 = "NESTED","",IF('THE BOARD'!D553&lt;&gt;"",'THE BOARD'!D553+0.72,""))</f>
        <v/>
      </c>
      <c r="D800" s="99" t="str">
        <f>IF(C800&lt;&gt;"", IF('THE BOARD'!U559 = "NESTED","",'THE BOARD'!D553 + IF(C800&lt;&gt;"", 0.72,0)),"")</f>
        <v/>
      </c>
      <c r="E800" s="68">
        <f>'THE BOARD'!E553</f>
        <v>0</v>
      </c>
      <c r="F800" s="68">
        <f>'THE BOARD'!F553</f>
        <v>0</v>
      </c>
      <c r="G800" s="68">
        <f>'THE BOARD'!G553</f>
        <v>0</v>
      </c>
      <c r="H800" s="68">
        <f>'THE BOARD'!H553</f>
        <v>0</v>
      </c>
      <c r="I800" s="68">
        <f>'THE BOARD'!I553</f>
        <v>0</v>
      </c>
      <c r="J800" s="68">
        <f>'THE BOARD'!Q560</f>
        <v>0</v>
      </c>
      <c r="K800" s="99">
        <f>'THE BOARD'!U559</f>
        <v>0</v>
      </c>
    </row>
    <row r="801" spans="1:11" ht="12.75" x14ac:dyDescent="0.2">
      <c r="A801" s="68">
        <f>'THE BOARD'!A554</f>
        <v>0</v>
      </c>
      <c r="B801" s="68">
        <f>'THE BOARD'!B554</f>
        <v>0</v>
      </c>
      <c r="C801" s="99" t="str">
        <f>IF('THE BOARD'!U560 = "NESTED","",IF('THE BOARD'!D554&lt;&gt;"",'THE BOARD'!D554+0.72,""))</f>
        <v/>
      </c>
      <c r="D801" s="99" t="str">
        <f>IF(C801&lt;&gt;"", IF('THE BOARD'!U560 = "NESTED","",'THE BOARD'!D554 + IF(C801&lt;&gt;"", 0.72,0)),"")</f>
        <v/>
      </c>
      <c r="E801" s="68">
        <f>'THE BOARD'!E554</f>
        <v>0</v>
      </c>
      <c r="F801" s="68">
        <f>'THE BOARD'!F554</f>
        <v>0</v>
      </c>
      <c r="G801" s="68">
        <f>'THE BOARD'!G554</f>
        <v>0</v>
      </c>
      <c r="H801" s="68">
        <f>'THE BOARD'!H554</f>
        <v>0</v>
      </c>
      <c r="I801" s="68">
        <f>'THE BOARD'!I554</f>
        <v>0</v>
      </c>
      <c r="J801" s="68">
        <f>'THE BOARD'!Q561</f>
        <v>0</v>
      </c>
      <c r="K801" s="99">
        <f>'THE BOARD'!U560</f>
        <v>0</v>
      </c>
    </row>
    <row r="802" spans="1:11" ht="12.75" x14ac:dyDescent="0.2">
      <c r="A802" s="68">
        <f>'THE BOARD'!A555</f>
        <v>0</v>
      </c>
      <c r="B802" s="68">
        <f>'THE BOARD'!B555</f>
        <v>0</v>
      </c>
      <c r="C802" s="99" t="str">
        <f>IF('THE BOARD'!U561 = "NESTED","",IF('THE BOARD'!D555&lt;&gt;"",'THE BOARD'!D555+0.72,""))</f>
        <v/>
      </c>
      <c r="D802" s="99" t="str">
        <f>IF(C802&lt;&gt;"", IF('THE BOARD'!U561 = "NESTED","",'THE BOARD'!D555 + IF(C802&lt;&gt;"", 0.72,0)),"")</f>
        <v/>
      </c>
      <c r="E802" s="68">
        <f>'THE BOARD'!E555</f>
        <v>0</v>
      </c>
      <c r="F802" s="68">
        <f>'THE BOARD'!F555</f>
        <v>0</v>
      </c>
      <c r="G802" s="68">
        <f>'THE BOARD'!G555</f>
        <v>0</v>
      </c>
      <c r="H802" s="68">
        <f>'THE BOARD'!H555</f>
        <v>0</v>
      </c>
      <c r="I802" s="68">
        <f>'THE BOARD'!I555</f>
        <v>0</v>
      </c>
      <c r="J802" s="68">
        <f>'THE BOARD'!Q562</f>
        <v>0</v>
      </c>
      <c r="K802" s="99">
        <f>'THE BOARD'!U561</f>
        <v>0</v>
      </c>
    </row>
    <row r="803" spans="1:11" ht="12.75" x14ac:dyDescent="0.2">
      <c r="A803" s="68">
        <f>'THE BOARD'!A556</f>
        <v>0</v>
      </c>
      <c r="B803" s="68">
        <f>'THE BOARD'!B556</f>
        <v>0</v>
      </c>
      <c r="C803" s="99" t="str">
        <f>IF('THE BOARD'!U562 = "NESTED","",IF('THE BOARD'!D556&lt;&gt;"",'THE BOARD'!D556+0.72,""))</f>
        <v/>
      </c>
      <c r="D803" s="99" t="str">
        <f>IF(C803&lt;&gt;"", IF('THE BOARD'!U562 = "NESTED","",'THE BOARD'!D556 + IF(C803&lt;&gt;"", 0.72,0)),"")</f>
        <v/>
      </c>
      <c r="E803" s="68">
        <f>'THE BOARD'!E556</f>
        <v>0</v>
      </c>
      <c r="F803" s="68">
        <f>'THE BOARD'!F556</f>
        <v>0</v>
      </c>
      <c r="G803" s="68">
        <f>'THE BOARD'!G556</f>
        <v>0</v>
      </c>
      <c r="H803" s="68">
        <f>'THE BOARD'!H556</f>
        <v>0</v>
      </c>
      <c r="I803" s="68">
        <f>'THE BOARD'!I556</f>
        <v>0</v>
      </c>
      <c r="J803" s="68">
        <f>'THE BOARD'!Q563</f>
        <v>0</v>
      </c>
      <c r="K803" s="99">
        <f>'THE BOARD'!U562</f>
        <v>0</v>
      </c>
    </row>
    <row r="804" spans="1:11" ht="12.75" x14ac:dyDescent="0.2">
      <c r="A804" s="68">
        <f>'THE BOARD'!A557</f>
        <v>0</v>
      </c>
      <c r="B804" s="68">
        <f>'THE BOARD'!B557</f>
        <v>0</v>
      </c>
      <c r="C804" s="99" t="str">
        <f>IF('THE BOARD'!U563 = "NESTED","",IF('THE BOARD'!D557&lt;&gt;"",'THE BOARD'!D557+0.72,""))</f>
        <v/>
      </c>
      <c r="D804" s="99" t="str">
        <f>IF(C804&lt;&gt;"", IF('THE BOARD'!U563 = "NESTED","",'THE BOARD'!D557 + IF(C804&lt;&gt;"", 0.72,0)),"")</f>
        <v/>
      </c>
      <c r="E804" s="68">
        <f>'THE BOARD'!E557</f>
        <v>0</v>
      </c>
      <c r="F804" s="68">
        <f>'THE BOARD'!F557</f>
        <v>0</v>
      </c>
      <c r="G804" s="68">
        <f>'THE BOARD'!G557</f>
        <v>0</v>
      </c>
      <c r="H804" s="68">
        <f>'THE BOARD'!H557</f>
        <v>0</v>
      </c>
      <c r="I804" s="68">
        <f>'THE BOARD'!I557</f>
        <v>0</v>
      </c>
      <c r="J804" s="68">
        <f>'THE BOARD'!Q564</f>
        <v>0</v>
      </c>
      <c r="K804" s="99">
        <f>'THE BOARD'!U563</f>
        <v>0</v>
      </c>
    </row>
    <row r="805" spans="1:11" ht="12.75" x14ac:dyDescent="0.2">
      <c r="A805" s="68">
        <f>'THE BOARD'!A558</f>
        <v>0</v>
      </c>
      <c r="B805" s="68">
        <f>'THE BOARD'!B558</f>
        <v>0</v>
      </c>
      <c r="C805" s="99" t="str">
        <f>IF('THE BOARD'!U564 = "NESTED","",IF('THE BOARD'!D558&lt;&gt;"",'THE BOARD'!D558+0.72,""))</f>
        <v/>
      </c>
      <c r="D805" s="99" t="str">
        <f>IF(C805&lt;&gt;"", IF('THE BOARD'!U564 = "NESTED","",'THE BOARD'!D558 + IF(C805&lt;&gt;"", 0.72,0)),"")</f>
        <v/>
      </c>
      <c r="E805" s="68">
        <f>'THE BOARD'!E558</f>
        <v>0</v>
      </c>
      <c r="F805" s="68">
        <f>'THE BOARD'!F558</f>
        <v>0</v>
      </c>
      <c r="G805" s="68">
        <f>'THE BOARD'!G558</f>
        <v>0</v>
      </c>
      <c r="H805" s="68">
        <f>'THE BOARD'!H558</f>
        <v>0</v>
      </c>
      <c r="I805" s="68">
        <f>'THE BOARD'!I558</f>
        <v>0</v>
      </c>
      <c r="J805" s="68">
        <f>'THE BOARD'!Q565</f>
        <v>0</v>
      </c>
      <c r="K805" s="99">
        <f>'THE BOARD'!U564</f>
        <v>0</v>
      </c>
    </row>
    <row r="806" spans="1:11" ht="12.75" x14ac:dyDescent="0.2">
      <c r="A806" s="68">
        <f>'THE BOARD'!A559</f>
        <v>0</v>
      </c>
      <c r="B806" s="68">
        <f>'THE BOARD'!B559</f>
        <v>0</v>
      </c>
      <c r="C806" s="99" t="str">
        <f>IF('THE BOARD'!U565 = "NESTED","",IF('THE BOARD'!D559&lt;&gt;"",'THE BOARD'!D559+0.72,""))</f>
        <v/>
      </c>
      <c r="D806" s="99" t="str">
        <f>IF(C806&lt;&gt;"", IF('THE BOARD'!U565 = "NESTED","",'THE BOARD'!D559 + IF(C806&lt;&gt;"", 0.72,0)),"")</f>
        <v/>
      </c>
      <c r="E806" s="68">
        <f>'THE BOARD'!E559</f>
        <v>0</v>
      </c>
      <c r="F806" s="68">
        <f>'THE BOARD'!F559</f>
        <v>0</v>
      </c>
      <c r="G806" s="68">
        <f>'THE BOARD'!G559</f>
        <v>0</v>
      </c>
      <c r="H806" s="68">
        <f>'THE BOARD'!H559</f>
        <v>0</v>
      </c>
      <c r="I806" s="68">
        <f>'THE BOARD'!I559</f>
        <v>0</v>
      </c>
      <c r="J806" s="68">
        <f>'THE BOARD'!Q566</f>
        <v>0</v>
      </c>
      <c r="K806" s="99">
        <f>'THE BOARD'!U565</f>
        <v>0</v>
      </c>
    </row>
    <row r="807" spans="1:11" ht="12.75" x14ac:dyDescent="0.2">
      <c r="A807" s="68">
        <f>'THE BOARD'!A560</f>
        <v>0</v>
      </c>
      <c r="B807" s="68">
        <f>'THE BOARD'!B560</f>
        <v>0</v>
      </c>
      <c r="C807" s="99" t="str">
        <f>IF('THE BOARD'!U566 = "NESTED","",IF('THE BOARD'!D560&lt;&gt;"",'THE BOARD'!D560+0.72,""))</f>
        <v/>
      </c>
      <c r="D807" s="99" t="str">
        <f>IF(C807&lt;&gt;"", IF('THE BOARD'!U566 = "NESTED","",'THE BOARD'!D560 + IF(C807&lt;&gt;"", 0.72,0)),"")</f>
        <v/>
      </c>
      <c r="E807" s="68">
        <f>'THE BOARD'!E560</f>
        <v>0</v>
      </c>
      <c r="F807" s="68">
        <f>'THE BOARD'!F560</f>
        <v>0</v>
      </c>
      <c r="G807" s="68">
        <f>'THE BOARD'!G560</f>
        <v>0</v>
      </c>
      <c r="H807" s="68">
        <f>'THE BOARD'!H560</f>
        <v>0</v>
      </c>
      <c r="I807" s="68">
        <f>'THE BOARD'!I560</f>
        <v>0</v>
      </c>
      <c r="J807" s="68">
        <f>'THE BOARD'!Q567</f>
        <v>0</v>
      </c>
      <c r="K807" s="99">
        <f>'THE BOARD'!U566</f>
        <v>0</v>
      </c>
    </row>
    <row r="808" spans="1:11" ht="12.75" x14ac:dyDescent="0.2">
      <c r="A808" s="68">
        <f>'THE BOARD'!A561</f>
        <v>0</v>
      </c>
      <c r="B808" s="68">
        <f>'THE BOARD'!B561</f>
        <v>0</v>
      </c>
      <c r="C808" s="99" t="str">
        <f>IF('THE BOARD'!U567 = "NESTED","",IF('THE BOARD'!D561&lt;&gt;"",'THE BOARD'!D561+0.72,""))</f>
        <v/>
      </c>
      <c r="D808" s="99" t="str">
        <f>IF(C808&lt;&gt;"", IF('THE BOARD'!U567 = "NESTED","",'THE BOARD'!D561 + IF(C808&lt;&gt;"", 0.72,0)),"")</f>
        <v/>
      </c>
      <c r="E808" s="68">
        <f>'THE BOARD'!E561</f>
        <v>0</v>
      </c>
      <c r="F808" s="68">
        <f>'THE BOARD'!F561</f>
        <v>0</v>
      </c>
      <c r="G808" s="68">
        <f>'THE BOARD'!G561</f>
        <v>0</v>
      </c>
      <c r="H808" s="68">
        <f>'THE BOARD'!H561</f>
        <v>0</v>
      </c>
      <c r="I808" s="68">
        <f>'THE BOARD'!I561</f>
        <v>0</v>
      </c>
      <c r="J808" s="68">
        <f>'THE BOARD'!Q568</f>
        <v>0</v>
      </c>
      <c r="K808" s="99">
        <f>'THE BOARD'!U567</f>
        <v>0</v>
      </c>
    </row>
    <row r="809" spans="1:11" ht="12.75" x14ac:dyDescent="0.2">
      <c r="A809" s="68">
        <f>'THE BOARD'!A562</f>
        <v>0</v>
      </c>
      <c r="B809" s="68">
        <f>'THE BOARD'!B562</f>
        <v>0</v>
      </c>
      <c r="C809" s="99" t="str">
        <f>IF('THE BOARD'!U568 = "NESTED","",IF('THE BOARD'!D562&lt;&gt;"",'THE BOARD'!D562+0.72,""))</f>
        <v/>
      </c>
      <c r="D809" s="99" t="str">
        <f>IF(C809&lt;&gt;"", IF('THE BOARD'!U568 = "NESTED","",'THE BOARD'!D562 + IF(C809&lt;&gt;"", 0.72,0)),"")</f>
        <v/>
      </c>
      <c r="E809" s="68">
        <f>'THE BOARD'!E562</f>
        <v>0</v>
      </c>
      <c r="F809" s="68">
        <f>'THE BOARD'!F562</f>
        <v>0</v>
      </c>
      <c r="G809" s="68">
        <f>'THE BOARD'!G562</f>
        <v>0</v>
      </c>
      <c r="H809" s="68">
        <f>'THE BOARD'!H562</f>
        <v>0</v>
      </c>
      <c r="I809" s="68">
        <f>'THE BOARD'!I562</f>
        <v>0</v>
      </c>
      <c r="J809" s="68">
        <f>'THE BOARD'!Q569</f>
        <v>0</v>
      </c>
      <c r="K809" s="99">
        <f>'THE BOARD'!U568</f>
        <v>0</v>
      </c>
    </row>
    <row r="810" spans="1:11" ht="12.75" x14ac:dyDescent="0.2">
      <c r="A810" s="68">
        <f>'THE BOARD'!A563</f>
        <v>0</v>
      </c>
      <c r="B810" s="68">
        <f>'THE BOARD'!B563</f>
        <v>0</v>
      </c>
      <c r="C810" s="99" t="str">
        <f>IF('THE BOARD'!U569 = "NESTED","",IF('THE BOARD'!D563&lt;&gt;"",'THE BOARD'!D563+0.72,""))</f>
        <v/>
      </c>
      <c r="D810" s="99" t="str">
        <f>IF(C810&lt;&gt;"", IF('THE BOARD'!U569 = "NESTED","",'THE BOARD'!D563 + IF(C810&lt;&gt;"", 0.72,0)),"")</f>
        <v/>
      </c>
      <c r="E810" s="68">
        <f>'THE BOARD'!E563</f>
        <v>0</v>
      </c>
      <c r="F810" s="68">
        <f>'THE BOARD'!F563</f>
        <v>0</v>
      </c>
      <c r="G810" s="68">
        <f>'THE BOARD'!G563</f>
        <v>0</v>
      </c>
      <c r="H810" s="68">
        <f>'THE BOARD'!H563</f>
        <v>0</v>
      </c>
      <c r="I810" s="68">
        <f>'THE BOARD'!I563</f>
        <v>0</v>
      </c>
      <c r="J810" s="68">
        <f>'THE BOARD'!Q570</f>
        <v>0</v>
      </c>
      <c r="K810" s="99">
        <f>'THE BOARD'!U569</f>
        <v>0</v>
      </c>
    </row>
    <row r="811" spans="1:11" ht="12.75" x14ac:dyDescent="0.2">
      <c r="A811" s="68">
        <f>'THE BOARD'!A564</f>
        <v>0</v>
      </c>
      <c r="B811" s="68">
        <f>'THE BOARD'!B564</f>
        <v>0</v>
      </c>
      <c r="C811" s="99" t="str">
        <f>IF('THE BOARD'!U570 = "NESTED","",IF('THE BOARD'!D564&lt;&gt;"",'THE BOARD'!D564+0.72,""))</f>
        <v/>
      </c>
      <c r="D811" s="99" t="str">
        <f>IF(C811&lt;&gt;"", IF('THE BOARD'!U570 = "NESTED","",'THE BOARD'!D564 + IF(C811&lt;&gt;"", 0.72,0)),"")</f>
        <v/>
      </c>
      <c r="E811" s="68">
        <f>'THE BOARD'!E564</f>
        <v>0</v>
      </c>
      <c r="F811" s="68">
        <f>'THE BOARD'!F564</f>
        <v>0</v>
      </c>
      <c r="G811" s="68">
        <f>'THE BOARD'!G564</f>
        <v>0</v>
      </c>
      <c r="H811" s="68">
        <f>'THE BOARD'!H564</f>
        <v>0</v>
      </c>
      <c r="I811" s="68">
        <f>'THE BOARD'!I564</f>
        <v>0</v>
      </c>
      <c r="J811" s="68">
        <f>'THE BOARD'!Q571</f>
        <v>0</v>
      </c>
      <c r="K811" s="99">
        <f>'THE BOARD'!U570</f>
        <v>0</v>
      </c>
    </row>
    <row r="812" spans="1:11" ht="12.75" x14ac:dyDescent="0.2">
      <c r="A812" s="68">
        <f>'THE BOARD'!A565</f>
        <v>0</v>
      </c>
      <c r="B812" s="68">
        <f>'THE BOARD'!B565</f>
        <v>0</v>
      </c>
      <c r="C812" s="99" t="str">
        <f>IF('THE BOARD'!U571 = "NESTED","",IF('THE BOARD'!D565&lt;&gt;"",'THE BOARD'!D565+0.72,""))</f>
        <v/>
      </c>
      <c r="D812" s="99" t="str">
        <f>IF(C812&lt;&gt;"", IF('THE BOARD'!U571 = "NESTED","",'THE BOARD'!D565 + IF(C812&lt;&gt;"", 0.72,0)),"")</f>
        <v/>
      </c>
      <c r="E812" s="68">
        <f>'THE BOARD'!E565</f>
        <v>0</v>
      </c>
      <c r="F812" s="68">
        <f>'THE BOARD'!F565</f>
        <v>0</v>
      </c>
      <c r="G812" s="68">
        <f>'THE BOARD'!G565</f>
        <v>0</v>
      </c>
      <c r="H812" s="68">
        <f>'THE BOARD'!H565</f>
        <v>0</v>
      </c>
      <c r="I812" s="68">
        <f>'THE BOARD'!I565</f>
        <v>0</v>
      </c>
      <c r="J812" s="68">
        <f>'THE BOARD'!Q572</f>
        <v>0</v>
      </c>
      <c r="K812" s="99">
        <f>'THE BOARD'!U571</f>
        <v>0</v>
      </c>
    </row>
    <row r="813" spans="1:11" ht="12.75" x14ac:dyDescent="0.2">
      <c r="A813" s="68">
        <f>'THE BOARD'!A566</f>
        <v>0</v>
      </c>
      <c r="B813" s="68">
        <f>'THE BOARD'!B566</f>
        <v>0</v>
      </c>
      <c r="C813" s="99" t="str">
        <f>IF('THE BOARD'!U572 = "NESTED","",IF('THE BOARD'!D566&lt;&gt;"",'THE BOARD'!D566+0.72,""))</f>
        <v/>
      </c>
      <c r="D813" s="99" t="str">
        <f>IF(C813&lt;&gt;"", IF('THE BOARD'!U572 = "NESTED","",'THE BOARD'!D566 + IF(C813&lt;&gt;"", 0.72,0)),"")</f>
        <v/>
      </c>
      <c r="E813" s="68">
        <f>'THE BOARD'!E566</f>
        <v>0</v>
      </c>
      <c r="F813" s="68">
        <f>'THE BOARD'!F566</f>
        <v>0</v>
      </c>
      <c r="G813" s="68">
        <f>'THE BOARD'!G566</f>
        <v>0</v>
      </c>
      <c r="H813" s="68">
        <f>'THE BOARD'!H566</f>
        <v>0</v>
      </c>
      <c r="I813" s="68">
        <f>'THE BOARD'!I566</f>
        <v>0</v>
      </c>
      <c r="J813" s="68">
        <f>'THE BOARD'!Q573</f>
        <v>0</v>
      </c>
      <c r="K813" s="99">
        <f>'THE BOARD'!U572</f>
        <v>0</v>
      </c>
    </row>
    <row r="814" spans="1:11" ht="12.75" x14ac:dyDescent="0.2">
      <c r="A814" s="68">
        <f>'THE BOARD'!A567</f>
        <v>0</v>
      </c>
      <c r="B814" s="68">
        <f>'THE BOARD'!B567</f>
        <v>0</v>
      </c>
      <c r="C814" s="99" t="str">
        <f>IF('THE BOARD'!U573 = "NESTED","",IF('THE BOARD'!D567&lt;&gt;"",'THE BOARD'!D567+0.72,""))</f>
        <v/>
      </c>
      <c r="D814" s="99" t="str">
        <f>IF(C814&lt;&gt;"", IF('THE BOARD'!U573 = "NESTED","",'THE BOARD'!D567 + IF(C814&lt;&gt;"", 0.72,0)),"")</f>
        <v/>
      </c>
      <c r="E814" s="68">
        <f>'THE BOARD'!E567</f>
        <v>0</v>
      </c>
      <c r="F814" s="68">
        <f>'THE BOARD'!F567</f>
        <v>0</v>
      </c>
      <c r="G814" s="68">
        <f>'THE BOARD'!G567</f>
        <v>0</v>
      </c>
      <c r="H814" s="68">
        <f>'THE BOARD'!H567</f>
        <v>0</v>
      </c>
      <c r="I814" s="68">
        <f>'THE BOARD'!I567</f>
        <v>0</v>
      </c>
      <c r="J814" s="68">
        <f>'THE BOARD'!Q574</f>
        <v>0</v>
      </c>
      <c r="K814" s="99">
        <f>'THE BOARD'!U573</f>
        <v>0</v>
      </c>
    </row>
    <row r="815" spans="1:11" ht="12.75" x14ac:dyDescent="0.2">
      <c r="A815" s="68">
        <f>'THE BOARD'!A568</f>
        <v>0</v>
      </c>
      <c r="B815" s="68">
        <f>'THE BOARD'!B568</f>
        <v>0</v>
      </c>
      <c r="C815" s="99" t="str">
        <f>IF('THE BOARD'!U574 = "NESTED","",IF('THE BOARD'!D568&lt;&gt;"",'THE BOARD'!D568+0.72,""))</f>
        <v/>
      </c>
      <c r="D815" s="99" t="str">
        <f>IF(C815&lt;&gt;"", IF('THE BOARD'!U574 = "NESTED","",'THE BOARD'!D568 + IF(C815&lt;&gt;"", 0.72,0)),"")</f>
        <v/>
      </c>
      <c r="E815" s="68">
        <f>'THE BOARD'!E568</f>
        <v>0</v>
      </c>
      <c r="F815" s="68">
        <f>'THE BOARD'!F568</f>
        <v>0</v>
      </c>
      <c r="G815" s="68">
        <f>'THE BOARD'!G568</f>
        <v>0</v>
      </c>
      <c r="H815" s="68">
        <f>'THE BOARD'!H568</f>
        <v>0</v>
      </c>
      <c r="I815" s="68">
        <f>'THE BOARD'!I568</f>
        <v>0</v>
      </c>
      <c r="J815" s="68">
        <f>'THE BOARD'!Q575</f>
        <v>0</v>
      </c>
      <c r="K815" s="99">
        <f>'THE BOARD'!U574</f>
        <v>0</v>
      </c>
    </row>
    <row r="816" spans="1:11" ht="12.75" x14ac:dyDescent="0.2">
      <c r="A816" s="68">
        <f>'THE BOARD'!A569</f>
        <v>0</v>
      </c>
      <c r="B816" s="68">
        <f>'THE BOARD'!B569</f>
        <v>0</v>
      </c>
      <c r="C816" s="99" t="str">
        <f>IF('THE BOARD'!U575 = "NESTED","",IF('THE BOARD'!D569&lt;&gt;"",'THE BOARD'!D569+0.72,""))</f>
        <v/>
      </c>
      <c r="D816" s="99" t="str">
        <f>IF(C816&lt;&gt;"", IF('THE BOARD'!U575 = "NESTED","",'THE BOARD'!D569 + IF(C816&lt;&gt;"", 0.72,0)),"")</f>
        <v/>
      </c>
      <c r="E816" s="68">
        <f>'THE BOARD'!E569</f>
        <v>0</v>
      </c>
      <c r="F816" s="68">
        <f>'THE BOARD'!F569</f>
        <v>0</v>
      </c>
      <c r="G816" s="68">
        <f>'THE BOARD'!G569</f>
        <v>0</v>
      </c>
      <c r="H816" s="68">
        <f>'THE BOARD'!H569</f>
        <v>0</v>
      </c>
      <c r="I816" s="68">
        <f>'THE BOARD'!I569</f>
        <v>0</v>
      </c>
      <c r="J816" s="68">
        <f>'THE BOARD'!Q576</f>
        <v>0</v>
      </c>
      <c r="K816" s="99">
        <f>'THE BOARD'!U575</f>
        <v>0</v>
      </c>
    </row>
    <row r="817" spans="1:11" ht="12.75" x14ac:dyDescent="0.2">
      <c r="A817" s="68">
        <f>'THE BOARD'!A570</f>
        <v>0</v>
      </c>
      <c r="B817" s="68">
        <f>'THE BOARD'!B570</f>
        <v>0</v>
      </c>
      <c r="C817" s="99" t="str">
        <f>IF('THE BOARD'!U576 = "NESTED","",IF('THE BOARD'!D570&lt;&gt;"",'THE BOARD'!D570+0.72,""))</f>
        <v/>
      </c>
      <c r="D817" s="99" t="str">
        <f>IF(C817&lt;&gt;"", IF('THE BOARD'!U576 = "NESTED","",'THE BOARD'!D570 + IF(C817&lt;&gt;"", 0.72,0)),"")</f>
        <v/>
      </c>
      <c r="E817" s="68">
        <f>'THE BOARD'!E570</f>
        <v>0</v>
      </c>
      <c r="F817" s="68">
        <f>'THE BOARD'!F570</f>
        <v>0</v>
      </c>
      <c r="G817" s="68">
        <f>'THE BOARD'!G570</f>
        <v>0</v>
      </c>
      <c r="H817" s="68">
        <f>'THE BOARD'!H570</f>
        <v>0</v>
      </c>
      <c r="I817" s="68">
        <f>'THE BOARD'!I570</f>
        <v>0</v>
      </c>
      <c r="J817" s="68">
        <f>'THE BOARD'!Q577</f>
        <v>0</v>
      </c>
      <c r="K817" s="99">
        <f>'THE BOARD'!U576</f>
        <v>0</v>
      </c>
    </row>
    <row r="818" spans="1:11" ht="12.75" x14ac:dyDescent="0.2">
      <c r="A818" s="68">
        <f>'THE BOARD'!A571</f>
        <v>0</v>
      </c>
      <c r="B818" s="68">
        <f>'THE BOARD'!B571</f>
        <v>0</v>
      </c>
      <c r="C818" s="99" t="str">
        <f>IF('THE BOARD'!U577 = "NESTED","",IF('THE BOARD'!D571&lt;&gt;"",'THE BOARD'!D571+0.72,""))</f>
        <v/>
      </c>
      <c r="D818" s="99" t="str">
        <f>IF(C818&lt;&gt;"", IF('THE BOARD'!U577 = "NESTED","",'THE BOARD'!D571 + IF(C818&lt;&gt;"", 0.72,0)),"")</f>
        <v/>
      </c>
      <c r="E818" s="68">
        <f>'THE BOARD'!E571</f>
        <v>0</v>
      </c>
      <c r="F818" s="68">
        <f>'THE BOARD'!F571</f>
        <v>0</v>
      </c>
      <c r="G818" s="68">
        <f>'THE BOARD'!G571</f>
        <v>0</v>
      </c>
      <c r="H818" s="68">
        <f>'THE BOARD'!H571</f>
        <v>0</v>
      </c>
      <c r="I818" s="68">
        <f>'THE BOARD'!I571</f>
        <v>0</v>
      </c>
      <c r="J818" s="68">
        <f>'THE BOARD'!Q578</f>
        <v>0</v>
      </c>
      <c r="K818" s="99">
        <f>'THE BOARD'!U577</f>
        <v>0</v>
      </c>
    </row>
    <row r="819" spans="1:11" ht="12.75" x14ac:dyDescent="0.2">
      <c r="A819" s="68">
        <f>'THE BOARD'!A572</f>
        <v>0</v>
      </c>
      <c r="B819" s="68">
        <f>'THE BOARD'!B572</f>
        <v>0</v>
      </c>
      <c r="C819" s="99" t="str">
        <f>IF('THE BOARD'!U578 = "NESTED","",IF('THE BOARD'!D572&lt;&gt;"",'THE BOARD'!D572+0.72,""))</f>
        <v/>
      </c>
      <c r="D819" s="99" t="str">
        <f>IF(C819&lt;&gt;"", IF('THE BOARD'!U578 = "NESTED","",'THE BOARD'!D572 + IF(C819&lt;&gt;"", 0.72,0)),"")</f>
        <v/>
      </c>
      <c r="E819" s="68">
        <f>'THE BOARD'!E572</f>
        <v>0</v>
      </c>
      <c r="F819" s="68">
        <f>'THE BOARD'!F572</f>
        <v>0</v>
      </c>
      <c r="G819" s="68">
        <f>'THE BOARD'!G572</f>
        <v>0</v>
      </c>
      <c r="H819" s="68">
        <f>'THE BOARD'!H572</f>
        <v>0</v>
      </c>
      <c r="I819" s="68">
        <f>'THE BOARD'!I572</f>
        <v>0</v>
      </c>
      <c r="J819" s="68">
        <f>'THE BOARD'!Q579</f>
        <v>0</v>
      </c>
      <c r="K819" s="99">
        <f>'THE BOARD'!U578</f>
        <v>0</v>
      </c>
    </row>
    <row r="820" spans="1:11" ht="12.75" x14ac:dyDescent="0.2">
      <c r="A820" s="68">
        <f>'THE BOARD'!A573</f>
        <v>0</v>
      </c>
      <c r="B820" s="68">
        <f>'THE BOARD'!B573</f>
        <v>0</v>
      </c>
      <c r="C820" s="99" t="str">
        <f>IF('THE BOARD'!U579 = "NESTED","",IF('THE BOARD'!D573&lt;&gt;"",'THE BOARD'!D573+0.72,""))</f>
        <v/>
      </c>
      <c r="D820" s="99" t="str">
        <f>IF(C820&lt;&gt;"", IF('THE BOARD'!U579 = "NESTED","",'THE BOARD'!D573 + IF(C820&lt;&gt;"", 0.72,0)),"")</f>
        <v/>
      </c>
      <c r="E820" s="68">
        <f>'THE BOARD'!E573</f>
        <v>0</v>
      </c>
      <c r="F820" s="68">
        <f>'THE BOARD'!F573</f>
        <v>0</v>
      </c>
      <c r="G820" s="68">
        <f>'THE BOARD'!G573</f>
        <v>0</v>
      </c>
      <c r="H820" s="68">
        <f>'THE BOARD'!H573</f>
        <v>0</v>
      </c>
      <c r="I820" s="68">
        <f>'THE BOARD'!I573</f>
        <v>0</v>
      </c>
      <c r="J820" s="68">
        <f>'THE BOARD'!Q580</f>
        <v>0</v>
      </c>
      <c r="K820" s="99">
        <f>'THE BOARD'!U579</f>
        <v>0</v>
      </c>
    </row>
    <row r="821" spans="1:11" ht="12.75" x14ac:dyDescent="0.2">
      <c r="A821" s="68">
        <f>'THE BOARD'!A574</f>
        <v>0</v>
      </c>
      <c r="B821" s="68">
        <f>'THE BOARD'!B574</f>
        <v>0</v>
      </c>
      <c r="C821" s="99" t="str">
        <f>IF('THE BOARD'!U580 = "NESTED","",IF('THE BOARD'!D574&lt;&gt;"",'THE BOARD'!D574+0.72,""))</f>
        <v/>
      </c>
      <c r="D821" s="99" t="str">
        <f>IF(C821&lt;&gt;"", IF('THE BOARD'!U580 = "NESTED","",'THE BOARD'!D574 + IF(C821&lt;&gt;"", 0.72,0)),"")</f>
        <v/>
      </c>
      <c r="E821" s="68">
        <f>'THE BOARD'!E574</f>
        <v>0</v>
      </c>
      <c r="F821" s="68">
        <f>'THE BOARD'!F574</f>
        <v>0</v>
      </c>
      <c r="G821" s="68">
        <f>'THE BOARD'!G574</f>
        <v>0</v>
      </c>
      <c r="H821" s="68">
        <f>'THE BOARD'!H574</f>
        <v>0</v>
      </c>
      <c r="I821" s="68">
        <f>'THE BOARD'!I574</f>
        <v>0</v>
      </c>
      <c r="J821" s="68">
        <f>'THE BOARD'!Q581</f>
        <v>0</v>
      </c>
      <c r="K821" s="99">
        <f>'THE BOARD'!U580</f>
        <v>0</v>
      </c>
    </row>
    <row r="822" spans="1:11" ht="12.75" x14ac:dyDescent="0.2">
      <c r="A822" s="68">
        <f>'THE BOARD'!A575</f>
        <v>0</v>
      </c>
      <c r="B822" s="68">
        <f>'THE BOARD'!B575</f>
        <v>0</v>
      </c>
      <c r="C822" s="99" t="str">
        <f>IF('THE BOARD'!U581 = "NESTED","",IF('THE BOARD'!D575&lt;&gt;"",'THE BOARD'!D575+0.72,""))</f>
        <v/>
      </c>
      <c r="D822" s="99" t="str">
        <f>IF(C822&lt;&gt;"", IF('THE BOARD'!U581 = "NESTED","",'THE BOARD'!D575 + IF(C822&lt;&gt;"", 0.72,0)),"")</f>
        <v/>
      </c>
      <c r="E822" s="68">
        <f>'THE BOARD'!E575</f>
        <v>0</v>
      </c>
      <c r="F822" s="68">
        <f>'THE BOARD'!F575</f>
        <v>0</v>
      </c>
      <c r="G822" s="68">
        <f>'THE BOARD'!G575</f>
        <v>0</v>
      </c>
      <c r="H822" s="68">
        <f>'THE BOARD'!H575</f>
        <v>0</v>
      </c>
      <c r="I822" s="68">
        <f>'THE BOARD'!I575</f>
        <v>0</v>
      </c>
      <c r="J822" s="68">
        <f>'THE BOARD'!Q582</f>
        <v>0</v>
      </c>
      <c r="K822" s="99">
        <f>'THE BOARD'!U581</f>
        <v>0</v>
      </c>
    </row>
    <row r="823" spans="1:11" ht="12.75" x14ac:dyDescent="0.2">
      <c r="A823" s="68">
        <f>'THE BOARD'!A576</f>
        <v>0</v>
      </c>
      <c r="B823" s="68">
        <f>'THE BOARD'!B576</f>
        <v>0</v>
      </c>
      <c r="C823" s="99" t="str">
        <f>IF('THE BOARD'!U582 = "NESTED","",IF('THE BOARD'!D576&lt;&gt;"",'THE BOARD'!D576+0.72,""))</f>
        <v/>
      </c>
      <c r="D823" s="99" t="str">
        <f>IF(C823&lt;&gt;"", IF('THE BOARD'!U582 = "NESTED","",'THE BOARD'!D576 + IF(C823&lt;&gt;"", 0.72,0)),"")</f>
        <v/>
      </c>
      <c r="E823" s="68">
        <f>'THE BOARD'!E576</f>
        <v>0</v>
      </c>
      <c r="F823" s="68">
        <f>'THE BOARD'!F576</f>
        <v>0</v>
      </c>
      <c r="G823" s="68">
        <f>'THE BOARD'!G576</f>
        <v>0</v>
      </c>
      <c r="H823" s="68">
        <f>'THE BOARD'!H576</f>
        <v>0</v>
      </c>
      <c r="I823" s="68">
        <f>'THE BOARD'!I576</f>
        <v>0</v>
      </c>
      <c r="J823" s="68">
        <f>'THE BOARD'!Q583</f>
        <v>0</v>
      </c>
      <c r="K823" s="99">
        <f>'THE BOARD'!U582</f>
        <v>0</v>
      </c>
    </row>
    <row r="824" spans="1:11" ht="12.75" x14ac:dyDescent="0.2">
      <c r="A824" s="68">
        <f>'THE BOARD'!A577</f>
        <v>0</v>
      </c>
      <c r="B824" s="68">
        <f>'THE BOARD'!B577</f>
        <v>0</v>
      </c>
      <c r="C824" s="99" t="str">
        <f>IF('THE BOARD'!U583 = "NESTED","",IF('THE BOARD'!D577&lt;&gt;"",'THE BOARD'!D577+0.72,""))</f>
        <v/>
      </c>
      <c r="D824" s="99" t="str">
        <f>IF(C824&lt;&gt;"", IF('THE BOARD'!U583 = "NESTED","",'THE BOARD'!D577 + IF(C824&lt;&gt;"", 0.72,0)),"")</f>
        <v/>
      </c>
      <c r="E824" s="68">
        <f>'THE BOARD'!E577</f>
        <v>0</v>
      </c>
      <c r="F824" s="68">
        <f>'THE BOARD'!F577</f>
        <v>0</v>
      </c>
      <c r="G824" s="68">
        <f>'THE BOARD'!G577</f>
        <v>0</v>
      </c>
      <c r="H824" s="68">
        <f>'THE BOARD'!H577</f>
        <v>0</v>
      </c>
      <c r="I824" s="68">
        <f>'THE BOARD'!I577</f>
        <v>0</v>
      </c>
      <c r="J824" s="68">
        <f>'THE BOARD'!Q584</f>
        <v>0</v>
      </c>
      <c r="K824" s="99">
        <f>'THE BOARD'!U583</f>
        <v>0</v>
      </c>
    </row>
    <row r="825" spans="1:11" ht="12.75" x14ac:dyDescent="0.2">
      <c r="A825" s="68">
        <f>'THE BOARD'!A578</f>
        <v>0</v>
      </c>
      <c r="B825" s="68">
        <f>'THE BOARD'!B578</f>
        <v>0</v>
      </c>
      <c r="C825" s="99" t="str">
        <f>IF('THE BOARD'!U584 = "NESTED","",IF('THE BOARD'!D578&lt;&gt;"",'THE BOARD'!D578+0.72,""))</f>
        <v/>
      </c>
      <c r="D825" s="99" t="str">
        <f>IF(C825&lt;&gt;"", IF('THE BOARD'!U584 = "NESTED","",'THE BOARD'!D578 + IF(C825&lt;&gt;"", 0.72,0)),"")</f>
        <v/>
      </c>
      <c r="E825" s="68">
        <f>'THE BOARD'!E578</f>
        <v>0</v>
      </c>
      <c r="F825" s="68">
        <f>'THE BOARD'!F578</f>
        <v>0</v>
      </c>
      <c r="G825" s="68">
        <f>'THE BOARD'!G578</f>
        <v>0</v>
      </c>
      <c r="H825" s="68">
        <f>'THE BOARD'!H578</f>
        <v>0</v>
      </c>
      <c r="I825" s="68">
        <f>'THE BOARD'!I578</f>
        <v>0</v>
      </c>
      <c r="J825" s="68">
        <f>'THE BOARD'!Q585</f>
        <v>0</v>
      </c>
      <c r="K825" s="99">
        <f>'THE BOARD'!U584</f>
        <v>0</v>
      </c>
    </row>
    <row r="826" spans="1:11" ht="12.75" x14ac:dyDescent="0.2">
      <c r="A826" s="68">
        <f>'THE BOARD'!A579</f>
        <v>0</v>
      </c>
      <c r="B826" s="68">
        <f>'THE BOARD'!B579</f>
        <v>0</v>
      </c>
      <c r="C826" s="99" t="str">
        <f>IF('THE BOARD'!U585 = "NESTED","",IF('THE BOARD'!D579&lt;&gt;"",'THE BOARD'!D579+0.72,""))</f>
        <v/>
      </c>
      <c r="D826" s="99" t="str">
        <f>IF(C826&lt;&gt;"", IF('THE BOARD'!U585 = "NESTED","",'THE BOARD'!D579 + IF(C826&lt;&gt;"", 0.72,0)),"")</f>
        <v/>
      </c>
      <c r="E826" s="68">
        <f>'THE BOARD'!E579</f>
        <v>0</v>
      </c>
      <c r="F826" s="68">
        <f>'THE BOARD'!F579</f>
        <v>0</v>
      </c>
      <c r="G826" s="68">
        <f>'THE BOARD'!G579</f>
        <v>0</v>
      </c>
      <c r="H826" s="68">
        <f>'THE BOARD'!H579</f>
        <v>0</v>
      </c>
      <c r="I826" s="68">
        <f>'THE BOARD'!I579</f>
        <v>0</v>
      </c>
      <c r="J826" s="68">
        <f>'THE BOARD'!Q586</f>
        <v>0</v>
      </c>
      <c r="K826" s="99">
        <f>'THE BOARD'!U585</f>
        <v>0</v>
      </c>
    </row>
    <row r="827" spans="1:11" ht="12.75" x14ac:dyDescent="0.2">
      <c r="A827" s="68">
        <f>'THE BOARD'!A580</f>
        <v>0</v>
      </c>
      <c r="B827" s="68">
        <f>'THE BOARD'!B580</f>
        <v>0</v>
      </c>
      <c r="C827" s="99" t="str">
        <f>IF('THE BOARD'!U586 = "NESTED","",IF('THE BOARD'!D580&lt;&gt;"",'THE BOARD'!D580+0.72,""))</f>
        <v/>
      </c>
      <c r="D827" s="99" t="str">
        <f>IF(C827&lt;&gt;"", IF('THE BOARD'!U586 = "NESTED","",'THE BOARD'!D580 + IF(C827&lt;&gt;"", 0.72,0)),"")</f>
        <v/>
      </c>
      <c r="E827" s="68">
        <f>'THE BOARD'!E580</f>
        <v>0</v>
      </c>
      <c r="F827" s="68">
        <f>'THE BOARD'!F580</f>
        <v>0</v>
      </c>
      <c r="G827" s="68">
        <f>'THE BOARD'!G580</f>
        <v>0</v>
      </c>
      <c r="H827" s="68">
        <f>'THE BOARD'!H580</f>
        <v>0</v>
      </c>
      <c r="I827" s="68">
        <f>'THE BOARD'!I580</f>
        <v>0</v>
      </c>
      <c r="J827" s="68">
        <f>'THE BOARD'!Q587</f>
        <v>0</v>
      </c>
      <c r="K827" s="99">
        <f>'THE BOARD'!U586</f>
        <v>0</v>
      </c>
    </row>
    <row r="828" spans="1:11" ht="12.75" x14ac:dyDescent="0.2">
      <c r="A828" s="68">
        <f>'THE BOARD'!A581</f>
        <v>0</v>
      </c>
      <c r="B828" s="68">
        <f>'THE BOARD'!B581</f>
        <v>0</v>
      </c>
      <c r="C828" s="99" t="str">
        <f>IF('THE BOARD'!U587 = "NESTED","",IF('THE BOARD'!D581&lt;&gt;"",'THE BOARD'!D581+0.72,""))</f>
        <v/>
      </c>
      <c r="D828" s="99" t="str">
        <f>IF(C828&lt;&gt;"", IF('THE BOARD'!U587 = "NESTED","",'THE BOARD'!D581 + IF(C828&lt;&gt;"", 0.72,0)),"")</f>
        <v/>
      </c>
      <c r="E828" s="68">
        <f>'THE BOARD'!E581</f>
        <v>0</v>
      </c>
      <c r="F828" s="68">
        <f>'THE BOARD'!F581</f>
        <v>0</v>
      </c>
      <c r="G828" s="68">
        <f>'THE BOARD'!G581</f>
        <v>0</v>
      </c>
      <c r="H828" s="68">
        <f>'THE BOARD'!H581</f>
        <v>0</v>
      </c>
      <c r="I828" s="68">
        <f>'THE BOARD'!I581</f>
        <v>0</v>
      </c>
      <c r="J828" s="68">
        <f>'THE BOARD'!Q588</f>
        <v>0</v>
      </c>
      <c r="K828" s="99">
        <f>'THE BOARD'!U587</f>
        <v>0</v>
      </c>
    </row>
    <row r="829" spans="1:11" ht="12.75" x14ac:dyDescent="0.2">
      <c r="A829" s="68">
        <f>'THE BOARD'!A582</f>
        <v>0</v>
      </c>
      <c r="B829" s="68">
        <f>'THE BOARD'!B582</f>
        <v>0</v>
      </c>
      <c r="C829" s="99" t="str">
        <f>IF('THE BOARD'!U588 = "NESTED","",IF('THE BOARD'!D582&lt;&gt;"",'THE BOARD'!D582+0.72,""))</f>
        <v/>
      </c>
      <c r="D829" s="99" t="str">
        <f>IF(C829&lt;&gt;"", IF('THE BOARD'!U588 = "NESTED","",'THE BOARD'!D582 + IF(C829&lt;&gt;"", 0.72,0)),"")</f>
        <v/>
      </c>
      <c r="E829" s="68">
        <f>'THE BOARD'!E582</f>
        <v>0</v>
      </c>
      <c r="F829" s="68">
        <f>'THE BOARD'!F582</f>
        <v>0</v>
      </c>
      <c r="G829" s="68">
        <f>'THE BOARD'!G582</f>
        <v>0</v>
      </c>
      <c r="H829" s="68">
        <f>'THE BOARD'!H582</f>
        <v>0</v>
      </c>
      <c r="I829" s="68">
        <f>'THE BOARD'!I582</f>
        <v>0</v>
      </c>
      <c r="J829" s="68">
        <f>'THE BOARD'!Q589</f>
        <v>0</v>
      </c>
      <c r="K829" s="99">
        <f>'THE BOARD'!U588</f>
        <v>0</v>
      </c>
    </row>
    <row r="830" spans="1:11" ht="12.75" x14ac:dyDescent="0.2">
      <c r="A830" s="68">
        <f>'THE BOARD'!A583</f>
        <v>0</v>
      </c>
      <c r="B830" s="68">
        <f>'THE BOARD'!B583</f>
        <v>0</v>
      </c>
      <c r="C830" s="99" t="str">
        <f>IF('THE BOARD'!U589 = "NESTED","",IF('THE BOARD'!D583&lt;&gt;"",'THE BOARD'!D583+0.72,""))</f>
        <v/>
      </c>
      <c r="D830" s="99" t="str">
        <f>IF(C830&lt;&gt;"", IF('THE BOARD'!U589 = "NESTED","",'THE BOARD'!D583 + IF(C830&lt;&gt;"", 0.72,0)),"")</f>
        <v/>
      </c>
      <c r="E830" s="68">
        <f>'THE BOARD'!E583</f>
        <v>0</v>
      </c>
      <c r="F830" s="68">
        <f>'THE BOARD'!F583</f>
        <v>0</v>
      </c>
      <c r="G830" s="68">
        <f>'THE BOARD'!G583</f>
        <v>0</v>
      </c>
      <c r="H830" s="68">
        <f>'THE BOARD'!H583</f>
        <v>0</v>
      </c>
      <c r="I830" s="68">
        <f>'THE BOARD'!I583</f>
        <v>0</v>
      </c>
      <c r="J830" s="68">
        <f>'THE BOARD'!Q590</f>
        <v>0</v>
      </c>
      <c r="K830" s="99">
        <f>'THE BOARD'!U589</f>
        <v>0</v>
      </c>
    </row>
    <row r="831" spans="1:11" ht="12.75" x14ac:dyDescent="0.2">
      <c r="A831" s="68">
        <f>'THE BOARD'!A584</f>
        <v>0</v>
      </c>
      <c r="B831" s="68">
        <f>'THE BOARD'!B584</f>
        <v>0</v>
      </c>
      <c r="C831" s="99" t="str">
        <f>IF('THE BOARD'!U590 = "NESTED","",IF('THE BOARD'!D584&lt;&gt;"",'THE BOARD'!D584+0.72,""))</f>
        <v/>
      </c>
      <c r="D831" s="99" t="str">
        <f>IF(C831&lt;&gt;"", IF('THE BOARD'!U590 = "NESTED","",'THE BOARD'!D584 + IF(C831&lt;&gt;"", 0.72,0)),"")</f>
        <v/>
      </c>
      <c r="E831" s="68">
        <f>'THE BOARD'!E584</f>
        <v>0</v>
      </c>
      <c r="F831" s="68">
        <f>'THE BOARD'!F584</f>
        <v>0</v>
      </c>
      <c r="G831" s="68">
        <f>'THE BOARD'!G584</f>
        <v>0</v>
      </c>
      <c r="H831" s="68">
        <f>'THE BOARD'!H584</f>
        <v>0</v>
      </c>
      <c r="I831" s="68">
        <f>'THE BOARD'!I584</f>
        <v>0</v>
      </c>
      <c r="J831" s="68">
        <f>'THE BOARD'!Q591</f>
        <v>0</v>
      </c>
      <c r="K831" s="99">
        <f>'THE BOARD'!U590</f>
        <v>0</v>
      </c>
    </row>
    <row r="832" spans="1:11" ht="12.75" x14ac:dyDescent="0.2">
      <c r="A832" s="68">
        <f>'THE BOARD'!A585</f>
        <v>0</v>
      </c>
      <c r="B832" s="68">
        <f>'THE BOARD'!B585</f>
        <v>0</v>
      </c>
      <c r="C832" s="99" t="str">
        <f>IF('THE BOARD'!U591 = "NESTED","",IF('THE BOARD'!D585&lt;&gt;"",'THE BOARD'!D585+0.72,""))</f>
        <v/>
      </c>
      <c r="D832" s="99" t="str">
        <f>IF(C832&lt;&gt;"", IF('THE BOARD'!U591 = "NESTED","",'THE BOARD'!D585 + IF(C832&lt;&gt;"", 0.72,0)),"")</f>
        <v/>
      </c>
      <c r="E832" s="68">
        <f>'THE BOARD'!E585</f>
        <v>0</v>
      </c>
      <c r="F832" s="68">
        <f>'THE BOARD'!F585</f>
        <v>0</v>
      </c>
      <c r="G832" s="68">
        <f>'THE BOARD'!G585</f>
        <v>0</v>
      </c>
      <c r="H832" s="68">
        <f>'THE BOARD'!H585</f>
        <v>0</v>
      </c>
      <c r="I832" s="68">
        <f>'THE BOARD'!I585</f>
        <v>0</v>
      </c>
      <c r="J832" s="68">
        <f>'THE BOARD'!Q592</f>
        <v>0</v>
      </c>
      <c r="K832" s="99">
        <f>'THE BOARD'!U591</f>
        <v>0</v>
      </c>
    </row>
    <row r="833" spans="1:11" ht="12.75" x14ac:dyDescent="0.2">
      <c r="A833" s="68">
        <f>'THE BOARD'!A586</f>
        <v>0</v>
      </c>
      <c r="B833" s="68">
        <f>'THE BOARD'!B586</f>
        <v>0</v>
      </c>
      <c r="C833" s="99" t="str">
        <f>IF('THE BOARD'!U592 = "NESTED","",IF('THE BOARD'!D586&lt;&gt;"",'THE BOARD'!D586+0.72,""))</f>
        <v/>
      </c>
      <c r="D833" s="99" t="str">
        <f>IF(C833&lt;&gt;"", IF('THE BOARD'!U592 = "NESTED","",'THE BOARD'!D586 + IF(C833&lt;&gt;"", 0.72,0)),"")</f>
        <v/>
      </c>
      <c r="E833" s="68">
        <f>'THE BOARD'!E586</f>
        <v>0</v>
      </c>
      <c r="F833" s="68">
        <f>'THE BOARD'!F586</f>
        <v>0</v>
      </c>
      <c r="G833" s="68">
        <f>'THE BOARD'!G586</f>
        <v>0</v>
      </c>
      <c r="H833" s="68">
        <f>'THE BOARD'!H586</f>
        <v>0</v>
      </c>
      <c r="I833" s="68">
        <f>'THE BOARD'!I586</f>
        <v>0</v>
      </c>
      <c r="J833" s="68">
        <f>'THE BOARD'!Q593</f>
        <v>0</v>
      </c>
      <c r="K833" s="99">
        <f>'THE BOARD'!U592</f>
        <v>0</v>
      </c>
    </row>
    <row r="834" spans="1:11" ht="12.75" x14ac:dyDescent="0.2">
      <c r="A834" s="68">
        <f>'THE BOARD'!A587</f>
        <v>0</v>
      </c>
      <c r="B834" s="68">
        <f>'THE BOARD'!B587</f>
        <v>0</v>
      </c>
      <c r="C834" s="99" t="str">
        <f>IF('THE BOARD'!U593 = "NESTED","",IF('THE BOARD'!D587&lt;&gt;"",'THE BOARD'!D587+0.72,""))</f>
        <v/>
      </c>
      <c r="D834" s="99" t="str">
        <f>IF(C834&lt;&gt;"", IF('THE BOARD'!U593 = "NESTED","",'THE BOARD'!D587 + IF(C834&lt;&gt;"", 0.72,0)),"")</f>
        <v/>
      </c>
      <c r="E834" s="68">
        <f>'THE BOARD'!E587</f>
        <v>0</v>
      </c>
      <c r="F834" s="68">
        <f>'THE BOARD'!F587</f>
        <v>0</v>
      </c>
      <c r="G834" s="68">
        <f>'THE BOARD'!G587</f>
        <v>0</v>
      </c>
      <c r="H834" s="68">
        <f>'THE BOARD'!H587</f>
        <v>0</v>
      </c>
      <c r="I834" s="68">
        <f>'THE BOARD'!I587</f>
        <v>0</v>
      </c>
      <c r="J834" s="68">
        <f>'THE BOARD'!Q594</f>
        <v>0</v>
      </c>
      <c r="K834" s="99">
        <f>'THE BOARD'!U593</f>
        <v>0</v>
      </c>
    </row>
    <row r="835" spans="1:11" ht="12.75" x14ac:dyDescent="0.2">
      <c r="A835" s="68">
        <f>'THE BOARD'!A588</f>
        <v>0</v>
      </c>
      <c r="B835" s="68">
        <f>'THE BOARD'!B588</f>
        <v>0</v>
      </c>
      <c r="C835" s="99" t="str">
        <f>IF('THE BOARD'!U594 = "NESTED","",IF('THE BOARD'!D588&lt;&gt;"",'THE BOARD'!D588+0.72,""))</f>
        <v/>
      </c>
      <c r="D835" s="99" t="str">
        <f>IF(C835&lt;&gt;"", IF('THE BOARD'!U594 = "NESTED","",'THE BOARD'!D588 + IF(C835&lt;&gt;"", 0.72,0)),"")</f>
        <v/>
      </c>
      <c r="E835" s="68">
        <f>'THE BOARD'!E588</f>
        <v>0</v>
      </c>
      <c r="F835" s="68">
        <f>'THE BOARD'!F588</f>
        <v>0</v>
      </c>
      <c r="G835" s="68">
        <f>'THE BOARD'!G588</f>
        <v>0</v>
      </c>
      <c r="H835" s="68">
        <f>'THE BOARD'!H588</f>
        <v>0</v>
      </c>
      <c r="I835" s="68">
        <f>'THE BOARD'!I588</f>
        <v>0</v>
      </c>
      <c r="J835" s="68">
        <f>'THE BOARD'!Q595</f>
        <v>0</v>
      </c>
      <c r="K835" s="99">
        <f>'THE BOARD'!U594</f>
        <v>0</v>
      </c>
    </row>
    <row r="836" spans="1:11" ht="12.75" x14ac:dyDescent="0.2">
      <c r="A836" s="68">
        <f>'THE BOARD'!A589</f>
        <v>0</v>
      </c>
      <c r="B836" s="68">
        <f>'THE BOARD'!B589</f>
        <v>0</v>
      </c>
      <c r="C836" s="99" t="str">
        <f>IF('THE BOARD'!U595 = "NESTED","",IF('THE BOARD'!D589&lt;&gt;"",'THE BOARD'!D589+0.72,""))</f>
        <v/>
      </c>
      <c r="D836" s="99" t="str">
        <f>IF(C836&lt;&gt;"", IF('THE BOARD'!U595 = "NESTED","",'THE BOARD'!D589 + IF(C836&lt;&gt;"", 0.72,0)),"")</f>
        <v/>
      </c>
      <c r="E836" s="68">
        <f>'THE BOARD'!E589</f>
        <v>0</v>
      </c>
      <c r="F836" s="68">
        <f>'THE BOARD'!F589</f>
        <v>0</v>
      </c>
      <c r="G836" s="68">
        <f>'THE BOARD'!G589</f>
        <v>0</v>
      </c>
      <c r="H836" s="68">
        <f>'THE BOARD'!H589</f>
        <v>0</v>
      </c>
      <c r="I836" s="68">
        <f>'THE BOARD'!I589</f>
        <v>0</v>
      </c>
      <c r="J836" s="68">
        <f>'THE BOARD'!Q596</f>
        <v>0</v>
      </c>
      <c r="K836" s="99">
        <f>'THE BOARD'!U595</f>
        <v>0</v>
      </c>
    </row>
    <row r="837" spans="1:11" ht="12.75" x14ac:dyDescent="0.2">
      <c r="A837" s="68">
        <f>'THE BOARD'!A590</f>
        <v>0</v>
      </c>
      <c r="B837" s="68">
        <f>'THE BOARD'!B590</f>
        <v>0</v>
      </c>
      <c r="C837" s="99" t="str">
        <f>IF('THE BOARD'!U596 = "NESTED","",IF('THE BOARD'!D590&lt;&gt;"",'THE BOARD'!D590+0.72,""))</f>
        <v/>
      </c>
      <c r="D837" s="99" t="str">
        <f>IF(C837&lt;&gt;"", IF('THE BOARD'!U596 = "NESTED","",'THE BOARD'!D590 + IF(C837&lt;&gt;"", 0.72,0)),"")</f>
        <v/>
      </c>
      <c r="E837" s="68">
        <f>'THE BOARD'!E590</f>
        <v>0</v>
      </c>
      <c r="F837" s="68">
        <f>'THE BOARD'!F590</f>
        <v>0</v>
      </c>
      <c r="G837" s="68">
        <f>'THE BOARD'!G590</f>
        <v>0</v>
      </c>
      <c r="H837" s="68">
        <f>'THE BOARD'!H590</f>
        <v>0</v>
      </c>
      <c r="I837" s="68">
        <f>'THE BOARD'!I590</f>
        <v>0</v>
      </c>
      <c r="J837" s="68">
        <f>'THE BOARD'!Q597</f>
        <v>0</v>
      </c>
      <c r="K837" s="99">
        <f>'THE BOARD'!U596</f>
        <v>0</v>
      </c>
    </row>
    <row r="838" spans="1:11" ht="12.75" x14ac:dyDescent="0.2">
      <c r="A838" s="68">
        <f>'THE BOARD'!A591</f>
        <v>0</v>
      </c>
      <c r="B838" s="68">
        <f>'THE BOARD'!B591</f>
        <v>0</v>
      </c>
      <c r="C838" s="99" t="str">
        <f>IF('THE BOARD'!U597 = "NESTED","",IF('THE BOARD'!D591&lt;&gt;"",'THE BOARD'!D591+0.72,""))</f>
        <v/>
      </c>
      <c r="D838" s="99" t="str">
        <f>IF(C838&lt;&gt;"", IF('THE BOARD'!U597 = "NESTED","",'THE BOARD'!D591 + IF(C838&lt;&gt;"", 0.72,0)),"")</f>
        <v/>
      </c>
      <c r="E838" s="68">
        <f>'THE BOARD'!E591</f>
        <v>0</v>
      </c>
      <c r="F838" s="68">
        <f>'THE BOARD'!F591</f>
        <v>0</v>
      </c>
      <c r="G838" s="68">
        <f>'THE BOARD'!G591</f>
        <v>0</v>
      </c>
      <c r="H838" s="68">
        <f>'THE BOARD'!H591</f>
        <v>0</v>
      </c>
      <c r="I838" s="68">
        <f>'THE BOARD'!I591</f>
        <v>0</v>
      </c>
      <c r="J838" s="68">
        <f>'THE BOARD'!Q598</f>
        <v>0</v>
      </c>
      <c r="K838" s="99">
        <f>'THE BOARD'!U597</f>
        <v>0</v>
      </c>
    </row>
    <row r="839" spans="1:11" ht="12.75" x14ac:dyDescent="0.2">
      <c r="A839" s="68">
        <f>'THE BOARD'!A592</f>
        <v>0</v>
      </c>
      <c r="B839" s="68">
        <f>'THE BOARD'!B592</f>
        <v>0</v>
      </c>
      <c r="C839" s="99" t="str">
        <f>IF('THE BOARD'!U598 = "NESTED","",IF('THE BOARD'!D592&lt;&gt;"",'THE BOARD'!D592+0.72,""))</f>
        <v/>
      </c>
      <c r="D839" s="99" t="str">
        <f>IF(C839&lt;&gt;"", IF('THE BOARD'!U598 = "NESTED","",'THE BOARD'!D592 + IF(C839&lt;&gt;"", 0.72,0)),"")</f>
        <v/>
      </c>
      <c r="E839" s="68">
        <f>'THE BOARD'!E592</f>
        <v>0</v>
      </c>
      <c r="F839" s="68">
        <f>'THE BOARD'!F592</f>
        <v>0</v>
      </c>
      <c r="G839" s="68">
        <f>'THE BOARD'!G592</f>
        <v>0</v>
      </c>
      <c r="H839" s="68">
        <f>'THE BOARD'!H592</f>
        <v>0</v>
      </c>
      <c r="I839" s="68">
        <f>'THE BOARD'!I592</f>
        <v>0</v>
      </c>
      <c r="J839" s="68">
        <f>'THE BOARD'!Q599</f>
        <v>0</v>
      </c>
      <c r="K839" s="99">
        <f>'THE BOARD'!U598</f>
        <v>0</v>
      </c>
    </row>
    <row r="840" spans="1:11" ht="12.75" x14ac:dyDescent="0.2">
      <c r="A840" s="68">
        <f>'THE BOARD'!A593</f>
        <v>0</v>
      </c>
      <c r="B840" s="68">
        <f>'THE BOARD'!B593</f>
        <v>0</v>
      </c>
      <c r="C840" s="99" t="str">
        <f>IF('THE BOARD'!U599 = "NESTED","",IF('THE BOARD'!D593&lt;&gt;"",'THE BOARD'!D593+0.72,""))</f>
        <v/>
      </c>
      <c r="D840" s="99" t="str">
        <f>IF(C840&lt;&gt;"", IF('THE BOARD'!U599 = "NESTED","",'THE BOARD'!D593 + IF(C840&lt;&gt;"", 0.72,0)),"")</f>
        <v/>
      </c>
      <c r="E840" s="68">
        <f>'THE BOARD'!E593</f>
        <v>0</v>
      </c>
      <c r="F840" s="68">
        <f>'THE BOARD'!F593</f>
        <v>0</v>
      </c>
      <c r="G840" s="68">
        <f>'THE BOARD'!G593</f>
        <v>0</v>
      </c>
      <c r="H840" s="68">
        <f>'THE BOARD'!H593</f>
        <v>0</v>
      </c>
      <c r="I840" s="68">
        <f>'THE BOARD'!I593</f>
        <v>0</v>
      </c>
      <c r="J840" s="68">
        <f>'THE BOARD'!Q600</f>
        <v>0</v>
      </c>
      <c r="K840" s="99">
        <f>'THE BOARD'!U599</f>
        <v>0</v>
      </c>
    </row>
    <row r="841" spans="1:11" ht="12.75" x14ac:dyDescent="0.2">
      <c r="A841" s="68">
        <f>'THE BOARD'!A594</f>
        <v>0</v>
      </c>
      <c r="B841" s="68">
        <f>'THE BOARD'!B594</f>
        <v>0</v>
      </c>
      <c r="C841" s="99" t="str">
        <f>IF('THE BOARD'!U600 = "NESTED","",IF('THE BOARD'!D594&lt;&gt;"",'THE BOARD'!D594+0.72,""))</f>
        <v/>
      </c>
      <c r="D841" s="99" t="str">
        <f>IF(C841&lt;&gt;"", IF('THE BOARD'!U600 = "NESTED","",'THE BOARD'!D594 + IF(C841&lt;&gt;"", 0.72,0)),"")</f>
        <v/>
      </c>
      <c r="E841" s="68">
        <f>'THE BOARD'!E594</f>
        <v>0</v>
      </c>
      <c r="F841" s="68">
        <f>'THE BOARD'!F594</f>
        <v>0</v>
      </c>
      <c r="G841" s="68">
        <f>'THE BOARD'!G594</f>
        <v>0</v>
      </c>
      <c r="H841" s="68">
        <f>'THE BOARD'!H594</f>
        <v>0</v>
      </c>
      <c r="I841" s="68">
        <f>'THE BOARD'!I594</f>
        <v>0</v>
      </c>
      <c r="J841" s="68">
        <f>'THE BOARD'!Q601</f>
        <v>0</v>
      </c>
      <c r="K841" s="99">
        <f>'THE BOARD'!U600</f>
        <v>0</v>
      </c>
    </row>
    <row r="842" spans="1:11" ht="12.75" x14ac:dyDescent="0.2">
      <c r="A842" s="68">
        <f>'THE BOARD'!A595</f>
        <v>0</v>
      </c>
      <c r="B842" s="68">
        <f>'THE BOARD'!B595</f>
        <v>0</v>
      </c>
      <c r="C842" s="99" t="str">
        <f>IF('THE BOARD'!U601 = "NESTED","",IF('THE BOARD'!D595&lt;&gt;"",'THE BOARD'!D595+0.72,""))</f>
        <v/>
      </c>
      <c r="D842" s="99" t="str">
        <f>IF(C842&lt;&gt;"", IF('THE BOARD'!U601 = "NESTED","",'THE BOARD'!D595 + IF(C842&lt;&gt;"", 0.72,0)),"")</f>
        <v/>
      </c>
      <c r="E842" s="68">
        <f>'THE BOARD'!E595</f>
        <v>0</v>
      </c>
      <c r="F842" s="68">
        <f>'THE BOARD'!F595</f>
        <v>0</v>
      </c>
      <c r="G842" s="68">
        <f>'THE BOARD'!G595</f>
        <v>0</v>
      </c>
      <c r="H842" s="68">
        <f>'THE BOARD'!H595</f>
        <v>0</v>
      </c>
      <c r="I842" s="68">
        <f>'THE BOARD'!I595</f>
        <v>0</v>
      </c>
      <c r="J842" s="68">
        <f>'THE BOARD'!Q602</f>
        <v>0</v>
      </c>
      <c r="K842" s="99">
        <f>'THE BOARD'!U601</f>
        <v>0</v>
      </c>
    </row>
    <row r="843" spans="1:11" ht="12.75" x14ac:dyDescent="0.2">
      <c r="A843" s="68">
        <f>'THE BOARD'!A596</f>
        <v>0</v>
      </c>
      <c r="B843" s="68">
        <f>'THE BOARD'!B596</f>
        <v>0</v>
      </c>
      <c r="C843" s="99" t="str">
        <f>IF('THE BOARD'!U602 = "NESTED","",IF('THE BOARD'!D596&lt;&gt;"",'THE BOARD'!D596+0.72,""))</f>
        <v/>
      </c>
      <c r="D843" s="99" t="str">
        <f>IF(C843&lt;&gt;"", IF('THE BOARD'!U602 = "NESTED","",'THE BOARD'!D596 + IF(C843&lt;&gt;"", 0.72,0)),"")</f>
        <v/>
      </c>
      <c r="E843" s="68">
        <f>'THE BOARD'!E596</f>
        <v>0</v>
      </c>
      <c r="F843" s="68">
        <f>'THE BOARD'!F596</f>
        <v>0</v>
      </c>
      <c r="G843" s="68">
        <f>'THE BOARD'!G596</f>
        <v>0</v>
      </c>
      <c r="H843" s="68">
        <f>'THE BOARD'!H596</f>
        <v>0</v>
      </c>
      <c r="I843" s="68">
        <f>'THE BOARD'!I596</f>
        <v>0</v>
      </c>
      <c r="J843" s="68">
        <f>'THE BOARD'!Q603</f>
        <v>0</v>
      </c>
      <c r="K843" s="99">
        <f>'THE BOARD'!U602</f>
        <v>0</v>
      </c>
    </row>
    <row r="844" spans="1:11" ht="12.75" x14ac:dyDescent="0.2">
      <c r="A844" s="68">
        <f>'THE BOARD'!A597</f>
        <v>0</v>
      </c>
      <c r="B844" s="68">
        <f>'THE BOARD'!B597</f>
        <v>0</v>
      </c>
      <c r="C844" s="99" t="str">
        <f>IF('THE BOARD'!U603 = "NESTED","",IF('THE BOARD'!D597&lt;&gt;"",'THE BOARD'!D597+0.72,""))</f>
        <v/>
      </c>
      <c r="D844" s="99" t="str">
        <f>IF(C844&lt;&gt;"", IF('THE BOARD'!U603 = "NESTED","",'THE BOARD'!D597 + IF(C844&lt;&gt;"", 0.72,0)),"")</f>
        <v/>
      </c>
      <c r="E844" s="68">
        <f>'THE BOARD'!E597</f>
        <v>0</v>
      </c>
      <c r="F844" s="68">
        <f>'THE BOARD'!F597</f>
        <v>0</v>
      </c>
      <c r="G844" s="68">
        <f>'THE BOARD'!G597</f>
        <v>0</v>
      </c>
      <c r="H844" s="68">
        <f>'THE BOARD'!H597</f>
        <v>0</v>
      </c>
      <c r="I844" s="68">
        <f>'THE BOARD'!I597</f>
        <v>0</v>
      </c>
      <c r="J844" s="68">
        <f>'THE BOARD'!Q604</f>
        <v>0</v>
      </c>
      <c r="K844" s="99">
        <f>'THE BOARD'!U603</f>
        <v>0</v>
      </c>
    </row>
    <row r="845" spans="1:11" ht="12.75" x14ac:dyDescent="0.2">
      <c r="A845" s="68">
        <f>'THE BOARD'!A598</f>
        <v>0</v>
      </c>
      <c r="B845" s="68">
        <f>'THE BOARD'!B598</f>
        <v>0</v>
      </c>
      <c r="C845" s="99" t="str">
        <f>IF('THE BOARD'!U604 = "NESTED","",IF('THE BOARD'!D598&lt;&gt;"",'THE BOARD'!D598+0.72,""))</f>
        <v/>
      </c>
      <c r="D845" s="99" t="str">
        <f>IF(C845&lt;&gt;"", IF('THE BOARD'!U604 = "NESTED","",'THE BOARD'!D598 + IF(C845&lt;&gt;"", 0.72,0)),"")</f>
        <v/>
      </c>
      <c r="E845" s="68">
        <f>'THE BOARD'!E598</f>
        <v>0</v>
      </c>
      <c r="F845" s="68">
        <f>'THE BOARD'!F598</f>
        <v>0</v>
      </c>
      <c r="G845" s="68">
        <f>'THE BOARD'!G598</f>
        <v>0</v>
      </c>
      <c r="H845" s="68">
        <f>'THE BOARD'!H598</f>
        <v>0</v>
      </c>
      <c r="I845" s="68">
        <f>'THE BOARD'!I598</f>
        <v>0</v>
      </c>
      <c r="J845" s="68">
        <f>'THE BOARD'!Q605</f>
        <v>0</v>
      </c>
      <c r="K845" s="99">
        <f>'THE BOARD'!U604</f>
        <v>0</v>
      </c>
    </row>
    <row r="846" spans="1:11" ht="12.75" x14ac:dyDescent="0.2">
      <c r="A846" s="68">
        <f>'THE BOARD'!A599</f>
        <v>0</v>
      </c>
      <c r="B846" s="68">
        <f>'THE BOARD'!B599</f>
        <v>0</v>
      </c>
      <c r="C846" s="99" t="str">
        <f>IF('THE BOARD'!U605 = "NESTED","",IF('THE BOARD'!D599&lt;&gt;"",'THE BOARD'!D599+0.72,""))</f>
        <v/>
      </c>
      <c r="D846" s="99" t="str">
        <f>IF(C846&lt;&gt;"", IF('THE BOARD'!U605 = "NESTED","",'THE BOARD'!D599 + IF(C846&lt;&gt;"", 0.72,0)),"")</f>
        <v/>
      </c>
      <c r="E846" s="68">
        <f>'THE BOARD'!E599</f>
        <v>0</v>
      </c>
      <c r="F846" s="68">
        <f>'THE BOARD'!F599</f>
        <v>0</v>
      </c>
      <c r="G846" s="68">
        <f>'THE BOARD'!G599</f>
        <v>0</v>
      </c>
      <c r="H846" s="68">
        <f>'THE BOARD'!H599</f>
        <v>0</v>
      </c>
      <c r="I846" s="68">
        <f>'THE BOARD'!I599</f>
        <v>0</v>
      </c>
      <c r="J846" s="68">
        <f>'THE BOARD'!Q606</f>
        <v>0</v>
      </c>
      <c r="K846" s="99">
        <f>'THE BOARD'!U605</f>
        <v>0</v>
      </c>
    </row>
    <row r="847" spans="1:11" ht="12.75" x14ac:dyDescent="0.2">
      <c r="A847" s="68">
        <f>'THE BOARD'!A600</f>
        <v>0</v>
      </c>
      <c r="B847" s="68">
        <f>'THE BOARD'!B600</f>
        <v>0</v>
      </c>
      <c r="C847" s="99" t="str">
        <f>IF('THE BOARD'!U606 = "NESTED","",IF('THE BOARD'!D600&lt;&gt;"",'THE BOARD'!D600+0.72,""))</f>
        <v/>
      </c>
      <c r="D847" s="99" t="str">
        <f>IF(C847&lt;&gt;"", IF('THE BOARD'!U606 = "NESTED","",'THE BOARD'!D600 + IF(C847&lt;&gt;"", 0.72,0)),"")</f>
        <v/>
      </c>
      <c r="E847" s="68">
        <f>'THE BOARD'!E600</f>
        <v>0</v>
      </c>
      <c r="F847" s="68">
        <f>'THE BOARD'!F600</f>
        <v>0</v>
      </c>
      <c r="G847" s="68">
        <f>'THE BOARD'!G600</f>
        <v>0</v>
      </c>
      <c r="H847" s="68">
        <f>'THE BOARD'!H600</f>
        <v>0</v>
      </c>
      <c r="I847" s="68">
        <f>'THE BOARD'!I600</f>
        <v>0</v>
      </c>
      <c r="J847" s="68">
        <f>'THE BOARD'!Q607</f>
        <v>0</v>
      </c>
      <c r="K847" s="99">
        <f>'THE BOARD'!U606</f>
        <v>0</v>
      </c>
    </row>
    <row r="848" spans="1:11" ht="12.75" x14ac:dyDescent="0.2">
      <c r="A848" s="68">
        <f>'THE BOARD'!A601</f>
        <v>0</v>
      </c>
      <c r="B848" s="68">
        <f>'THE BOARD'!B601</f>
        <v>0</v>
      </c>
      <c r="C848" s="99" t="str">
        <f>IF('THE BOARD'!U607 = "NESTED","",IF('THE BOARD'!D601&lt;&gt;"",'THE BOARD'!D601+0.72,""))</f>
        <v/>
      </c>
      <c r="D848" s="99" t="str">
        <f>IF(C848&lt;&gt;"", IF('THE BOARD'!U607 = "NESTED","",'THE BOARD'!D601 + IF(C848&lt;&gt;"", 0.72,0)),"")</f>
        <v/>
      </c>
      <c r="E848" s="68">
        <f>'THE BOARD'!E601</f>
        <v>0</v>
      </c>
      <c r="F848" s="68">
        <f>'THE BOARD'!F601</f>
        <v>0</v>
      </c>
      <c r="G848" s="68">
        <f>'THE BOARD'!G601</f>
        <v>0</v>
      </c>
      <c r="H848" s="68">
        <f>'THE BOARD'!H601</f>
        <v>0</v>
      </c>
      <c r="I848" s="68">
        <f>'THE BOARD'!I601</f>
        <v>0</v>
      </c>
      <c r="J848" s="68">
        <f>'THE BOARD'!Q608</f>
        <v>0</v>
      </c>
      <c r="K848" s="99">
        <f>'THE BOARD'!U607</f>
        <v>0</v>
      </c>
    </row>
    <row r="849" spans="1:11" ht="12.75" x14ac:dyDescent="0.2">
      <c r="A849" s="68">
        <f>'THE BOARD'!A602</f>
        <v>0</v>
      </c>
      <c r="B849" s="68">
        <f>'THE BOARD'!B602</f>
        <v>0</v>
      </c>
      <c r="C849" s="99" t="str">
        <f>IF('THE BOARD'!U608 = "NESTED","",IF('THE BOARD'!D602&lt;&gt;"",'THE BOARD'!D602+0.72,""))</f>
        <v/>
      </c>
      <c r="D849" s="99" t="str">
        <f>IF(C849&lt;&gt;"", IF('THE BOARD'!U608 = "NESTED","",'THE BOARD'!D602 + IF(C849&lt;&gt;"", 0.72,0)),"")</f>
        <v/>
      </c>
      <c r="E849" s="68">
        <f>'THE BOARD'!E602</f>
        <v>0</v>
      </c>
      <c r="F849" s="68">
        <f>'THE BOARD'!F602</f>
        <v>0</v>
      </c>
      <c r="G849" s="68">
        <f>'THE BOARD'!G602</f>
        <v>0</v>
      </c>
      <c r="H849" s="68">
        <f>'THE BOARD'!H602</f>
        <v>0</v>
      </c>
      <c r="I849" s="68">
        <f>'THE BOARD'!I602</f>
        <v>0</v>
      </c>
      <c r="J849" s="68">
        <f>'THE BOARD'!Q609</f>
        <v>0</v>
      </c>
      <c r="K849" s="99">
        <f>'THE BOARD'!U608</f>
        <v>0</v>
      </c>
    </row>
    <row r="850" spans="1:11" ht="12.75" x14ac:dyDescent="0.2">
      <c r="A850" s="68">
        <f>'THE BOARD'!A603</f>
        <v>0</v>
      </c>
      <c r="B850" s="68">
        <f>'THE BOARD'!B603</f>
        <v>0</v>
      </c>
      <c r="C850" s="99" t="str">
        <f>IF('THE BOARD'!U609 = "NESTED","",IF('THE BOARD'!D603&lt;&gt;"",'THE BOARD'!D603+0.72,""))</f>
        <v/>
      </c>
      <c r="D850" s="99" t="str">
        <f>IF(C850&lt;&gt;"", IF('THE BOARD'!U609 = "NESTED","",'THE BOARD'!D603 + IF(C850&lt;&gt;"", 0.72,0)),"")</f>
        <v/>
      </c>
      <c r="E850" s="68">
        <f>'THE BOARD'!E603</f>
        <v>0</v>
      </c>
      <c r="F850" s="68">
        <f>'THE BOARD'!F603</f>
        <v>0</v>
      </c>
      <c r="G850" s="68">
        <f>'THE BOARD'!G603</f>
        <v>0</v>
      </c>
      <c r="H850" s="68">
        <f>'THE BOARD'!H603</f>
        <v>0</v>
      </c>
      <c r="I850" s="68">
        <f>'THE BOARD'!I603</f>
        <v>0</v>
      </c>
      <c r="J850" s="68">
        <f>'THE BOARD'!Q610</f>
        <v>0</v>
      </c>
      <c r="K850" s="99">
        <f>'THE BOARD'!U609</f>
        <v>0</v>
      </c>
    </row>
    <row r="851" spans="1:11" ht="12.75" x14ac:dyDescent="0.2">
      <c r="A851" s="68">
        <f>'THE BOARD'!A604</f>
        <v>0</v>
      </c>
      <c r="B851" s="68">
        <f>'THE BOARD'!B604</f>
        <v>0</v>
      </c>
      <c r="C851" s="99" t="str">
        <f>IF('THE BOARD'!U610 = "NESTED","",IF('THE BOARD'!D604&lt;&gt;"",'THE BOARD'!D604+0.72,""))</f>
        <v/>
      </c>
      <c r="D851" s="99" t="str">
        <f>IF(C851&lt;&gt;"", IF('THE BOARD'!U610 = "NESTED","",'THE BOARD'!D604 + IF(C851&lt;&gt;"", 0.72,0)),"")</f>
        <v/>
      </c>
      <c r="E851" s="68">
        <f>'THE BOARD'!E604</f>
        <v>0</v>
      </c>
      <c r="F851" s="68">
        <f>'THE BOARD'!F604</f>
        <v>0</v>
      </c>
      <c r="G851" s="68">
        <f>'THE BOARD'!G604</f>
        <v>0</v>
      </c>
      <c r="H851" s="68">
        <f>'THE BOARD'!H604</f>
        <v>0</v>
      </c>
      <c r="I851" s="68">
        <f>'THE BOARD'!I604</f>
        <v>0</v>
      </c>
      <c r="J851" s="68">
        <f>'THE BOARD'!Q611</f>
        <v>0</v>
      </c>
      <c r="K851" s="99">
        <f>'THE BOARD'!U610</f>
        <v>0</v>
      </c>
    </row>
    <row r="852" spans="1:11" ht="12.75" x14ac:dyDescent="0.2">
      <c r="A852" s="68">
        <f>'THE BOARD'!A605</f>
        <v>0</v>
      </c>
      <c r="B852" s="68">
        <f>'THE BOARD'!B605</f>
        <v>0</v>
      </c>
      <c r="C852" s="99" t="str">
        <f>IF('THE BOARD'!U611 = "NESTED","",IF('THE BOARD'!D605&lt;&gt;"",'THE BOARD'!D605+0.72,""))</f>
        <v/>
      </c>
      <c r="D852" s="99" t="str">
        <f>IF(C852&lt;&gt;"", IF('THE BOARD'!U611 = "NESTED","",'THE BOARD'!D605 + IF(C852&lt;&gt;"", 0.72,0)),"")</f>
        <v/>
      </c>
      <c r="E852" s="68">
        <f>'THE BOARD'!E605</f>
        <v>0</v>
      </c>
      <c r="F852" s="68">
        <f>'THE BOARD'!F605</f>
        <v>0</v>
      </c>
      <c r="G852" s="68">
        <f>'THE BOARD'!G605</f>
        <v>0</v>
      </c>
      <c r="H852" s="68">
        <f>'THE BOARD'!H605</f>
        <v>0</v>
      </c>
      <c r="I852" s="68">
        <f>'THE BOARD'!I605</f>
        <v>0</v>
      </c>
      <c r="J852" s="68">
        <f>'THE BOARD'!Q612</f>
        <v>0</v>
      </c>
      <c r="K852" s="99">
        <f>'THE BOARD'!U611</f>
        <v>0</v>
      </c>
    </row>
    <row r="853" spans="1:11" ht="12.75" x14ac:dyDescent="0.2">
      <c r="A853" s="68">
        <f>'THE BOARD'!A606</f>
        <v>0</v>
      </c>
      <c r="B853" s="68">
        <f>'THE BOARD'!B606</f>
        <v>0</v>
      </c>
      <c r="C853" s="99" t="str">
        <f>IF('THE BOARD'!U612 = "NESTED","",IF('THE BOARD'!D606&lt;&gt;"",'THE BOARD'!D606+0.72,""))</f>
        <v/>
      </c>
      <c r="D853" s="99" t="str">
        <f>IF(C853&lt;&gt;"", IF('THE BOARD'!U612 = "NESTED","",'THE BOARD'!D606 + IF(C853&lt;&gt;"", 0.72,0)),"")</f>
        <v/>
      </c>
      <c r="E853" s="68">
        <f>'THE BOARD'!E606</f>
        <v>0</v>
      </c>
      <c r="F853" s="68">
        <f>'THE BOARD'!F606</f>
        <v>0</v>
      </c>
      <c r="G853" s="68">
        <f>'THE BOARD'!G606</f>
        <v>0</v>
      </c>
      <c r="H853" s="68">
        <f>'THE BOARD'!H606</f>
        <v>0</v>
      </c>
      <c r="I853" s="68">
        <f>'THE BOARD'!I606</f>
        <v>0</v>
      </c>
      <c r="J853" s="68">
        <f>'THE BOARD'!Q613</f>
        <v>0</v>
      </c>
      <c r="K853" s="99">
        <f>'THE BOARD'!U612</f>
        <v>0</v>
      </c>
    </row>
    <row r="854" spans="1:11" ht="12.75" x14ac:dyDescent="0.2">
      <c r="A854" s="68">
        <f>'THE BOARD'!A607</f>
        <v>0</v>
      </c>
      <c r="B854" s="68">
        <f>'THE BOARD'!B607</f>
        <v>0</v>
      </c>
      <c r="C854" s="99" t="str">
        <f>IF('THE BOARD'!U613 = "NESTED","",IF('THE BOARD'!D607&lt;&gt;"",'THE BOARD'!D607+0.72,""))</f>
        <v/>
      </c>
      <c r="D854" s="99" t="str">
        <f>IF(C854&lt;&gt;"", IF('THE BOARD'!U613 = "NESTED","",'THE BOARD'!D607 + IF(C854&lt;&gt;"", 0.72,0)),"")</f>
        <v/>
      </c>
      <c r="E854" s="68">
        <f>'THE BOARD'!E607</f>
        <v>0</v>
      </c>
      <c r="F854" s="68">
        <f>'THE BOARD'!F607</f>
        <v>0</v>
      </c>
      <c r="G854" s="68">
        <f>'THE BOARD'!G607</f>
        <v>0</v>
      </c>
      <c r="H854" s="68">
        <f>'THE BOARD'!H607</f>
        <v>0</v>
      </c>
      <c r="I854" s="68">
        <f>'THE BOARD'!I607</f>
        <v>0</v>
      </c>
      <c r="J854" s="68">
        <f>'THE BOARD'!Q614</f>
        <v>0</v>
      </c>
      <c r="K854" s="99">
        <f>'THE BOARD'!U613</f>
        <v>0</v>
      </c>
    </row>
    <row r="855" spans="1:11" ht="12.75" x14ac:dyDescent="0.2">
      <c r="A855" s="68">
        <f>'THE BOARD'!A608</f>
        <v>0</v>
      </c>
      <c r="B855" s="68">
        <f>'THE BOARD'!B608</f>
        <v>0</v>
      </c>
      <c r="C855" s="99" t="str">
        <f>IF('THE BOARD'!U614 = "NESTED","",IF('THE BOARD'!D608&lt;&gt;"",'THE BOARD'!D608+0.72,""))</f>
        <v/>
      </c>
      <c r="D855" s="99" t="str">
        <f>IF(C855&lt;&gt;"", IF('THE BOARD'!U614 = "NESTED","",'THE BOARD'!D608 + IF(C855&lt;&gt;"", 0.72,0)),"")</f>
        <v/>
      </c>
      <c r="E855" s="68">
        <f>'THE BOARD'!E608</f>
        <v>0</v>
      </c>
      <c r="F855" s="68">
        <f>'THE BOARD'!F608</f>
        <v>0</v>
      </c>
      <c r="G855" s="68">
        <f>'THE BOARD'!G608</f>
        <v>0</v>
      </c>
      <c r="H855" s="68">
        <f>'THE BOARD'!H608</f>
        <v>0</v>
      </c>
      <c r="I855" s="68">
        <f>'THE BOARD'!I608</f>
        <v>0</v>
      </c>
      <c r="J855" s="68">
        <f>'THE BOARD'!Q615</f>
        <v>0</v>
      </c>
      <c r="K855" s="99">
        <f>'THE BOARD'!U614</f>
        <v>0</v>
      </c>
    </row>
    <row r="856" spans="1:11" ht="12.75" x14ac:dyDescent="0.2">
      <c r="A856" s="68">
        <f>'THE BOARD'!A609</f>
        <v>0</v>
      </c>
      <c r="B856" s="68">
        <f>'THE BOARD'!B609</f>
        <v>0</v>
      </c>
      <c r="C856" s="99" t="str">
        <f>IF('THE BOARD'!U615 = "NESTED","",IF('THE BOARD'!D609&lt;&gt;"",'THE BOARD'!D609+0.72,""))</f>
        <v/>
      </c>
      <c r="D856" s="99" t="str">
        <f>IF(C856&lt;&gt;"", IF('THE BOARD'!U615 = "NESTED","",'THE BOARD'!D609 + IF(C856&lt;&gt;"", 0.72,0)),"")</f>
        <v/>
      </c>
      <c r="E856" s="68">
        <f>'THE BOARD'!E609</f>
        <v>0</v>
      </c>
      <c r="F856" s="68">
        <f>'THE BOARD'!F609</f>
        <v>0</v>
      </c>
      <c r="G856" s="68">
        <f>'THE BOARD'!G609</f>
        <v>0</v>
      </c>
      <c r="H856" s="68">
        <f>'THE BOARD'!H609</f>
        <v>0</v>
      </c>
      <c r="I856" s="68">
        <f>'THE BOARD'!I609</f>
        <v>0</v>
      </c>
      <c r="J856" s="68">
        <f>'THE BOARD'!Q616</f>
        <v>0</v>
      </c>
      <c r="K856" s="99">
        <f>'THE BOARD'!U615</f>
        <v>0</v>
      </c>
    </row>
    <row r="857" spans="1:11" ht="12.75" x14ac:dyDescent="0.2">
      <c r="A857" s="68">
        <f>'THE BOARD'!A610</f>
        <v>0</v>
      </c>
      <c r="B857" s="68">
        <f>'THE BOARD'!B610</f>
        <v>0</v>
      </c>
      <c r="C857" s="99" t="str">
        <f>IF('THE BOARD'!U616 = "NESTED","",IF('THE BOARD'!D610&lt;&gt;"",'THE BOARD'!D610+0.72,""))</f>
        <v/>
      </c>
      <c r="D857" s="99" t="str">
        <f>IF(C857&lt;&gt;"", IF('THE BOARD'!U616 = "NESTED","",'THE BOARD'!D610 + IF(C857&lt;&gt;"", 0.72,0)),"")</f>
        <v/>
      </c>
      <c r="E857" s="68">
        <f>'THE BOARD'!E610</f>
        <v>0</v>
      </c>
      <c r="F857" s="68">
        <f>'THE BOARD'!F610</f>
        <v>0</v>
      </c>
      <c r="G857" s="68">
        <f>'THE BOARD'!G610</f>
        <v>0</v>
      </c>
      <c r="H857" s="68">
        <f>'THE BOARD'!H610</f>
        <v>0</v>
      </c>
      <c r="I857" s="68">
        <f>'THE BOARD'!I610</f>
        <v>0</v>
      </c>
      <c r="J857" s="68">
        <f>'THE BOARD'!Q617</f>
        <v>0</v>
      </c>
      <c r="K857" s="99">
        <f>'THE BOARD'!U616</f>
        <v>0</v>
      </c>
    </row>
    <row r="858" spans="1:11" ht="12.75" x14ac:dyDescent="0.2">
      <c r="A858" s="68">
        <f>'THE BOARD'!A611</f>
        <v>0</v>
      </c>
      <c r="B858" s="68">
        <f>'THE BOARD'!B611</f>
        <v>0</v>
      </c>
      <c r="C858" s="99" t="str">
        <f>IF('THE BOARD'!U617 = "NESTED","",IF('THE BOARD'!D611&lt;&gt;"",'THE BOARD'!D611+0.72,""))</f>
        <v/>
      </c>
      <c r="D858" s="99" t="str">
        <f>IF(C858&lt;&gt;"", IF('THE BOARD'!U617 = "NESTED","",'THE BOARD'!D611 + IF(C858&lt;&gt;"", 0.72,0)),"")</f>
        <v/>
      </c>
      <c r="E858" s="68">
        <f>'THE BOARD'!E611</f>
        <v>0</v>
      </c>
      <c r="F858" s="68">
        <f>'THE BOARD'!F611</f>
        <v>0</v>
      </c>
      <c r="G858" s="68">
        <f>'THE BOARD'!G611</f>
        <v>0</v>
      </c>
      <c r="H858" s="68">
        <f>'THE BOARD'!H611</f>
        <v>0</v>
      </c>
      <c r="I858" s="68">
        <f>'THE BOARD'!I611</f>
        <v>0</v>
      </c>
      <c r="J858" s="68">
        <f>'THE BOARD'!Q618</f>
        <v>0</v>
      </c>
      <c r="K858" s="99">
        <f>'THE BOARD'!U617</f>
        <v>0</v>
      </c>
    </row>
    <row r="859" spans="1:11" ht="12.75" x14ac:dyDescent="0.2">
      <c r="A859" s="68">
        <f>'THE BOARD'!A612</f>
        <v>0</v>
      </c>
      <c r="B859" s="68">
        <f>'THE BOARD'!B612</f>
        <v>0</v>
      </c>
      <c r="C859" s="99" t="str">
        <f>IF('THE BOARD'!U618 = "NESTED","",IF('THE BOARD'!D612&lt;&gt;"",'THE BOARD'!D612+0.72,""))</f>
        <v/>
      </c>
      <c r="D859" s="99" t="str">
        <f>IF(C859&lt;&gt;"", IF('THE BOARD'!U618 = "NESTED","",'THE BOARD'!D612 + IF(C859&lt;&gt;"", 0.72,0)),"")</f>
        <v/>
      </c>
      <c r="E859" s="68">
        <f>'THE BOARD'!E612</f>
        <v>0</v>
      </c>
      <c r="F859" s="68">
        <f>'THE BOARD'!F612</f>
        <v>0</v>
      </c>
      <c r="G859" s="68">
        <f>'THE BOARD'!G612</f>
        <v>0</v>
      </c>
      <c r="H859" s="68">
        <f>'THE BOARD'!H612</f>
        <v>0</v>
      </c>
      <c r="I859" s="68">
        <f>'THE BOARD'!I612</f>
        <v>0</v>
      </c>
      <c r="J859" s="68">
        <f>'THE BOARD'!Q619</f>
        <v>0</v>
      </c>
      <c r="K859" s="99">
        <f>'THE BOARD'!U618</f>
        <v>0</v>
      </c>
    </row>
    <row r="860" spans="1:11" ht="12.75" x14ac:dyDescent="0.2">
      <c r="A860" s="68">
        <f>'THE BOARD'!A613</f>
        <v>0</v>
      </c>
      <c r="B860" s="68">
        <f>'THE BOARD'!B613</f>
        <v>0</v>
      </c>
      <c r="C860" s="99" t="str">
        <f>IF('THE BOARD'!U619 = "NESTED","",IF('THE BOARD'!D613&lt;&gt;"",'THE BOARD'!D613+0.72,""))</f>
        <v/>
      </c>
      <c r="D860" s="99" t="str">
        <f>IF(C860&lt;&gt;"", IF('THE BOARD'!U619 = "NESTED","",'THE BOARD'!D613 + IF(C860&lt;&gt;"", 0.72,0)),"")</f>
        <v/>
      </c>
      <c r="E860" s="68">
        <f>'THE BOARD'!E613</f>
        <v>0</v>
      </c>
      <c r="F860" s="68">
        <f>'THE BOARD'!F613</f>
        <v>0</v>
      </c>
      <c r="G860" s="68">
        <f>'THE BOARD'!G613</f>
        <v>0</v>
      </c>
      <c r="H860" s="68">
        <f>'THE BOARD'!H613</f>
        <v>0</v>
      </c>
      <c r="I860" s="68">
        <f>'THE BOARD'!I613</f>
        <v>0</v>
      </c>
      <c r="J860" s="68">
        <f>'THE BOARD'!Q620</f>
        <v>0</v>
      </c>
      <c r="K860" s="99">
        <f>'THE BOARD'!U619</f>
        <v>0</v>
      </c>
    </row>
    <row r="861" spans="1:11" ht="12.75" x14ac:dyDescent="0.2">
      <c r="A861" s="68">
        <f>'THE BOARD'!A614</f>
        <v>0</v>
      </c>
      <c r="B861" s="68">
        <f>'THE BOARD'!B614</f>
        <v>0</v>
      </c>
      <c r="C861" s="99" t="str">
        <f>IF('THE BOARD'!U620 = "NESTED","",IF('THE BOARD'!D614&lt;&gt;"",'THE BOARD'!D614+0.72,""))</f>
        <v/>
      </c>
      <c r="D861" s="99" t="str">
        <f>IF(C861&lt;&gt;"", IF('THE BOARD'!U620 = "NESTED","",'THE BOARD'!D614 + IF(C861&lt;&gt;"", 0.72,0)),"")</f>
        <v/>
      </c>
      <c r="E861" s="68">
        <f>'THE BOARD'!E614</f>
        <v>0</v>
      </c>
      <c r="F861" s="68">
        <f>'THE BOARD'!F614</f>
        <v>0</v>
      </c>
      <c r="G861" s="68">
        <f>'THE BOARD'!G614</f>
        <v>0</v>
      </c>
      <c r="H861" s="68">
        <f>'THE BOARD'!H614</f>
        <v>0</v>
      </c>
      <c r="I861" s="68">
        <f>'THE BOARD'!I614</f>
        <v>0</v>
      </c>
      <c r="J861" s="68">
        <f>'THE BOARD'!Q621</f>
        <v>0</v>
      </c>
      <c r="K861" s="99">
        <f>'THE BOARD'!U620</f>
        <v>0</v>
      </c>
    </row>
    <row r="862" spans="1:11" ht="12.75" x14ac:dyDescent="0.2">
      <c r="A862" s="68">
        <f>'THE BOARD'!A615</f>
        <v>0</v>
      </c>
      <c r="B862" s="68">
        <f>'THE BOARD'!B615</f>
        <v>0</v>
      </c>
      <c r="C862" s="99" t="str">
        <f>IF('THE BOARD'!U621 = "NESTED","",IF('THE BOARD'!D615&lt;&gt;"",'THE BOARD'!D615+0.72,""))</f>
        <v/>
      </c>
      <c r="D862" s="99" t="str">
        <f>IF(C862&lt;&gt;"", IF('THE BOARD'!U621 = "NESTED","",'THE BOARD'!D615 + IF(C862&lt;&gt;"", 0.72,0)),"")</f>
        <v/>
      </c>
      <c r="E862" s="68">
        <f>'THE BOARD'!E615</f>
        <v>0</v>
      </c>
      <c r="F862" s="68">
        <f>'THE BOARD'!F615</f>
        <v>0</v>
      </c>
      <c r="G862" s="68">
        <f>'THE BOARD'!G615</f>
        <v>0</v>
      </c>
      <c r="H862" s="68">
        <f>'THE BOARD'!H615</f>
        <v>0</v>
      </c>
      <c r="I862" s="68">
        <f>'THE BOARD'!I615</f>
        <v>0</v>
      </c>
      <c r="J862" s="68">
        <f>'THE BOARD'!Q622</f>
        <v>0</v>
      </c>
      <c r="K862" s="99">
        <f>'THE BOARD'!U621</f>
        <v>0</v>
      </c>
    </row>
    <row r="863" spans="1:11" ht="12.75" x14ac:dyDescent="0.2">
      <c r="A863" s="68">
        <f>'THE BOARD'!A616</f>
        <v>0</v>
      </c>
      <c r="B863" s="68">
        <f>'THE BOARD'!B616</f>
        <v>0</v>
      </c>
      <c r="C863" s="99" t="str">
        <f>IF('THE BOARD'!U622 = "NESTED","",IF('THE BOARD'!D616&lt;&gt;"",'THE BOARD'!D616+0.72,""))</f>
        <v/>
      </c>
      <c r="D863" s="99" t="str">
        <f>IF(C863&lt;&gt;"", IF('THE BOARD'!U622 = "NESTED","",'THE BOARD'!D616 + IF(C863&lt;&gt;"", 0.72,0)),"")</f>
        <v/>
      </c>
      <c r="E863" s="68">
        <f>'THE BOARD'!E616</f>
        <v>0</v>
      </c>
      <c r="F863" s="68">
        <f>'THE BOARD'!F616</f>
        <v>0</v>
      </c>
      <c r="G863" s="68">
        <f>'THE BOARD'!G616</f>
        <v>0</v>
      </c>
      <c r="H863" s="68">
        <f>'THE BOARD'!H616</f>
        <v>0</v>
      </c>
      <c r="I863" s="68">
        <f>'THE BOARD'!I616</f>
        <v>0</v>
      </c>
      <c r="J863" s="68">
        <f>'THE BOARD'!Q623</f>
        <v>0</v>
      </c>
      <c r="K863" s="99">
        <f>'THE BOARD'!U622</f>
        <v>0</v>
      </c>
    </row>
    <row r="864" spans="1:11" ht="12.75" x14ac:dyDescent="0.2">
      <c r="A864" s="68">
        <f>'THE BOARD'!A617</f>
        <v>0</v>
      </c>
      <c r="B864" s="68">
        <f>'THE BOARD'!B617</f>
        <v>0</v>
      </c>
      <c r="C864" s="99" t="str">
        <f>IF('THE BOARD'!U623 = "NESTED","",IF('THE BOARD'!D617&lt;&gt;"",'THE BOARD'!D617+0.72,""))</f>
        <v/>
      </c>
      <c r="D864" s="99" t="str">
        <f>IF(C864&lt;&gt;"", IF('THE BOARD'!U623 = "NESTED","",'THE BOARD'!D617 + IF(C864&lt;&gt;"", 0.72,0)),"")</f>
        <v/>
      </c>
      <c r="E864" s="68">
        <f>'THE BOARD'!E617</f>
        <v>0</v>
      </c>
      <c r="F864" s="68">
        <f>'THE BOARD'!F617</f>
        <v>0</v>
      </c>
      <c r="G864" s="68">
        <f>'THE BOARD'!G617</f>
        <v>0</v>
      </c>
      <c r="H864" s="68">
        <f>'THE BOARD'!H617</f>
        <v>0</v>
      </c>
      <c r="I864" s="68">
        <f>'THE BOARD'!I617</f>
        <v>0</v>
      </c>
      <c r="J864" s="68">
        <f>'THE BOARD'!Q624</f>
        <v>0</v>
      </c>
      <c r="K864" s="99">
        <f>'THE BOARD'!U623</f>
        <v>0</v>
      </c>
    </row>
    <row r="865" spans="1:11" ht="12.75" x14ac:dyDescent="0.2">
      <c r="A865" s="68">
        <f>'THE BOARD'!A618</f>
        <v>0</v>
      </c>
      <c r="B865" s="68">
        <f>'THE BOARD'!B618</f>
        <v>0</v>
      </c>
      <c r="C865" s="99" t="str">
        <f>IF('THE BOARD'!U624 = "NESTED","",IF('THE BOARD'!D618&lt;&gt;"",'THE BOARD'!D618+0.72,""))</f>
        <v/>
      </c>
      <c r="D865" s="99" t="str">
        <f>IF(C865&lt;&gt;"", IF('THE BOARD'!U624 = "NESTED","",'THE BOARD'!D618 + IF(C865&lt;&gt;"", 0.72,0)),"")</f>
        <v/>
      </c>
      <c r="E865" s="68">
        <f>'THE BOARD'!E618</f>
        <v>0</v>
      </c>
      <c r="F865" s="68">
        <f>'THE BOARD'!F618</f>
        <v>0</v>
      </c>
      <c r="G865" s="68">
        <f>'THE BOARD'!G618</f>
        <v>0</v>
      </c>
      <c r="H865" s="68">
        <f>'THE BOARD'!H618</f>
        <v>0</v>
      </c>
      <c r="I865" s="68">
        <f>'THE BOARD'!I618</f>
        <v>0</v>
      </c>
      <c r="J865" s="68">
        <f>'THE BOARD'!Q625</f>
        <v>0</v>
      </c>
      <c r="K865" s="99">
        <f>'THE BOARD'!U624</f>
        <v>0</v>
      </c>
    </row>
    <row r="866" spans="1:11" ht="12.75" x14ac:dyDescent="0.2">
      <c r="A866" s="68">
        <f>'THE BOARD'!A619</f>
        <v>0</v>
      </c>
      <c r="B866" s="68">
        <f>'THE BOARD'!B619</f>
        <v>0</v>
      </c>
      <c r="C866" s="99" t="str">
        <f>IF('THE BOARD'!U625 = "NESTED","",IF('THE BOARD'!D619&lt;&gt;"",'THE BOARD'!D619+0.72,""))</f>
        <v/>
      </c>
      <c r="D866" s="99" t="str">
        <f>IF(C866&lt;&gt;"", IF('THE BOARD'!U625 = "NESTED","",'THE BOARD'!D619 + IF(C866&lt;&gt;"", 0.72,0)),"")</f>
        <v/>
      </c>
      <c r="E866" s="68">
        <f>'THE BOARD'!E619</f>
        <v>0</v>
      </c>
      <c r="F866" s="68">
        <f>'THE BOARD'!F619</f>
        <v>0</v>
      </c>
      <c r="G866" s="68">
        <f>'THE BOARD'!G619</f>
        <v>0</v>
      </c>
      <c r="H866" s="68">
        <f>'THE BOARD'!H619</f>
        <v>0</v>
      </c>
      <c r="I866" s="68">
        <f>'THE BOARD'!I619</f>
        <v>0</v>
      </c>
      <c r="J866" s="68">
        <f>'THE BOARD'!Q626</f>
        <v>0</v>
      </c>
      <c r="K866" s="99">
        <f>'THE BOARD'!U625</f>
        <v>0</v>
      </c>
    </row>
    <row r="867" spans="1:11" ht="12.75" x14ac:dyDescent="0.2">
      <c r="A867" s="68">
        <f>'THE BOARD'!A620</f>
        <v>0</v>
      </c>
      <c r="B867" s="68">
        <f>'THE BOARD'!B620</f>
        <v>0</v>
      </c>
      <c r="C867" s="99" t="str">
        <f>IF('THE BOARD'!U626 = "NESTED","",IF('THE BOARD'!D620&lt;&gt;"",'THE BOARD'!D620+0.72,""))</f>
        <v/>
      </c>
      <c r="D867" s="99" t="str">
        <f>IF(C867&lt;&gt;"", IF('THE BOARD'!U626 = "NESTED","",'THE BOARD'!D620 + IF(C867&lt;&gt;"", 0.72,0)),"")</f>
        <v/>
      </c>
      <c r="E867" s="68">
        <f>'THE BOARD'!E620</f>
        <v>0</v>
      </c>
      <c r="F867" s="68">
        <f>'THE BOARD'!F620</f>
        <v>0</v>
      </c>
      <c r="G867" s="68">
        <f>'THE BOARD'!G620</f>
        <v>0</v>
      </c>
      <c r="H867" s="68">
        <f>'THE BOARD'!H620</f>
        <v>0</v>
      </c>
      <c r="I867" s="68">
        <f>'THE BOARD'!I620</f>
        <v>0</v>
      </c>
      <c r="J867" s="68">
        <f>'THE BOARD'!Q627</f>
        <v>0</v>
      </c>
      <c r="K867" s="99">
        <f>'THE BOARD'!U626</f>
        <v>0</v>
      </c>
    </row>
    <row r="868" spans="1:11" ht="12.75" x14ac:dyDescent="0.2">
      <c r="A868" s="68">
        <f>'THE BOARD'!A621</f>
        <v>0</v>
      </c>
      <c r="B868" s="68">
        <f>'THE BOARD'!B621</f>
        <v>0</v>
      </c>
      <c r="C868" s="99" t="str">
        <f>IF('THE BOARD'!U627 = "NESTED","",IF('THE BOARD'!D621&lt;&gt;"",'THE BOARD'!D621+0.72,""))</f>
        <v/>
      </c>
      <c r="D868" s="99" t="str">
        <f>IF(C868&lt;&gt;"", IF('THE BOARD'!U627 = "NESTED","",'THE BOARD'!D621 + IF(C868&lt;&gt;"", 0.72,0)),"")</f>
        <v/>
      </c>
      <c r="E868" s="68">
        <f>'THE BOARD'!E621</f>
        <v>0</v>
      </c>
      <c r="F868" s="68">
        <f>'THE BOARD'!F621</f>
        <v>0</v>
      </c>
      <c r="G868" s="68">
        <f>'THE BOARD'!G621</f>
        <v>0</v>
      </c>
      <c r="H868" s="68">
        <f>'THE BOARD'!H621</f>
        <v>0</v>
      </c>
      <c r="I868" s="68">
        <f>'THE BOARD'!I621</f>
        <v>0</v>
      </c>
      <c r="J868" s="68">
        <f>'THE BOARD'!Q628</f>
        <v>0</v>
      </c>
      <c r="K868" s="99">
        <f>'THE BOARD'!U627</f>
        <v>0</v>
      </c>
    </row>
    <row r="869" spans="1:11" ht="12.75" x14ac:dyDescent="0.2">
      <c r="A869" s="68">
        <f>'THE BOARD'!A622</f>
        <v>0</v>
      </c>
      <c r="B869" s="68">
        <f>'THE BOARD'!B622</f>
        <v>0</v>
      </c>
      <c r="C869" s="99" t="str">
        <f>IF('THE BOARD'!U628 = "NESTED","",IF('THE BOARD'!D622&lt;&gt;"",'THE BOARD'!D622+0.72,""))</f>
        <v/>
      </c>
      <c r="D869" s="99" t="str">
        <f>IF(C869&lt;&gt;"", IF('THE BOARD'!U628 = "NESTED","",'THE BOARD'!D622 + IF(C869&lt;&gt;"", 0.72,0)),"")</f>
        <v/>
      </c>
      <c r="E869" s="68">
        <f>'THE BOARD'!E622</f>
        <v>0</v>
      </c>
      <c r="F869" s="68">
        <f>'THE BOARD'!F622</f>
        <v>0</v>
      </c>
      <c r="G869" s="68">
        <f>'THE BOARD'!G622</f>
        <v>0</v>
      </c>
      <c r="H869" s="68">
        <f>'THE BOARD'!H622</f>
        <v>0</v>
      </c>
      <c r="I869" s="68">
        <f>'THE BOARD'!I622</f>
        <v>0</v>
      </c>
      <c r="J869" s="68">
        <f>'THE BOARD'!Q629</f>
        <v>0</v>
      </c>
      <c r="K869" s="99">
        <f>'THE BOARD'!U628</f>
        <v>0</v>
      </c>
    </row>
    <row r="870" spans="1:11" ht="12.75" x14ac:dyDescent="0.2">
      <c r="A870" s="68">
        <f>'THE BOARD'!A623</f>
        <v>0</v>
      </c>
      <c r="B870" s="68">
        <f>'THE BOARD'!B623</f>
        <v>0</v>
      </c>
      <c r="C870" s="99" t="str">
        <f>IF('THE BOARD'!U629 = "NESTED","",IF('THE BOARD'!D623&lt;&gt;"",'THE BOARD'!D623+0.72,""))</f>
        <v/>
      </c>
      <c r="D870" s="99" t="str">
        <f>IF(C870&lt;&gt;"", IF('THE BOARD'!U629 = "NESTED","",'THE BOARD'!D623 + IF(C870&lt;&gt;"", 0.72,0)),"")</f>
        <v/>
      </c>
      <c r="E870" s="68">
        <f>'THE BOARD'!E623</f>
        <v>0</v>
      </c>
      <c r="F870" s="68">
        <f>'THE BOARD'!F623</f>
        <v>0</v>
      </c>
      <c r="G870" s="68">
        <f>'THE BOARD'!G623</f>
        <v>0</v>
      </c>
      <c r="H870" s="68">
        <f>'THE BOARD'!H623</f>
        <v>0</v>
      </c>
      <c r="I870" s="68">
        <f>'THE BOARD'!I623</f>
        <v>0</v>
      </c>
      <c r="J870" s="68">
        <f>'THE BOARD'!Q630</f>
        <v>0</v>
      </c>
      <c r="K870" s="99">
        <f>'THE BOARD'!U629</f>
        <v>0</v>
      </c>
    </row>
    <row r="871" spans="1:11" ht="12.75" x14ac:dyDescent="0.2">
      <c r="A871" s="68">
        <f>'THE BOARD'!A624</f>
        <v>0</v>
      </c>
      <c r="B871" s="68">
        <f>'THE BOARD'!B624</f>
        <v>0</v>
      </c>
      <c r="C871" s="99" t="str">
        <f>IF('THE BOARD'!U630 = "NESTED","",IF('THE BOARD'!D624&lt;&gt;"",'THE BOARD'!D624+0.72,""))</f>
        <v/>
      </c>
      <c r="D871" s="99" t="str">
        <f>IF(C871&lt;&gt;"", IF('THE BOARD'!U630 = "NESTED","",'THE BOARD'!D624 + IF(C871&lt;&gt;"", 0.72,0)),"")</f>
        <v/>
      </c>
      <c r="E871" s="68">
        <f>'THE BOARD'!E624</f>
        <v>0</v>
      </c>
      <c r="F871" s="68">
        <f>'THE BOARD'!F624</f>
        <v>0</v>
      </c>
      <c r="G871" s="68">
        <f>'THE BOARD'!G624</f>
        <v>0</v>
      </c>
      <c r="H871" s="68">
        <f>'THE BOARD'!H624</f>
        <v>0</v>
      </c>
      <c r="I871" s="68">
        <f>'THE BOARD'!I624</f>
        <v>0</v>
      </c>
      <c r="J871" s="68">
        <f>'THE BOARD'!Q631</f>
        <v>0</v>
      </c>
      <c r="K871" s="99">
        <f>'THE BOARD'!U630</f>
        <v>0</v>
      </c>
    </row>
    <row r="872" spans="1:11" ht="12.75" x14ac:dyDescent="0.2">
      <c r="A872" s="68">
        <f>'THE BOARD'!A625</f>
        <v>0</v>
      </c>
      <c r="B872" s="68">
        <f>'THE BOARD'!B625</f>
        <v>0</v>
      </c>
      <c r="C872" s="99" t="str">
        <f>IF('THE BOARD'!U631 = "NESTED","",IF('THE BOARD'!D625&lt;&gt;"",'THE BOARD'!D625+0.72,""))</f>
        <v/>
      </c>
      <c r="D872" s="99" t="str">
        <f>IF(C872&lt;&gt;"", IF('THE BOARD'!U631 = "NESTED","",'THE BOARD'!D625 + IF(C872&lt;&gt;"", 0.72,0)),"")</f>
        <v/>
      </c>
      <c r="E872" s="68">
        <f>'THE BOARD'!E625</f>
        <v>0</v>
      </c>
      <c r="F872" s="68">
        <f>'THE BOARD'!F625</f>
        <v>0</v>
      </c>
      <c r="G872" s="68">
        <f>'THE BOARD'!G625</f>
        <v>0</v>
      </c>
      <c r="H872" s="68">
        <f>'THE BOARD'!H625</f>
        <v>0</v>
      </c>
      <c r="I872" s="68">
        <f>'THE BOARD'!I625</f>
        <v>0</v>
      </c>
      <c r="J872" s="68">
        <f>'THE BOARD'!Q632</f>
        <v>0</v>
      </c>
      <c r="K872" s="99">
        <f>'THE BOARD'!U631</f>
        <v>0</v>
      </c>
    </row>
    <row r="873" spans="1:11" ht="12.75" x14ac:dyDescent="0.2">
      <c r="A873" s="68">
        <f>'THE BOARD'!A626</f>
        <v>0</v>
      </c>
      <c r="B873" s="68">
        <f>'THE BOARD'!B626</f>
        <v>0</v>
      </c>
      <c r="C873" s="99" t="str">
        <f>IF('THE BOARD'!U632 = "NESTED","",IF('THE BOARD'!D626&lt;&gt;"",'THE BOARD'!D626+0.72,""))</f>
        <v/>
      </c>
      <c r="D873" s="99" t="str">
        <f>IF(C873&lt;&gt;"", IF('THE BOARD'!U632 = "NESTED","",'THE BOARD'!D626 + IF(C873&lt;&gt;"", 0.72,0)),"")</f>
        <v/>
      </c>
      <c r="E873" s="68">
        <f>'THE BOARD'!E626</f>
        <v>0</v>
      </c>
      <c r="F873" s="68">
        <f>'THE BOARD'!F626</f>
        <v>0</v>
      </c>
      <c r="G873" s="68">
        <f>'THE BOARD'!G626</f>
        <v>0</v>
      </c>
      <c r="H873" s="68">
        <f>'THE BOARD'!H626</f>
        <v>0</v>
      </c>
      <c r="I873" s="68">
        <f>'THE BOARD'!I626</f>
        <v>0</v>
      </c>
      <c r="J873" s="68">
        <f>'THE BOARD'!Q633</f>
        <v>0</v>
      </c>
      <c r="K873" s="99">
        <f>'THE BOARD'!U632</f>
        <v>0</v>
      </c>
    </row>
    <row r="874" spans="1:11" ht="12.75" x14ac:dyDescent="0.2">
      <c r="A874" s="68">
        <f>'THE BOARD'!A627</f>
        <v>0</v>
      </c>
      <c r="B874" s="68">
        <f>'THE BOARD'!B627</f>
        <v>0</v>
      </c>
      <c r="C874" s="99" t="str">
        <f>IF('THE BOARD'!U633 = "NESTED","",IF('THE BOARD'!D627&lt;&gt;"",'THE BOARD'!D627+0.72,""))</f>
        <v/>
      </c>
      <c r="D874" s="99" t="str">
        <f>IF(C874&lt;&gt;"", IF('THE BOARD'!U633 = "NESTED","",'THE BOARD'!D627 + IF(C874&lt;&gt;"", 0.72,0)),"")</f>
        <v/>
      </c>
      <c r="E874" s="68">
        <f>'THE BOARD'!E627</f>
        <v>0</v>
      </c>
      <c r="F874" s="68">
        <f>'THE BOARD'!F627</f>
        <v>0</v>
      </c>
      <c r="G874" s="68">
        <f>'THE BOARD'!G627</f>
        <v>0</v>
      </c>
      <c r="H874" s="68">
        <f>'THE BOARD'!H627</f>
        <v>0</v>
      </c>
      <c r="I874" s="68">
        <f>'THE BOARD'!I627</f>
        <v>0</v>
      </c>
      <c r="J874" s="68">
        <f>'THE BOARD'!Q634</f>
        <v>0</v>
      </c>
      <c r="K874" s="99">
        <f>'THE BOARD'!U633</f>
        <v>0</v>
      </c>
    </row>
    <row r="875" spans="1:11" ht="12.75" x14ac:dyDescent="0.2">
      <c r="A875" s="68">
        <f>'THE BOARD'!A628</f>
        <v>0</v>
      </c>
      <c r="B875" s="68">
        <f>'THE BOARD'!B628</f>
        <v>0</v>
      </c>
      <c r="C875" s="99" t="str">
        <f>IF('THE BOARD'!U634 = "NESTED","",IF('THE BOARD'!D628&lt;&gt;"",'THE BOARD'!D628+0.72,""))</f>
        <v/>
      </c>
      <c r="D875" s="99" t="str">
        <f>IF(C875&lt;&gt;"", IF('THE BOARD'!U634 = "NESTED","",'THE BOARD'!D628 + IF(C875&lt;&gt;"", 0.72,0)),"")</f>
        <v/>
      </c>
      <c r="E875" s="68">
        <f>'THE BOARD'!E628</f>
        <v>0</v>
      </c>
      <c r="F875" s="68">
        <f>'THE BOARD'!F628</f>
        <v>0</v>
      </c>
      <c r="G875" s="68">
        <f>'THE BOARD'!G628</f>
        <v>0</v>
      </c>
      <c r="H875" s="68">
        <f>'THE BOARD'!H628</f>
        <v>0</v>
      </c>
      <c r="I875" s="68">
        <f>'THE BOARD'!I628</f>
        <v>0</v>
      </c>
      <c r="J875" s="68">
        <f>'THE BOARD'!Q635</f>
        <v>0</v>
      </c>
      <c r="K875" s="99">
        <f>'THE BOARD'!U634</f>
        <v>0</v>
      </c>
    </row>
    <row r="876" spans="1:11" ht="12.75" x14ac:dyDescent="0.2">
      <c r="A876" s="68">
        <f>'THE BOARD'!A629</f>
        <v>0</v>
      </c>
      <c r="B876" s="68">
        <f>'THE BOARD'!B629</f>
        <v>0</v>
      </c>
      <c r="C876" s="99" t="str">
        <f>IF('THE BOARD'!U635 = "NESTED","",IF('THE BOARD'!D629&lt;&gt;"",'THE BOARD'!D629+0.72,""))</f>
        <v/>
      </c>
      <c r="D876" s="99" t="str">
        <f>IF(C876&lt;&gt;"", IF('THE BOARD'!U635 = "NESTED","",'THE BOARD'!D629 + IF(C876&lt;&gt;"", 0.72,0)),"")</f>
        <v/>
      </c>
      <c r="E876" s="68">
        <f>'THE BOARD'!E629</f>
        <v>0</v>
      </c>
      <c r="F876" s="68">
        <f>'THE BOARD'!F629</f>
        <v>0</v>
      </c>
      <c r="G876" s="68">
        <f>'THE BOARD'!G629</f>
        <v>0</v>
      </c>
      <c r="H876" s="68">
        <f>'THE BOARD'!H629</f>
        <v>0</v>
      </c>
      <c r="I876" s="68">
        <f>'THE BOARD'!I629</f>
        <v>0</v>
      </c>
      <c r="J876" s="68">
        <f>'THE BOARD'!Q636</f>
        <v>0</v>
      </c>
      <c r="K876" s="99">
        <f>'THE BOARD'!U635</f>
        <v>0</v>
      </c>
    </row>
    <row r="877" spans="1:11" ht="12.75" x14ac:dyDescent="0.2">
      <c r="A877" s="68">
        <f>'THE BOARD'!A630</f>
        <v>0</v>
      </c>
      <c r="B877" s="68">
        <f>'THE BOARD'!B630</f>
        <v>0</v>
      </c>
      <c r="C877" s="99" t="str">
        <f>IF('THE BOARD'!U636 = "NESTED","",IF('THE BOARD'!D630&lt;&gt;"",'THE BOARD'!D630+0.72,""))</f>
        <v/>
      </c>
      <c r="D877" s="99" t="str">
        <f>IF(C877&lt;&gt;"", IF('THE BOARD'!U636 = "NESTED","",'THE BOARD'!D630 + IF(C877&lt;&gt;"", 0.72,0)),"")</f>
        <v/>
      </c>
      <c r="E877" s="68">
        <f>'THE BOARD'!E630</f>
        <v>0</v>
      </c>
      <c r="F877" s="68">
        <f>'THE BOARD'!F630</f>
        <v>0</v>
      </c>
      <c r="G877" s="68">
        <f>'THE BOARD'!G630</f>
        <v>0</v>
      </c>
      <c r="H877" s="68">
        <f>'THE BOARD'!H630</f>
        <v>0</v>
      </c>
      <c r="I877" s="68">
        <f>'THE BOARD'!I630</f>
        <v>0</v>
      </c>
      <c r="J877" s="68">
        <f>'THE BOARD'!Q637</f>
        <v>0</v>
      </c>
      <c r="K877" s="99">
        <f>'THE BOARD'!U636</f>
        <v>0</v>
      </c>
    </row>
    <row r="878" spans="1:11" ht="12.75" x14ac:dyDescent="0.2">
      <c r="A878" s="68">
        <f>'THE BOARD'!A631</f>
        <v>0</v>
      </c>
      <c r="B878" s="68">
        <f>'THE BOARD'!B631</f>
        <v>0</v>
      </c>
      <c r="C878" s="99" t="str">
        <f>IF('THE BOARD'!U637 = "NESTED","",IF('THE BOARD'!D631&lt;&gt;"",'THE BOARD'!D631+0.72,""))</f>
        <v/>
      </c>
      <c r="D878" s="99" t="str">
        <f>IF(C878&lt;&gt;"", IF('THE BOARD'!U637 = "NESTED","",'THE BOARD'!D631 + IF(C878&lt;&gt;"", 0.72,0)),"")</f>
        <v/>
      </c>
      <c r="E878" s="68">
        <f>'THE BOARD'!E631</f>
        <v>0</v>
      </c>
      <c r="F878" s="68">
        <f>'THE BOARD'!F631</f>
        <v>0</v>
      </c>
      <c r="G878" s="68">
        <f>'THE BOARD'!G631</f>
        <v>0</v>
      </c>
      <c r="H878" s="68">
        <f>'THE BOARD'!H631</f>
        <v>0</v>
      </c>
      <c r="I878" s="68">
        <f>'THE BOARD'!I631</f>
        <v>0</v>
      </c>
      <c r="J878" s="68">
        <f>'THE BOARD'!Q638</f>
        <v>0</v>
      </c>
      <c r="K878" s="99">
        <f>'THE BOARD'!U637</f>
        <v>0</v>
      </c>
    </row>
    <row r="879" spans="1:11" ht="12.75" x14ac:dyDescent="0.2">
      <c r="A879" s="68">
        <f>'THE BOARD'!A632</f>
        <v>0</v>
      </c>
      <c r="B879" s="68">
        <f>'THE BOARD'!B632</f>
        <v>0</v>
      </c>
      <c r="C879" s="99" t="str">
        <f>IF('THE BOARD'!U638 = "NESTED","",IF('THE BOARD'!D632&lt;&gt;"",'THE BOARD'!D632+0.72,""))</f>
        <v/>
      </c>
      <c r="D879" s="99" t="str">
        <f>IF(C879&lt;&gt;"", IF('THE BOARD'!U638 = "NESTED","",'THE BOARD'!D632 + IF(C879&lt;&gt;"", 0.72,0)),"")</f>
        <v/>
      </c>
      <c r="E879" s="68">
        <f>'THE BOARD'!E632</f>
        <v>0</v>
      </c>
      <c r="F879" s="68">
        <f>'THE BOARD'!F632</f>
        <v>0</v>
      </c>
      <c r="G879" s="68">
        <f>'THE BOARD'!G632</f>
        <v>0</v>
      </c>
      <c r="H879" s="68">
        <f>'THE BOARD'!H632</f>
        <v>0</v>
      </c>
      <c r="I879" s="68">
        <f>'THE BOARD'!I632</f>
        <v>0</v>
      </c>
      <c r="J879" s="68">
        <f>'THE BOARD'!Q639</f>
        <v>0</v>
      </c>
      <c r="K879" s="99">
        <f>'THE BOARD'!U638</f>
        <v>0</v>
      </c>
    </row>
    <row r="880" spans="1:11" ht="12.75" x14ac:dyDescent="0.2">
      <c r="A880" s="68">
        <f>'THE BOARD'!A633</f>
        <v>0</v>
      </c>
      <c r="B880" s="68">
        <f>'THE BOARD'!B633</f>
        <v>0</v>
      </c>
      <c r="C880" s="99" t="str">
        <f>IF('THE BOARD'!U639 = "NESTED","",IF('THE BOARD'!D633&lt;&gt;"",'THE BOARD'!D633+0.72,""))</f>
        <v/>
      </c>
      <c r="D880" s="99" t="str">
        <f>IF(C880&lt;&gt;"", IF('THE BOARD'!U639 = "NESTED","",'THE BOARD'!D633 + IF(C880&lt;&gt;"", 0.72,0)),"")</f>
        <v/>
      </c>
      <c r="E880" s="68">
        <f>'THE BOARD'!E633</f>
        <v>0</v>
      </c>
      <c r="F880" s="68">
        <f>'THE BOARD'!F633</f>
        <v>0</v>
      </c>
      <c r="G880" s="68">
        <f>'THE BOARD'!G633</f>
        <v>0</v>
      </c>
      <c r="H880" s="68">
        <f>'THE BOARD'!H633</f>
        <v>0</v>
      </c>
      <c r="I880" s="68">
        <f>'THE BOARD'!I633</f>
        <v>0</v>
      </c>
      <c r="J880" s="68">
        <f>'THE BOARD'!Q640</f>
        <v>0</v>
      </c>
      <c r="K880" s="99">
        <f>'THE BOARD'!U639</f>
        <v>0</v>
      </c>
    </row>
    <row r="881" spans="1:11" ht="12.75" x14ac:dyDescent="0.2">
      <c r="A881" s="68">
        <f>'THE BOARD'!A634</f>
        <v>0</v>
      </c>
      <c r="B881" s="68">
        <f>'THE BOARD'!B634</f>
        <v>0</v>
      </c>
      <c r="C881" s="99" t="str">
        <f>IF('THE BOARD'!U640 = "NESTED","",IF('THE BOARD'!D634&lt;&gt;"",'THE BOARD'!D634+0.72,""))</f>
        <v/>
      </c>
      <c r="D881" s="99" t="str">
        <f>IF(C881&lt;&gt;"", IF('THE BOARD'!U640 = "NESTED","",'THE BOARD'!D634 + IF(C881&lt;&gt;"", 0.72,0)),"")</f>
        <v/>
      </c>
      <c r="E881" s="68">
        <f>'THE BOARD'!E634</f>
        <v>0</v>
      </c>
      <c r="F881" s="68">
        <f>'THE BOARD'!F634</f>
        <v>0</v>
      </c>
      <c r="G881" s="68">
        <f>'THE BOARD'!G634</f>
        <v>0</v>
      </c>
      <c r="H881" s="68">
        <f>'THE BOARD'!H634</f>
        <v>0</v>
      </c>
      <c r="I881" s="68">
        <f>'THE BOARD'!I634</f>
        <v>0</v>
      </c>
      <c r="J881" s="68">
        <f>'THE BOARD'!Q641</f>
        <v>0</v>
      </c>
      <c r="K881" s="99">
        <f>'THE BOARD'!U640</f>
        <v>0</v>
      </c>
    </row>
    <row r="882" spans="1:11" ht="12.75" x14ac:dyDescent="0.2">
      <c r="A882" s="68">
        <f>'THE BOARD'!A635</f>
        <v>0</v>
      </c>
      <c r="B882" s="68">
        <f>'THE BOARD'!B635</f>
        <v>0</v>
      </c>
      <c r="C882" s="99" t="str">
        <f>IF('THE BOARD'!U641 = "NESTED","",IF('THE BOARD'!D635&lt;&gt;"",'THE BOARD'!D635+0.72,""))</f>
        <v/>
      </c>
      <c r="D882" s="99" t="str">
        <f>IF(C882&lt;&gt;"", IF('THE BOARD'!U641 = "NESTED","",'THE BOARD'!D635 + IF(C882&lt;&gt;"", 0.72,0)),"")</f>
        <v/>
      </c>
      <c r="E882" s="68">
        <f>'THE BOARD'!E635</f>
        <v>0</v>
      </c>
      <c r="F882" s="68">
        <f>'THE BOARD'!F635</f>
        <v>0</v>
      </c>
      <c r="G882" s="68">
        <f>'THE BOARD'!G635</f>
        <v>0</v>
      </c>
      <c r="H882" s="68">
        <f>'THE BOARD'!H635</f>
        <v>0</v>
      </c>
      <c r="I882" s="68">
        <f>'THE BOARD'!I635</f>
        <v>0</v>
      </c>
      <c r="J882" s="68">
        <f>'THE BOARD'!Q642</f>
        <v>0</v>
      </c>
      <c r="K882" s="99">
        <f>'THE BOARD'!U641</f>
        <v>0</v>
      </c>
    </row>
    <row r="883" spans="1:11" ht="12.75" x14ac:dyDescent="0.2">
      <c r="A883" s="68">
        <f>'THE BOARD'!A636</f>
        <v>0</v>
      </c>
      <c r="B883" s="68">
        <f>'THE BOARD'!B636</f>
        <v>0</v>
      </c>
      <c r="C883" s="99" t="str">
        <f>IF('THE BOARD'!U642 = "NESTED","",IF('THE BOARD'!D636&lt;&gt;"",'THE BOARD'!D636+0.72,""))</f>
        <v/>
      </c>
      <c r="D883" s="99" t="str">
        <f>IF(C883&lt;&gt;"", IF('THE BOARD'!U642 = "NESTED","",'THE BOARD'!D636 + IF(C883&lt;&gt;"", 0.72,0)),"")</f>
        <v/>
      </c>
      <c r="E883" s="68">
        <f>'THE BOARD'!E636</f>
        <v>0</v>
      </c>
      <c r="F883" s="68">
        <f>'THE BOARD'!F636</f>
        <v>0</v>
      </c>
      <c r="G883" s="68">
        <f>'THE BOARD'!G636</f>
        <v>0</v>
      </c>
      <c r="H883" s="68">
        <f>'THE BOARD'!H636</f>
        <v>0</v>
      </c>
      <c r="I883" s="68">
        <f>'THE BOARD'!I636</f>
        <v>0</v>
      </c>
      <c r="J883" s="68">
        <f>'THE BOARD'!Q643</f>
        <v>0</v>
      </c>
      <c r="K883" s="99">
        <f>'THE BOARD'!U642</f>
        <v>0</v>
      </c>
    </row>
    <row r="884" spans="1:11" ht="12.75" x14ac:dyDescent="0.2">
      <c r="A884" s="68">
        <f>'THE BOARD'!A637</f>
        <v>0</v>
      </c>
      <c r="B884" s="68">
        <f>'THE BOARD'!B637</f>
        <v>0</v>
      </c>
      <c r="C884" s="99" t="str">
        <f>IF('THE BOARD'!U643 = "NESTED","",IF('THE BOARD'!D637&lt;&gt;"",'THE BOARD'!D637+0.72,""))</f>
        <v/>
      </c>
      <c r="D884" s="99" t="str">
        <f>IF(C884&lt;&gt;"", IF('THE BOARD'!U643 = "NESTED","",'THE BOARD'!D637 + IF(C884&lt;&gt;"", 0.72,0)),"")</f>
        <v/>
      </c>
      <c r="E884" s="68">
        <f>'THE BOARD'!E637</f>
        <v>0</v>
      </c>
      <c r="F884" s="68">
        <f>'THE BOARD'!F637</f>
        <v>0</v>
      </c>
      <c r="G884" s="68">
        <f>'THE BOARD'!G637</f>
        <v>0</v>
      </c>
      <c r="H884" s="68">
        <f>'THE BOARD'!H637</f>
        <v>0</v>
      </c>
      <c r="I884" s="68">
        <f>'THE BOARD'!I637</f>
        <v>0</v>
      </c>
      <c r="J884" s="68">
        <f>'THE BOARD'!Q644</f>
        <v>0</v>
      </c>
      <c r="K884" s="99">
        <f>'THE BOARD'!U643</f>
        <v>0</v>
      </c>
    </row>
    <row r="885" spans="1:11" ht="12.75" x14ac:dyDescent="0.2">
      <c r="A885" s="68">
        <f>'THE BOARD'!A638</f>
        <v>0</v>
      </c>
      <c r="B885" s="68">
        <f>'THE BOARD'!B638</f>
        <v>0</v>
      </c>
      <c r="C885" s="99" t="str">
        <f>IF('THE BOARD'!U644 = "NESTED","",IF('THE BOARD'!D638&lt;&gt;"",'THE BOARD'!D638+0.72,""))</f>
        <v/>
      </c>
      <c r="D885" s="99" t="str">
        <f>IF(C885&lt;&gt;"", IF('THE BOARD'!U644 = "NESTED","",'THE BOARD'!D638 + IF(C885&lt;&gt;"", 0.72,0)),"")</f>
        <v/>
      </c>
      <c r="E885" s="68">
        <f>'THE BOARD'!E638</f>
        <v>0</v>
      </c>
      <c r="F885" s="68">
        <f>'THE BOARD'!F638</f>
        <v>0</v>
      </c>
      <c r="G885" s="68">
        <f>'THE BOARD'!G638</f>
        <v>0</v>
      </c>
      <c r="H885" s="68">
        <f>'THE BOARD'!H638</f>
        <v>0</v>
      </c>
      <c r="I885" s="68">
        <f>'THE BOARD'!I638</f>
        <v>0</v>
      </c>
      <c r="J885" s="68">
        <f>'THE BOARD'!Q645</f>
        <v>0</v>
      </c>
      <c r="K885" s="99">
        <f>'THE BOARD'!U644</f>
        <v>0</v>
      </c>
    </row>
    <row r="886" spans="1:11" ht="12.75" x14ac:dyDescent="0.2">
      <c r="A886" s="68">
        <f>'THE BOARD'!A639</f>
        <v>0</v>
      </c>
      <c r="B886" s="68">
        <f>'THE BOARD'!B639</f>
        <v>0</v>
      </c>
      <c r="C886" s="99" t="str">
        <f>IF('THE BOARD'!U645 = "NESTED","",IF('THE BOARD'!D639&lt;&gt;"",'THE BOARD'!D639+0.72,""))</f>
        <v/>
      </c>
      <c r="D886" s="99" t="str">
        <f>IF(C886&lt;&gt;"", IF('THE BOARD'!U645 = "NESTED","",'THE BOARD'!D639 + IF(C886&lt;&gt;"", 0.72,0)),"")</f>
        <v/>
      </c>
      <c r="E886" s="68">
        <f>'THE BOARD'!E639</f>
        <v>0</v>
      </c>
      <c r="F886" s="68">
        <f>'THE BOARD'!F639</f>
        <v>0</v>
      </c>
      <c r="G886" s="68">
        <f>'THE BOARD'!G639</f>
        <v>0</v>
      </c>
      <c r="H886" s="68">
        <f>'THE BOARD'!H639</f>
        <v>0</v>
      </c>
      <c r="I886" s="68">
        <f>'THE BOARD'!I639</f>
        <v>0</v>
      </c>
      <c r="J886" s="68">
        <f>'THE BOARD'!Q646</f>
        <v>0</v>
      </c>
      <c r="K886" s="99">
        <f>'THE BOARD'!U645</f>
        <v>0</v>
      </c>
    </row>
    <row r="887" spans="1:11" ht="12.75" x14ac:dyDescent="0.2">
      <c r="A887" s="68">
        <f>'THE BOARD'!A640</f>
        <v>0</v>
      </c>
      <c r="B887" s="68">
        <f>'THE BOARD'!B640</f>
        <v>0</v>
      </c>
      <c r="C887" s="99" t="str">
        <f>IF('THE BOARD'!U646 = "NESTED","",IF('THE BOARD'!D640&lt;&gt;"",'THE BOARD'!D640+0.72,""))</f>
        <v/>
      </c>
      <c r="D887" s="99" t="str">
        <f>IF(C887&lt;&gt;"", IF('THE BOARD'!U646 = "NESTED","",'THE BOARD'!D640 + IF(C887&lt;&gt;"", 0.72,0)),"")</f>
        <v/>
      </c>
      <c r="E887" s="68">
        <f>'THE BOARD'!E640</f>
        <v>0</v>
      </c>
      <c r="F887" s="68">
        <f>'THE BOARD'!F640</f>
        <v>0</v>
      </c>
      <c r="G887" s="68">
        <f>'THE BOARD'!G640</f>
        <v>0</v>
      </c>
      <c r="H887" s="68">
        <f>'THE BOARD'!H640</f>
        <v>0</v>
      </c>
      <c r="I887" s="68">
        <f>'THE BOARD'!I640</f>
        <v>0</v>
      </c>
      <c r="J887" s="68">
        <f>'THE BOARD'!Q647</f>
        <v>0</v>
      </c>
      <c r="K887" s="99">
        <f>'THE BOARD'!U646</f>
        <v>0</v>
      </c>
    </row>
    <row r="888" spans="1:11" ht="12.75" x14ac:dyDescent="0.2">
      <c r="A888" s="68">
        <f>'THE BOARD'!A641</f>
        <v>0</v>
      </c>
      <c r="B888" s="68">
        <f>'THE BOARD'!B641</f>
        <v>0</v>
      </c>
      <c r="C888" s="99" t="str">
        <f>IF('THE BOARD'!U647 = "NESTED","",IF('THE BOARD'!D641&lt;&gt;"",'THE BOARD'!D641+0.72,""))</f>
        <v/>
      </c>
      <c r="D888" s="99" t="str">
        <f>IF(C888&lt;&gt;"", IF('THE BOARD'!U647 = "NESTED","",'THE BOARD'!D641 + IF(C888&lt;&gt;"", 0.72,0)),"")</f>
        <v/>
      </c>
      <c r="E888" s="68">
        <f>'THE BOARD'!E641</f>
        <v>0</v>
      </c>
      <c r="F888" s="68">
        <f>'THE BOARD'!F641</f>
        <v>0</v>
      </c>
      <c r="G888" s="68">
        <f>'THE BOARD'!G641</f>
        <v>0</v>
      </c>
      <c r="H888" s="68">
        <f>'THE BOARD'!H641</f>
        <v>0</v>
      </c>
      <c r="I888" s="68">
        <f>'THE BOARD'!I641</f>
        <v>0</v>
      </c>
      <c r="J888" s="68">
        <f>'THE BOARD'!Q648</f>
        <v>0</v>
      </c>
      <c r="K888" s="99">
        <f>'THE BOARD'!U647</f>
        <v>0</v>
      </c>
    </row>
    <row r="889" spans="1:11" ht="12.75" x14ac:dyDescent="0.2">
      <c r="A889" s="68">
        <f>'THE BOARD'!A642</f>
        <v>0</v>
      </c>
      <c r="B889" s="68">
        <f>'THE BOARD'!B642</f>
        <v>0</v>
      </c>
      <c r="C889" s="99" t="str">
        <f>IF('THE BOARD'!U648 = "NESTED","",IF('THE BOARD'!D642&lt;&gt;"",'THE BOARD'!D642+0.72,""))</f>
        <v/>
      </c>
      <c r="D889" s="99" t="str">
        <f>IF(C889&lt;&gt;"", IF('THE BOARD'!U648 = "NESTED","",'THE BOARD'!D642 + IF(C889&lt;&gt;"", 0.72,0)),"")</f>
        <v/>
      </c>
      <c r="E889" s="68">
        <f>'THE BOARD'!E642</f>
        <v>0</v>
      </c>
      <c r="F889" s="68">
        <f>'THE BOARD'!F642</f>
        <v>0</v>
      </c>
      <c r="G889" s="68">
        <f>'THE BOARD'!G642</f>
        <v>0</v>
      </c>
      <c r="H889" s="68">
        <f>'THE BOARD'!H642</f>
        <v>0</v>
      </c>
      <c r="I889" s="68">
        <f>'THE BOARD'!I642</f>
        <v>0</v>
      </c>
      <c r="J889" s="68">
        <f>'THE BOARD'!Q649</f>
        <v>0</v>
      </c>
      <c r="K889" s="99">
        <f>'THE BOARD'!U648</f>
        <v>0</v>
      </c>
    </row>
    <row r="890" spans="1:11" ht="12.75" x14ac:dyDescent="0.2">
      <c r="A890" s="68">
        <f>'THE BOARD'!A643</f>
        <v>0</v>
      </c>
      <c r="B890" s="68">
        <f>'THE BOARD'!B643</f>
        <v>0</v>
      </c>
      <c r="C890" s="99" t="str">
        <f>IF('THE BOARD'!U649 = "NESTED","",IF('THE BOARD'!D643&lt;&gt;"",'THE BOARD'!D643+0.72,""))</f>
        <v/>
      </c>
      <c r="D890" s="99" t="str">
        <f>IF(C890&lt;&gt;"", IF('THE BOARD'!U649 = "NESTED","",'THE BOARD'!D643 + IF(C890&lt;&gt;"", 0.72,0)),"")</f>
        <v/>
      </c>
      <c r="E890" s="68">
        <f>'THE BOARD'!E643</f>
        <v>0</v>
      </c>
      <c r="F890" s="68">
        <f>'THE BOARD'!F643</f>
        <v>0</v>
      </c>
      <c r="G890" s="68">
        <f>'THE BOARD'!G643</f>
        <v>0</v>
      </c>
      <c r="H890" s="68">
        <f>'THE BOARD'!H643</f>
        <v>0</v>
      </c>
      <c r="I890" s="68">
        <f>'THE BOARD'!I643</f>
        <v>0</v>
      </c>
      <c r="J890" s="68">
        <f>'THE BOARD'!Q650</f>
        <v>0</v>
      </c>
      <c r="K890" s="99">
        <f>'THE BOARD'!U649</f>
        <v>0</v>
      </c>
    </row>
    <row r="891" spans="1:11" ht="12.75" x14ac:dyDescent="0.2">
      <c r="A891" s="68">
        <f>'THE BOARD'!A644</f>
        <v>0</v>
      </c>
      <c r="B891" s="68">
        <f>'THE BOARD'!B644</f>
        <v>0</v>
      </c>
      <c r="C891" s="99" t="str">
        <f>IF('THE BOARD'!U650 = "NESTED","",IF('THE BOARD'!D644&lt;&gt;"",'THE BOARD'!D644+0.72,""))</f>
        <v/>
      </c>
      <c r="D891" s="99" t="str">
        <f>IF(C891&lt;&gt;"", IF('THE BOARD'!U650 = "NESTED","",'THE BOARD'!D644 + IF(C891&lt;&gt;"", 0.72,0)),"")</f>
        <v/>
      </c>
      <c r="E891" s="68">
        <f>'THE BOARD'!E644</f>
        <v>0</v>
      </c>
      <c r="F891" s="68">
        <f>'THE BOARD'!F644</f>
        <v>0</v>
      </c>
      <c r="G891" s="68">
        <f>'THE BOARD'!G644</f>
        <v>0</v>
      </c>
      <c r="H891" s="68">
        <f>'THE BOARD'!H644</f>
        <v>0</v>
      </c>
      <c r="I891" s="68">
        <f>'THE BOARD'!I644</f>
        <v>0</v>
      </c>
      <c r="J891" s="68">
        <f>'THE BOARD'!Q651</f>
        <v>0</v>
      </c>
      <c r="K891" s="99">
        <f>'THE BOARD'!U650</f>
        <v>0</v>
      </c>
    </row>
    <row r="892" spans="1:11" ht="12.75" x14ac:dyDescent="0.2">
      <c r="A892" s="68">
        <f>'THE BOARD'!A645</f>
        <v>0</v>
      </c>
      <c r="B892" s="68">
        <f>'THE BOARD'!B645</f>
        <v>0</v>
      </c>
      <c r="C892" s="99" t="str">
        <f>IF('THE BOARD'!U651 = "NESTED","",IF('THE BOARD'!D645&lt;&gt;"",'THE BOARD'!D645+0.72,""))</f>
        <v/>
      </c>
      <c r="D892" s="99" t="str">
        <f>IF(C892&lt;&gt;"", IF('THE BOARD'!U651 = "NESTED","",'THE BOARD'!D645 + IF(C892&lt;&gt;"", 0.72,0)),"")</f>
        <v/>
      </c>
      <c r="E892" s="68">
        <f>'THE BOARD'!E645</f>
        <v>0</v>
      </c>
      <c r="F892" s="68">
        <f>'THE BOARD'!F645</f>
        <v>0</v>
      </c>
      <c r="G892" s="68">
        <f>'THE BOARD'!G645</f>
        <v>0</v>
      </c>
      <c r="H892" s="68">
        <f>'THE BOARD'!H645</f>
        <v>0</v>
      </c>
      <c r="I892" s="68">
        <f>'THE BOARD'!I645</f>
        <v>0</v>
      </c>
      <c r="J892" s="68">
        <f>'THE BOARD'!Q652</f>
        <v>0</v>
      </c>
      <c r="K892" s="99">
        <f>'THE BOARD'!U651</f>
        <v>0</v>
      </c>
    </row>
    <row r="893" spans="1:11" ht="12.75" x14ac:dyDescent="0.2">
      <c r="A893" s="68">
        <f>'THE BOARD'!A646</f>
        <v>0</v>
      </c>
      <c r="B893" s="68">
        <f>'THE BOARD'!B646</f>
        <v>0</v>
      </c>
      <c r="C893" s="99" t="str">
        <f>IF('THE BOARD'!U652 = "NESTED","",IF('THE BOARD'!D646&lt;&gt;"",'THE BOARD'!D646+0.72,""))</f>
        <v/>
      </c>
      <c r="D893" s="99" t="str">
        <f>IF(C893&lt;&gt;"", IF('THE BOARD'!U652 = "NESTED","",'THE BOARD'!D646 + IF(C893&lt;&gt;"", 0.72,0)),"")</f>
        <v/>
      </c>
      <c r="E893" s="68">
        <f>'THE BOARD'!E646</f>
        <v>0</v>
      </c>
      <c r="F893" s="68">
        <f>'THE BOARD'!F646</f>
        <v>0</v>
      </c>
      <c r="G893" s="68">
        <f>'THE BOARD'!G646</f>
        <v>0</v>
      </c>
      <c r="H893" s="68">
        <f>'THE BOARD'!H646</f>
        <v>0</v>
      </c>
      <c r="I893" s="68">
        <f>'THE BOARD'!I646</f>
        <v>0</v>
      </c>
      <c r="J893" s="68">
        <f>'THE BOARD'!Q653</f>
        <v>0</v>
      </c>
      <c r="K893" s="99">
        <f>'THE BOARD'!U652</f>
        <v>0</v>
      </c>
    </row>
    <row r="894" spans="1:11" ht="12.75" x14ac:dyDescent="0.2">
      <c r="A894" s="68">
        <f>'THE BOARD'!A647</f>
        <v>0</v>
      </c>
      <c r="B894" s="68">
        <f>'THE BOARD'!B647</f>
        <v>0</v>
      </c>
      <c r="C894" s="99" t="str">
        <f>IF('THE BOARD'!U653 = "NESTED","",IF('THE BOARD'!D647&lt;&gt;"",'THE BOARD'!D647+0.72,""))</f>
        <v/>
      </c>
      <c r="D894" s="99" t="str">
        <f>IF(C894&lt;&gt;"", IF('THE BOARD'!U653 = "NESTED","",'THE BOARD'!D647 + IF(C894&lt;&gt;"", 0.72,0)),"")</f>
        <v/>
      </c>
      <c r="E894" s="68">
        <f>'THE BOARD'!E647</f>
        <v>0</v>
      </c>
      <c r="F894" s="68">
        <f>'THE BOARD'!F647</f>
        <v>0</v>
      </c>
      <c r="G894" s="68">
        <f>'THE BOARD'!G647</f>
        <v>0</v>
      </c>
      <c r="H894" s="68">
        <f>'THE BOARD'!H647</f>
        <v>0</v>
      </c>
      <c r="I894" s="68">
        <f>'THE BOARD'!I647</f>
        <v>0</v>
      </c>
      <c r="J894" s="68">
        <f>'THE BOARD'!Q654</f>
        <v>0</v>
      </c>
      <c r="K894" s="99">
        <f>'THE BOARD'!U653</f>
        <v>0</v>
      </c>
    </row>
    <row r="895" spans="1:11" ht="12.75" x14ac:dyDescent="0.2">
      <c r="A895" s="68">
        <f>'THE BOARD'!A648</f>
        <v>0</v>
      </c>
      <c r="B895" s="68">
        <f>'THE BOARD'!B648</f>
        <v>0</v>
      </c>
      <c r="C895" s="99" t="str">
        <f>IF('THE BOARD'!U654 = "NESTED","",IF('THE BOARD'!D648&lt;&gt;"",'THE BOARD'!D648+0.72,""))</f>
        <v/>
      </c>
      <c r="D895" s="99" t="str">
        <f>IF(C895&lt;&gt;"", IF('THE BOARD'!U654 = "NESTED","",'THE BOARD'!D648 + IF(C895&lt;&gt;"", 0.72,0)),"")</f>
        <v/>
      </c>
      <c r="E895" s="68">
        <f>'THE BOARD'!E648</f>
        <v>0</v>
      </c>
      <c r="F895" s="68">
        <f>'THE BOARD'!F648</f>
        <v>0</v>
      </c>
      <c r="G895" s="68">
        <f>'THE BOARD'!G648</f>
        <v>0</v>
      </c>
      <c r="H895" s="68">
        <f>'THE BOARD'!H648</f>
        <v>0</v>
      </c>
      <c r="I895" s="68">
        <f>'THE BOARD'!I648</f>
        <v>0</v>
      </c>
      <c r="J895" s="68">
        <f>'THE BOARD'!Q655</f>
        <v>0</v>
      </c>
      <c r="K895" s="99">
        <f>'THE BOARD'!U654</f>
        <v>0</v>
      </c>
    </row>
    <row r="896" spans="1:11" ht="12.75" x14ac:dyDescent="0.2">
      <c r="A896" s="68">
        <f>'THE BOARD'!A649</f>
        <v>0</v>
      </c>
      <c r="B896" s="68">
        <f>'THE BOARD'!B649</f>
        <v>0</v>
      </c>
      <c r="C896" s="99" t="str">
        <f>IF('THE BOARD'!U655 = "NESTED","",IF('THE BOARD'!D649&lt;&gt;"",'THE BOARD'!D649+0.72,""))</f>
        <v/>
      </c>
      <c r="D896" s="99" t="str">
        <f>IF(C896&lt;&gt;"", IF('THE BOARD'!U655 = "NESTED","",'THE BOARD'!D649 + IF(C896&lt;&gt;"", 0.72,0)),"")</f>
        <v/>
      </c>
      <c r="E896" s="68">
        <f>'THE BOARD'!E649</f>
        <v>0</v>
      </c>
      <c r="F896" s="68">
        <f>'THE BOARD'!F649</f>
        <v>0</v>
      </c>
      <c r="G896" s="68">
        <f>'THE BOARD'!G649</f>
        <v>0</v>
      </c>
      <c r="H896" s="68">
        <f>'THE BOARD'!H649</f>
        <v>0</v>
      </c>
      <c r="I896" s="68">
        <f>'THE BOARD'!I649</f>
        <v>0</v>
      </c>
      <c r="J896" s="68">
        <f>'THE BOARD'!Q656</f>
        <v>0</v>
      </c>
      <c r="K896" s="99">
        <f>'THE BOARD'!U655</f>
        <v>0</v>
      </c>
    </row>
    <row r="897" spans="1:11" ht="12.75" x14ac:dyDescent="0.2">
      <c r="A897" s="68">
        <f>'THE BOARD'!A650</f>
        <v>0</v>
      </c>
      <c r="B897" s="68">
        <f>'THE BOARD'!B650</f>
        <v>0</v>
      </c>
      <c r="C897" s="99" t="str">
        <f>IF('THE BOARD'!U656 = "NESTED","",IF('THE BOARD'!D650&lt;&gt;"",'THE BOARD'!D650+0.72,""))</f>
        <v/>
      </c>
      <c r="D897" s="99" t="str">
        <f>IF(C897&lt;&gt;"", IF('THE BOARD'!U656 = "NESTED","",'THE BOARD'!D650 + IF(C897&lt;&gt;"", 0.72,0)),"")</f>
        <v/>
      </c>
      <c r="E897" s="68">
        <f>'THE BOARD'!E650</f>
        <v>0</v>
      </c>
      <c r="F897" s="68">
        <f>'THE BOARD'!F650</f>
        <v>0</v>
      </c>
      <c r="G897" s="68">
        <f>'THE BOARD'!G650</f>
        <v>0</v>
      </c>
      <c r="H897" s="68">
        <f>'THE BOARD'!H650</f>
        <v>0</v>
      </c>
      <c r="I897" s="68">
        <f>'THE BOARD'!I650</f>
        <v>0</v>
      </c>
      <c r="J897" s="68">
        <f>'THE BOARD'!Q657</f>
        <v>0</v>
      </c>
      <c r="K897" s="99">
        <f>'THE BOARD'!U656</f>
        <v>0</v>
      </c>
    </row>
    <row r="898" spans="1:11" ht="12.75" x14ac:dyDescent="0.2">
      <c r="A898" s="68">
        <f>'THE BOARD'!A651</f>
        <v>0</v>
      </c>
      <c r="B898" s="68">
        <f>'THE BOARD'!B651</f>
        <v>0</v>
      </c>
      <c r="C898" s="99" t="str">
        <f>IF('THE BOARD'!U657 = "NESTED","",IF('THE BOARD'!D651&lt;&gt;"",'THE BOARD'!D651+0.72,""))</f>
        <v/>
      </c>
      <c r="D898" s="99" t="str">
        <f>IF(C898&lt;&gt;"", IF('THE BOARD'!U657 = "NESTED","",'THE BOARD'!D651 + IF(C898&lt;&gt;"", 0.72,0)),"")</f>
        <v/>
      </c>
      <c r="E898" s="68">
        <f>'THE BOARD'!E651</f>
        <v>0</v>
      </c>
      <c r="F898" s="68">
        <f>'THE BOARD'!F651</f>
        <v>0</v>
      </c>
      <c r="G898" s="68">
        <f>'THE BOARD'!G651</f>
        <v>0</v>
      </c>
      <c r="H898" s="68">
        <f>'THE BOARD'!H651</f>
        <v>0</v>
      </c>
      <c r="I898" s="68">
        <f>'THE BOARD'!I651</f>
        <v>0</v>
      </c>
      <c r="J898" s="68">
        <f>'THE BOARD'!Q658</f>
        <v>0</v>
      </c>
      <c r="K898" s="99">
        <f>'THE BOARD'!U657</f>
        <v>0</v>
      </c>
    </row>
    <row r="899" spans="1:11" ht="12.75" x14ac:dyDescent="0.2">
      <c r="A899" s="68">
        <f>'THE BOARD'!A652</f>
        <v>0</v>
      </c>
      <c r="B899" s="68">
        <f>'THE BOARD'!B652</f>
        <v>0</v>
      </c>
      <c r="C899" s="99" t="str">
        <f>IF('THE BOARD'!U658 = "NESTED","",IF('THE BOARD'!D652&lt;&gt;"",'THE BOARD'!D652+0.72,""))</f>
        <v/>
      </c>
      <c r="D899" s="99" t="str">
        <f>IF(C899&lt;&gt;"", IF('THE BOARD'!U658 = "NESTED","",'THE BOARD'!D652 + IF(C899&lt;&gt;"", 0.72,0)),"")</f>
        <v/>
      </c>
      <c r="E899" s="68">
        <f>'THE BOARD'!E652</f>
        <v>0</v>
      </c>
      <c r="F899" s="68">
        <f>'THE BOARD'!F652</f>
        <v>0</v>
      </c>
      <c r="G899" s="68">
        <f>'THE BOARD'!G652</f>
        <v>0</v>
      </c>
      <c r="H899" s="68">
        <f>'THE BOARD'!H652</f>
        <v>0</v>
      </c>
      <c r="I899" s="68">
        <f>'THE BOARD'!I652</f>
        <v>0</v>
      </c>
      <c r="J899" s="68">
        <f>'THE BOARD'!Q659</f>
        <v>0</v>
      </c>
      <c r="K899" s="99">
        <f>'THE BOARD'!U658</f>
        <v>0</v>
      </c>
    </row>
    <row r="900" spans="1:11" ht="12.75" x14ac:dyDescent="0.2">
      <c r="A900" s="68">
        <f>'THE BOARD'!A653</f>
        <v>0</v>
      </c>
      <c r="B900" s="68">
        <f>'THE BOARD'!B653</f>
        <v>0</v>
      </c>
      <c r="C900" s="99" t="str">
        <f>IF('THE BOARD'!U659 = "NESTED","",IF('THE BOARD'!D653&lt;&gt;"",'THE BOARD'!D653+0.72,""))</f>
        <v/>
      </c>
      <c r="D900" s="99" t="str">
        <f>IF(C900&lt;&gt;"", IF('THE BOARD'!U659 = "NESTED","",'THE BOARD'!D653 + IF(C900&lt;&gt;"", 0.72,0)),"")</f>
        <v/>
      </c>
      <c r="E900" s="68">
        <f>'THE BOARD'!E653</f>
        <v>0</v>
      </c>
      <c r="F900" s="68">
        <f>'THE BOARD'!F653</f>
        <v>0</v>
      </c>
      <c r="G900" s="68">
        <f>'THE BOARD'!G653</f>
        <v>0</v>
      </c>
      <c r="H900" s="68">
        <f>'THE BOARD'!H653</f>
        <v>0</v>
      </c>
      <c r="I900" s="68">
        <f>'THE BOARD'!I653</f>
        <v>0</v>
      </c>
      <c r="J900" s="68">
        <f>'THE BOARD'!Q660</f>
        <v>0</v>
      </c>
      <c r="K900" s="99">
        <f>'THE BOARD'!U659</f>
        <v>0</v>
      </c>
    </row>
    <row r="901" spans="1:11" ht="12.75" x14ac:dyDescent="0.2">
      <c r="A901" s="68">
        <f>'THE BOARD'!A654</f>
        <v>0</v>
      </c>
      <c r="B901" s="68">
        <f>'THE BOARD'!B654</f>
        <v>0</v>
      </c>
      <c r="C901" s="99" t="str">
        <f>IF('THE BOARD'!U660 = "NESTED","",IF('THE BOARD'!D654&lt;&gt;"",'THE BOARD'!D654+0.72,""))</f>
        <v/>
      </c>
      <c r="D901" s="99" t="str">
        <f>IF(C901&lt;&gt;"", IF('THE BOARD'!U660 = "NESTED","",'THE BOARD'!D654 + IF(C901&lt;&gt;"", 0.72,0)),"")</f>
        <v/>
      </c>
      <c r="E901" s="68">
        <f>'THE BOARD'!E654</f>
        <v>0</v>
      </c>
      <c r="F901" s="68">
        <f>'THE BOARD'!F654</f>
        <v>0</v>
      </c>
      <c r="G901" s="68">
        <f>'THE BOARD'!G654</f>
        <v>0</v>
      </c>
      <c r="H901" s="68">
        <f>'THE BOARD'!H654</f>
        <v>0</v>
      </c>
      <c r="I901" s="68">
        <f>'THE BOARD'!I654</f>
        <v>0</v>
      </c>
      <c r="J901" s="68">
        <f>'THE BOARD'!Q661</f>
        <v>0</v>
      </c>
      <c r="K901" s="99">
        <f>'THE BOARD'!U660</f>
        <v>0</v>
      </c>
    </row>
    <row r="902" spans="1:11" ht="12.75" x14ac:dyDescent="0.2">
      <c r="A902" s="68">
        <f>'THE BOARD'!A655</f>
        <v>0</v>
      </c>
      <c r="B902" s="68">
        <f>'THE BOARD'!B655</f>
        <v>0</v>
      </c>
      <c r="C902" s="99" t="str">
        <f>IF('THE BOARD'!U661 = "NESTED","",IF('THE BOARD'!D655&lt;&gt;"",'THE BOARD'!D655+0.72,""))</f>
        <v/>
      </c>
      <c r="D902" s="99" t="str">
        <f>IF(C902&lt;&gt;"", IF('THE BOARD'!U661 = "NESTED","",'THE BOARD'!D655 + IF(C902&lt;&gt;"", 0.72,0)),"")</f>
        <v/>
      </c>
      <c r="E902" s="68">
        <f>'THE BOARD'!E655</f>
        <v>0</v>
      </c>
      <c r="F902" s="68">
        <f>'THE BOARD'!F655</f>
        <v>0</v>
      </c>
      <c r="G902" s="68">
        <f>'THE BOARD'!G655</f>
        <v>0</v>
      </c>
      <c r="H902" s="68">
        <f>'THE BOARD'!H655</f>
        <v>0</v>
      </c>
      <c r="I902" s="68">
        <f>'THE BOARD'!I655</f>
        <v>0</v>
      </c>
      <c r="J902" s="68">
        <f>'THE BOARD'!Q662</f>
        <v>0</v>
      </c>
      <c r="K902" s="99">
        <f>'THE BOARD'!U661</f>
        <v>0</v>
      </c>
    </row>
    <row r="903" spans="1:11" ht="12.75" x14ac:dyDescent="0.2">
      <c r="A903" s="68">
        <f>'THE BOARD'!A656</f>
        <v>0</v>
      </c>
      <c r="B903" s="68">
        <f>'THE BOARD'!B656</f>
        <v>0</v>
      </c>
      <c r="C903" s="99" t="str">
        <f>IF('THE BOARD'!U662 = "NESTED","",IF('THE BOARD'!D656&lt;&gt;"",'THE BOARD'!D656+0.72,""))</f>
        <v/>
      </c>
      <c r="D903" s="99" t="str">
        <f>IF(C903&lt;&gt;"", IF('THE BOARD'!U662 = "NESTED","",'THE BOARD'!D656 + IF(C903&lt;&gt;"", 0.72,0)),"")</f>
        <v/>
      </c>
      <c r="E903" s="68">
        <f>'THE BOARD'!E656</f>
        <v>0</v>
      </c>
      <c r="F903" s="68">
        <f>'THE BOARD'!F656</f>
        <v>0</v>
      </c>
      <c r="G903" s="68">
        <f>'THE BOARD'!G656</f>
        <v>0</v>
      </c>
      <c r="H903" s="68">
        <f>'THE BOARD'!H656</f>
        <v>0</v>
      </c>
      <c r="I903" s="68">
        <f>'THE BOARD'!I656</f>
        <v>0</v>
      </c>
      <c r="J903" s="68">
        <f>'THE BOARD'!Q663</f>
        <v>0</v>
      </c>
      <c r="K903" s="99">
        <f>'THE BOARD'!U662</f>
        <v>0</v>
      </c>
    </row>
    <row r="904" spans="1:11" ht="12.75" x14ac:dyDescent="0.2">
      <c r="A904" s="68">
        <f>'THE BOARD'!A657</f>
        <v>0</v>
      </c>
      <c r="B904" s="68">
        <f>'THE BOARD'!B657</f>
        <v>0</v>
      </c>
      <c r="C904" s="99" t="str">
        <f>IF('THE BOARD'!U663 = "NESTED","",IF('THE BOARD'!D657&lt;&gt;"",'THE BOARD'!D657+0.72,""))</f>
        <v/>
      </c>
      <c r="D904" s="99" t="str">
        <f>IF(C904&lt;&gt;"", IF('THE BOARD'!U663 = "NESTED","",'THE BOARD'!D657 + IF(C904&lt;&gt;"", 0.72,0)),"")</f>
        <v/>
      </c>
      <c r="E904" s="68">
        <f>'THE BOARD'!E657</f>
        <v>0</v>
      </c>
      <c r="F904" s="68">
        <f>'THE BOARD'!F657</f>
        <v>0</v>
      </c>
      <c r="G904" s="68">
        <f>'THE BOARD'!G657</f>
        <v>0</v>
      </c>
      <c r="H904" s="68">
        <f>'THE BOARD'!H657</f>
        <v>0</v>
      </c>
      <c r="I904" s="68">
        <f>'THE BOARD'!I657</f>
        <v>0</v>
      </c>
      <c r="J904" s="68">
        <f>'THE BOARD'!Q664</f>
        <v>0</v>
      </c>
      <c r="K904" s="99">
        <f>'THE BOARD'!U663</f>
        <v>0</v>
      </c>
    </row>
    <row r="905" spans="1:11" ht="12.75" x14ac:dyDescent="0.2">
      <c r="A905" s="68">
        <f>'THE BOARD'!A658</f>
        <v>0</v>
      </c>
      <c r="B905" s="68">
        <f>'THE BOARD'!B658</f>
        <v>0</v>
      </c>
      <c r="C905" s="99" t="str">
        <f>IF('THE BOARD'!U664 = "NESTED","",IF('THE BOARD'!D658&lt;&gt;"",'THE BOARD'!D658+0.72,""))</f>
        <v/>
      </c>
      <c r="D905" s="99" t="str">
        <f>IF(C905&lt;&gt;"", IF('THE BOARD'!U664 = "NESTED","",'THE BOARD'!D658 + IF(C905&lt;&gt;"", 0.72,0)),"")</f>
        <v/>
      </c>
      <c r="E905" s="68">
        <f>'THE BOARD'!E658</f>
        <v>0</v>
      </c>
      <c r="F905" s="68">
        <f>'THE BOARD'!F658</f>
        <v>0</v>
      </c>
      <c r="G905" s="68">
        <f>'THE BOARD'!G658</f>
        <v>0</v>
      </c>
      <c r="H905" s="68">
        <f>'THE BOARD'!H658</f>
        <v>0</v>
      </c>
      <c r="I905" s="68">
        <f>'THE BOARD'!I658</f>
        <v>0</v>
      </c>
      <c r="J905" s="68">
        <f>'THE BOARD'!Q665</f>
        <v>0</v>
      </c>
      <c r="K905" s="99">
        <f>'THE BOARD'!U664</f>
        <v>0</v>
      </c>
    </row>
    <row r="906" spans="1:11" ht="12.75" x14ac:dyDescent="0.2">
      <c r="A906" s="68">
        <f>'THE BOARD'!A659</f>
        <v>0</v>
      </c>
      <c r="B906" s="68">
        <f>'THE BOARD'!B659</f>
        <v>0</v>
      </c>
      <c r="C906" s="99" t="str">
        <f>IF('THE BOARD'!U665 = "NESTED","",IF('THE BOARD'!D659&lt;&gt;"",'THE BOARD'!D659+0.72,""))</f>
        <v/>
      </c>
      <c r="D906" s="99" t="str">
        <f>IF(C906&lt;&gt;"", IF('THE BOARD'!U665 = "NESTED","",'THE BOARD'!D659 + IF(C906&lt;&gt;"", 0.72,0)),"")</f>
        <v/>
      </c>
      <c r="E906" s="68">
        <f>'THE BOARD'!E659</f>
        <v>0</v>
      </c>
      <c r="F906" s="68">
        <f>'THE BOARD'!F659</f>
        <v>0</v>
      </c>
      <c r="G906" s="68">
        <f>'THE BOARD'!G659</f>
        <v>0</v>
      </c>
      <c r="H906" s="68">
        <f>'THE BOARD'!H659</f>
        <v>0</v>
      </c>
      <c r="I906" s="68">
        <f>'THE BOARD'!I659</f>
        <v>0</v>
      </c>
      <c r="J906" s="68">
        <f>'THE BOARD'!Q666</f>
        <v>0</v>
      </c>
      <c r="K906" s="99">
        <f>'THE BOARD'!U665</f>
        <v>0</v>
      </c>
    </row>
    <row r="907" spans="1:11" ht="12.75" x14ac:dyDescent="0.2">
      <c r="A907" s="68">
        <f>'THE BOARD'!A660</f>
        <v>0</v>
      </c>
      <c r="B907" s="68">
        <f>'THE BOARD'!B660</f>
        <v>0</v>
      </c>
      <c r="C907" s="99" t="str">
        <f>IF('THE BOARD'!U666 = "NESTED","",IF('THE BOARD'!D660&lt;&gt;"",'THE BOARD'!D660+0.72,""))</f>
        <v/>
      </c>
      <c r="D907" s="99" t="str">
        <f>IF(C907&lt;&gt;"", IF('THE BOARD'!U666 = "NESTED","",'THE BOARD'!D660 + IF(C907&lt;&gt;"", 0.72,0)),"")</f>
        <v/>
      </c>
      <c r="E907" s="68">
        <f>'THE BOARD'!E660</f>
        <v>0</v>
      </c>
      <c r="F907" s="68">
        <f>'THE BOARD'!F660</f>
        <v>0</v>
      </c>
      <c r="G907" s="68">
        <f>'THE BOARD'!G660</f>
        <v>0</v>
      </c>
      <c r="H907" s="68">
        <f>'THE BOARD'!H660</f>
        <v>0</v>
      </c>
      <c r="I907" s="68">
        <f>'THE BOARD'!I660</f>
        <v>0</v>
      </c>
      <c r="J907" s="68">
        <f>'THE BOARD'!Q667</f>
        <v>0</v>
      </c>
      <c r="K907" s="99">
        <f>'THE BOARD'!U666</f>
        <v>0</v>
      </c>
    </row>
    <row r="908" spans="1:11" ht="12.75" x14ac:dyDescent="0.2">
      <c r="A908" s="68">
        <f>'THE BOARD'!A661</f>
        <v>0</v>
      </c>
      <c r="B908" s="68">
        <f>'THE BOARD'!B661</f>
        <v>0</v>
      </c>
      <c r="C908" s="99" t="str">
        <f>IF('THE BOARD'!U667 = "NESTED","",IF('THE BOARD'!D661&lt;&gt;"",'THE BOARD'!D661+0.72,""))</f>
        <v/>
      </c>
      <c r="D908" s="99" t="str">
        <f>IF(C908&lt;&gt;"", IF('THE BOARD'!U667 = "NESTED","",'THE BOARD'!D661 + IF(C908&lt;&gt;"", 0.72,0)),"")</f>
        <v/>
      </c>
      <c r="E908" s="68">
        <f>'THE BOARD'!E661</f>
        <v>0</v>
      </c>
      <c r="F908" s="68">
        <f>'THE BOARD'!F661</f>
        <v>0</v>
      </c>
      <c r="G908" s="68">
        <f>'THE BOARD'!G661</f>
        <v>0</v>
      </c>
      <c r="H908" s="68">
        <f>'THE BOARD'!H661</f>
        <v>0</v>
      </c>
      <c r="I908" s="68">
        <f>'THE BOARD'!I661</f>
        <v>0</v>
      </c>
      <c r="J908" s="68">
        <f>'THE BOARD'!Q668</f>
        <v>0</v>
      </c>
      <c r="K908" s="99">
        <f>'THE BOARD'!U667</f>
        <v>0</v>
      </c>
    </row>
    <row r="909" spans="1:11" ht="12.75" x14ac:dyDescent="0.2">
      <c r="A909" s="68">
        <f>'THE BOARD'!A662</f>
        <v>0</v>
      </c>
      <c r="B909" s="68">
        <f>'THE BOARD'!B662</f>
        <v>0</v>
      </c>
      <c r="C909" s="99" t="str">
        <f>IF('THE BOARD'!U668 = "NESTED","",IF('THE BOARD'!D662&lt;&gt;"",'THE BOARD'!D662+0.72,""))</f>
        <v/>
      </c>
      <c r="D909" s="99" t="str">
        <f>IF(C909&lt;&gt;"", IF('THE BOARD'!U668 = "NESTED","",'THE BOARD'!D662 + IF(C909&lt;&gt;"", 0.72,0)),"")</f>
        <v/>
      </c>
      <c r="E909" s="68">
        <f>'THE BOARD'!E662</f>
        <v>0</v>
      </c>
      <c r="F909" s="68">
        <f>'THE BOARD'!F662</f>
        <v>0</v>
      </c>
      <c r="G909" s="68">
        <f>'THE BOARD'!G662</f>
        <v>0</v>
      </c>
      <c r="H909" s="68">
        <f>'THE BOARD'!H662</f>
        <v>0</v>
      </c>
      <c r="I909" s="68">
        <f>'THE BOARD'!I662</f>
        <v>0</v>
      </c>
      <c r="J909" s="68">
        <f>'THE BOARD'!Q669</f>
        <v>0</v>
      </c>
      <c r="K909" s="99">
        <f>'THE BOARD'!U668</f>
        <v>0</v>
      </c>
    </row>
    <row r="910" spans="1:11" ht="12.75" x14ac:dyDescent="0.2">
      <c r="A910" s="68">
        <f>'THE BOARD'!A663</f>
        <v>0</v>
      </c>
      <c r="B910" s="68">
        <f>'THE BOARD'!B663</f>
        <v>0</v>
      </c>
      <c r="C910" s="99" t="str">
        <f>IF('THE BOARD'!U669 = "NESTED","",IF('THE BOARD'!D663&lt;&gt;"",'THE BOARD'!D663+0.72,""))</f>
        <v/>
      </c>
      <c r="D910" s="99" t="str">
        <f>IF(C910&lt;&gt;"", IF('THE BOARD'!U669 = "NESTED","",'THE BOARD'!D663 + IF(C910&lt;&gt;"", 0.72,0)),"")</f>
        <v/>
      </c>
      <c r="E910" s="68">
        <f>'THE BOARD'!E663</f>
        <v>0</v>
      </c>
      <c r="F910" s="68">
        <f>'THE BOARD'!F663</f>
        <v>0</v>
      </c>
      <c r="G910" s="68">
        <f>'THE BOARD'!G663</f>
        <v>0</v>
      </c>
      <c r="H910" s="68">
        <f>'THE BOARD'!H663</f>
        <v>0</v>
      </c>
      <c r="I910" s="68">
        <f>'THE BOARD'!I663</f>
        <v>0</v>
      </c>
      <c r="J910" s="68">
        <f>'THE BOARD'!Q670</f>
        <v>0</v>
      </c>
      <c r="K910" s="99">
        <f>'THE BOARD'!U669</f>
        <v>0</v>
      </c>
    </row>
    <row r="911" spans="1:11" ht="12.75" x14ac:dyDescent="0.2">
      <c r="A911" s="68">
        <f>'THE BOARD'!A664</f>
        <v>0</v>
      </c>
      <c r="B911" s="68">
        <f>'THE BOARD'!B664</f>
        <v>0</v>
      </c>
      <c r="C911" s="99" t="str">
        <f>IF('THE BOARD'!U670 = "NESTED","",IF('THE BOARD'!D664&lt;&gt;"",'THE BOARD'!D664+0.72,""))</f>
        <v/>
      </c>
      <c r="D911" s="99" t="str">
        <f>IF(C911&lt;&gt;"", IF('THE BOARD'!U670 = "NESTED","",'THE BOARD'!D664 + IF(C911&lt;&gt;"", 0.72,0)),"")</f>
        <v/>
      </c>
      <c r="E911" s="68">
        <f>'THE BOARD'!E664</f>
        <v>0</v>
      </c>
      <c r="F911" s="68">
        <f>'THE BOARD'!F664</f>
        <v>0</v>
      </c>
      <c r="G911" s="68">
        <f>'THE BOARD'!G664</f>
        <v>0</v>
      </c>
      <c r="H911" s="68">
        <f>'THE BOARD'!H664</f>
        <v>0</v>
      </c>
      <c r="I911" s="68">
        <f>'THE BOARD'!I664</f>
        <v>0</v>
      </c>
      <c r="J911" s="68">
        <f>'THE BOARD'!Q671</f>
        <v>0</v>
      </c>
      <c r="K911" s="99">
        <f>'THE BOARD'!U670</f>
        <v>0</v>
      </c>
    </row>
    <row r="912" spans="1:11" ht="12.75" x14ac:dyDescent="0.2">
      <c r="A912" s="68">
        <f>'THE BOARD'!A665</f>
        <v>0</v>
      </c>
      <c r="B912" s="68">
        <f>'THE BOARD'!B665</f>
        <v>0</v>
      </c>
      <c r="C912" s="99" t="str">
        <f>IF('THE BOARD'!U671 = "NESTED","",IF('THE BOARD'!D665&lt;&gt;"",'THE BOARD'!D665+0.72,""))</f>
        <v/>
      </c>
      <c r="D912" s="99" t="str">
        <f>IF(C912&lt;&gt;"", IF('THE BOARD'!U671 = "NESTED","",'THE BOARD'!D665 + IF(C912&lt;&gt;"", 0.72,0)),"")</f>
        <v/>
      </c>
      <c r="E912" s="68">
        <f>'THE BOARD'!E665</f>
        <v>0</v>
      </c>
      <c r="F912" s="68">
        <f>'THE BOARD'!F665</f>
        <v>0</v>
      </c>
      <c r="G912" s="68">
        <f>'THE BOARD'!G665</f>
        <v>0</v>
      </c>
      <c r="H912" s="68">
        <f>'THE BOARD'!H665</f>
        <v>0</v>
      </c>
      <c r="I912" s="68">
        <f>'THE BOARD'!I665</f>
        <v>0</v>
      </c>
      <c r="J912" s="68">
        <f>'THE BOARD'!Q672</f>
        <v>0</v>
      </c>
      <c r="K912" s="99">
        <f>'THE BOARD'!U671</f>
        <v>0</v>
      </c>
    </row>
    <row r="913" spans="1:11" ht="12.75" x14ac:dyDescent="0.2">
      <c r="A913" s="68">
        <f>'THE BOARD'!A666</f>
        <v>0</v>
      </c>
      <c r="B913" s="68">
        <f>'THE BOARD'!B666</f>
        <v>0</v>
      </c>
      <c r="C913" s="99" t="str">
        <f>IF('THE BOARD'!U672 = "NESTED","",IF('THE BOARD'!D666&lt;&gt;"",'THE BOARD'!D666+0.72,""))</f>
        <v/>
      </c>
      <c r="D913" s="99" t="str">
        <f>IF(C913&lt;&gt;"", IF('THE BOARD'!U672 = "NESTED","",'THE BOARD'!D666 + IF(C913&lt;&gt;"", 0.72,0)),"")</f>
        <v/>
      </c>
      <c r="E913" s="68">
        <f>'THE BOARD'!E666</f>
        <v>0</v>
      </c>
      <c r="F913" s="68">
        <f>'THE BOARD'!F666</f>
        <v>0</v>
      </c>
      <c r="G913" s="68">
        <f>'THE BOARD'!G666</f>
        <v>0</v>
      </c>
      <c r="H913" s="68">
        <f>'THE BOARD'!H666</f>
        <v>0</v>
      </c>
      <c r="I913" s="68">
        <f>'THE BOARD'!I666</f>
        <v>0</v>
      </c>
      <c r="J913" s="68">
        <f>'THE BOARD'!Q673</f>
        <v>0</v>
      </c>
      <c r="K913" s="99">
        <f>'THE BOARD'!U672</f>
        <v>0</v>
      </c>
    </row>
    <row r="914" spans="1:11" ht="12.75" x14ac:dyDescent="0.2">
      <c r="A914" s="68">
        <f>'THE BOARD'!A667</f>
        <v>0</v>
      </c>
      <c r="B914" s="68">
        <f>'THE BOARD'!B667</f>
        <v>0</v>
      </c>
      <c r="C914" s="99" t="str">
        <f>IF('THE BOARD'!U673 = "NESTED","",IF('THE BOARD'!D667&lt;&gt;"",'THE BOARD'!D667+0.72,""))</f>
        <v/>
      </c>
      <c r="D914" s="99" t="str">
        <f>IF(C914&lt;&gt;"", IF('THE BOARD'!U673 = "NESTED","",'THE BOARD'!D667 + IF(C914&lt;&gt;"", 0.72,0)),"")</f>
        <v/>
      </c>
      <c r="E914" s="68">
        <f>'THE BOARD'!E667</f>
        <v>0</v>
      </c>
      <c r="F914" s="68">
        <f>'THE BOARD'!F667</f>
        <v>0</v>
      </c>
      <c r="G914" s="68">
        <f>'THE BOARD'!G667</f>
        <v>0</v>
      </c>
      <c r="H914" s="68">
        <f>'THE BOARD'!H667</f>
        <v>0</v>
      </c>
      <c r="I914" s="68">
        <f>'THE BOARD'!I667</f>
        <v>0</v>
      </c>
      <c r="J914" s="68">
        <f>'THE BOARD'!Q674</f>
        <v>0</v>
      </c>
      <c r="K914" s="99">
        <f>'THE BOARD'!U673</f>
        <v>0</v>
      </c>
    </row>
    <row r="915" spans="1:11" ht="12.75" x14ac:dyDescent="0.2">
      <c r="A915" s="68">
        <f>'THE BOARD'!A668</f>
        <v>0</v>
      </c>
      <c r="B915" s="68">
        <f>'THE BOARD'!B668</f>
        <v>0</v>
      </c>
      <c r="C915" s="99" t="str">
        <f>IF('THE BOARD'!U674 = "NESTED","",IF('THE BOARD'!D668&lt;&gt;"",'THE BOARD'!D668+0.72,""))</f>
        <v/>
      </c>
      <c r="D915" s="99" t="str">
        <f>IF(C915&lt;&gt;"", IF('THE BOARD'!U674 = "NESTED","",'THE BOARD'!D668 + IF(C915&lt;&gt;"", 0.72,0)),"")</f>
        <v/>
      </c>
      <c r="E915" s="68">
        <f>'THE BOARD'!E668</f>
        <v>0</v>
      </c>
      <c r="F915" s="68">
        <f>'THE BOARD'!F668</f>
        <v>0</v>
      </c>
      <c r="G915" s="68">
        <f>'THE BOARD'!G668</f>
        <v>0</v>
      </c>
      <c r="H915" s="68">
        <f>'THE BOARD'!H668</f>
        <v>0</v>
      </c>
      <c r="I915" s="68">
        <f>'THE BOARD'!I668</f>
        <v>0</v>
      </c>
      <c r="J915" s="68">
        <f>'THE BOARD'!Q675</f>
        <v>0</v>
      </c>
      <c r="K915" s="99">
        <f>'THE BOARD'!U674</f>
        <v>0</v>
      </c>
    </row>
    <row r="916" spans="1:11" ht="12.75" x14ac:dyDescent="0.2">
      <c r="A916" s="68">
        <f>'THE BOARD'!A669</f>
        <v>0</v>
      </c>
      <c r="B916" s="68">
        <f>'THE BOARD'!B669</f>
        <v>0</v>
      </c>
      <c r="C916" s="99" t="str">
        <f>IF('THE BOARD'!U675 = "NESTED","",IF('THE BOARD'!D669&lt;&gt;"",'THE BOARD'!D669+0.72,""))</f>
        <v/>
      </c>
      <c r="D916" s="99" t="str">
        <f>IF(C916&lt;&gt;"", IF('THE BOARD'!U675 = "NESTED","",'THE BOARD'!D669 + IF(C916&lt;&gt;"", 0.72,0)),"")</f>
        <v/>
      </c>
      <c r="E916" s="68">
        <f>'THE BOARD'!E669</f>
        <v>0</v>
      </c>
      <c r="F916" s="68">
        <f>'THE BOARD'!F669</f>
        <v>0</v>
      </c>
      <c r="G916" s="68">
        <f>'THE BOARD'!G669</f>
        <v>0</v>
      </c>
      <c r="H916" s="68">
        <f>'THE BOARD'!H669</f>
        <v>0</v>
      </c>
      <c r="I916" s="68">
        <f>'THE BOARD'!I669</f>
        <v>0</v>
      </c>
      <c r="J916" s="68">
        <f>'THE BOARD'!Q676</f>
        <v>0</v>
      </c>
      <c r="K916" s="99">
        <f>'THE BOARD'!U675</f>
        <v>0</v>
      </c>
    </row>
    <row r="917" spans="1:11" ht="12.75" x14ac:dyDescent="0.2">
      <c r="A917" s="68">
        <f>'THE BOARD'!A670</f>
        <v>0</v>
      </c>
      <c r="B917" s="68">
        <f>'THE BOARD'!B670</f>
        <v>0</v>
      </c>
      <c r="C917" s="99" t="str">
        <f>IF('THE BOARD'!U676 = "NESTED","",IF('THE BOARD'!D670&lt;&gt;"",'THE BOARD'!D670+0.72,""))</f>
        <v/>
      </c>
      <c r="D917" s="99" t="str">
        <f>IF(C917&lt;&gt;"", IF('THE BOARD'!U676 = "NESTED","",'THE BOARD'!D670 + IF(C917&lt;&gt;"", 0.72,0)),"")</f>
        <v/>
      </c>
      <c r="E917" s="68">
        <f>'THE BOARD'!E670</f>
        <v>0</v>
      </c>
      <c r="F917" s="68">
        <f>'THE BOARD'!F670</f>
        <v>0</v>
      </c>
      <c r="G917" s="68">
        <f>'THE BOARD'!G670</f>
        <v>0</v>
      </c>
      <c r="H917" s="68">
        <f>'THE BOARD'!H670</f>
        <v>0</v>
      </c>
      <c r="I917" s="68">
        <f>'THE BOARD'!I670</f>
        <v>0</v>
      </c>
      <c r="J917" s="68">
        <f>'THE BOARD'!Q677</f>
        <v>0</v>
      </c>
      <c r="K917" s="99">
        <f>'THE BOARD'!U676</f>
        <v>0</v>
      </c>
    </row>
    <row r="918" spans="1:11" ht="12.75" x14ac:dyDescent="0.2">
      <c r="A918" s="68">
        <f>'THE BOARD'!A671</f>
        <v>0</v>
      </c>
      <c r="B918" s="68">
        <f>'THE BOARD'!B671</f>
        <v>0</v>
      </c>
      <c r="C918" s="99" t="str">
        <f>IF('THE BOARD'!U677 = "NESTED","",IF('THE BOARD'!D671&lt;&gt;"",'THE BOARD'!D671+0.72,""))</f>
        <v/>
      </c>
      <c r="D918" s="99" t="str">
        <f>IF(C918&lt;&gt;"", IF('THE BOARD'!U677 = "NESTED","",'THE BOARD'!D671 + IF(C918&lt;&gt;"", 0.72,0)),"")</f>
        <v/>
      </c>
      <c r="E918" s="68">
        <f>'THE BOARD'!E671</f>
        <v>0</v>
      </c>
      <c r="F918" s="68">
        <f>'THE BOARD'!F671</f>
        <v>0</v>
      </c>
      <c r="G918" s="68">
        <f>'THE BOARD'!G671</f>
        <v>0</v>
      </c>
      <c r="H918" s="68">
        <f>'THE BOARD'!H671</f>
        <v>0</v>
      </c>
      <c r="I918" s="68">
        <f>'THE BOARD'!I671</f>
        <v>0</v>
      </c>
      <c r="J918" s="68">
        <f>'THE BOARD'!Q678</f>
        <v>0</v>
      </c>
      <c r="K918" s="99">
        <f>'THE BOARD'!U677</f>
        <v>0</v>
      </c>
    </row>
    <row r="919" spans="1:11" ht="12.75" x14ac:dyDescent="0.2">
      <c r="A919" s="68">
        <f>'THE BOARD'!A672</f>
        <v>0</v>
      </c>
      <c r="B919" s="68">
        <f>'THE BOARD'!B672</f>
        <v>0</v>
      </c>
      <c r="C919" s="99" t="str">
        <f>IF('THE BOARD'!U678 = "NESTED","",IF('THE BOARD'!D672&lt;&gt;"",'THE BOARD'!D672+0.72,""))</f>
        <v/>
      </c>
      <c r="D919" s="99" t="str">
        <f>IF(C919&lt;&gt;"", IF('THE BOARD'!U678 = "NESTED","",'THE BOARD'!D672 + IF(C919&lt;&gt;"", 0.72,0)),"")</f>
        <v/>
      </c>
      <c r="E919" s="68">
        <f>'THE BOARD'!E672</f>
        <v>0</v>
      </c>
      <c r="F919" s="68">
        <f>'THE BOARD'!F672</f>
        <v>0</v>
      </c>
      <c r="G919" s="68">
        <f>'THE BOARD'!G672</f>
        <v>0</v>
      </c>
      <c r="H919" s="68">
        <f>'THE BOARD'!H672</f>
        <v>0</v>
      </c>
      <c r="I919" s="68">
        <f>'THE BOARD'!I672</f>
        <v>0</v>
      </c>
      <c r="J919" s="68">
        <f>'THE BOARD'!Q679</f>
        <v>0</v>
      </c>
      <c r="K919" s="99">
        <f>'THE BOARD'!U678</f>
        <v>0</v>
      </c>
    </row>
    <row r="920" spans="1:11" ht="12.75" x14ac:dyDescent="0.2">
      <c r="A920" s="68">
        <f>'THE BOARD'!A673</f>
        <v>0</v>
      </c>
      <c r="B920" s="68">
        <f>'THE BOARD'!B673</f>
        <v>0</v>
      </c>
      <c r="C920" s="99" t="str">
        <f>IF('THE BOARD'!U679 = "NESTED","",IF('THE BOARD'!D673&lt;&gt;"",'THE BOARD'!D673+0.72,""))</f>
        <v/>
      </c>
      <c r="D920" s="99" t="str">
        <f>IF(C920&lt;&gt;"", IF('THE BOARD'!U679 = "NESTED","",'THE BOARD'!D673 + IF(C920&lt;&gt;"", 0.72,0)),"")</f>
        <v/>
      </c>
      <c r="E920" s="68">
        <f>'THE BOARD'!E673</f>
        <v>0</v>
      </c>
      <c r="F920" s="68">
        <f>'THE BOARD'!F673</f>
        <v>0</v>
      </c>
      <c r="G920" s="68">
        <f>'THE BOARD'!G673</f>
        <v>0</v>
      </c>
      <c r="H920" s="68">
        <f>'THE BOARD'!H673</f>
        <v>0</v>
      </c>
      <c r="I920" s="68">
        <f>'THE BOARD'!I673</f>
        <v>0</v>
      </c>
      <c r="J920" s="68">
        <f>'THE BOARD'!Q680</f>
        <v>0</v>
      </c>
      <c r="K920" s="99">
        <f>'THE BOARD'!U679</f>
        <v>0</v>
      </c>
    </row>
    <row r="921" spans="1:11" ht="12.75" x14ac:dyDescent="0.2">
      <c r="A921" s="68">
        <f>'THE BOARD'!A674</f>
        <v>0</v>
      </c>
      <c r="B921" s="68">
        <f>'THE BOARD'!B674</f>
        <v>0</v>
      </c>
      <c r="C921" s="99" t="str">
        <f>IF('THE BOARD'!U680 = "NESTED","",IF('THE BOARD'!D674&lt;&gt;"",'THE BOARD'!D674+0.72,""))</f>
        <v/>
      </c>
      <c r="D921" s="99" t="str">
        <f>IF(C921&lt;&gt;"", IF('THE BOARD'!U680 = "NESTED","",'THE BOARD'!D674 + IF(C921&lt;&gt;"", 0.72,0)),"")</f>
        <v/>
      </c>
      <c r="E921" s="68">
        <f>'THE BOARD'!E674</f>
        <v>0</v>
      </c>
      <c r="F921" s="68">
        <f>'THE BOARD'!F674</f>
        <v>0</v>
      </c>
      <c r="G921" s="68">
        <f>'THE BOARD'!G674</f>
        <v>0</v>
      </c>
      <c r="H921" s="68">
        <f>'THE BOARD'!H674</f>
        <v>0</v>
      </c>
      <c r="I921" s="68">
        <f>'THE BOARD'!I674</f>
        <v>0</v>
      </c>
      <c r="J921" s="68">
        <f>'THE BOARD'!Q681</f>
        <v>0</v>
      </c>
      <c r="K921" s="99">
        <f>'THE BOARD'!U680</f>
        <v>0</v>
      </c>
    </row>
    <row r="922" spans="1:11" ht="12.75" x14ac:dyDescent="0.2">
      <c r="A922" s="68">
        <f>'THE BOARD'!A675</f>
        <v>0</v>
      </c>
      <c r="B922" s="68">
        <f>'THE BOARD'!B675</f>
        <v>0</v>
      </c>
      <c r="C922" s="99" t="str">
        <f>IF('THE BOARD'!U681 = "NESTED","",IF('THE BOARD'!D675&lt;&gt;"",'THE BOARD'!D675+0.72,""))</f>
        <v/>
      </c>
      <c r="D922" s="99" t="str">
        <f>IF(C922&lt;&gt;"", IF('THE BOARD'!U681 = "NESTED","",'THE BOARD'!D675 + IF(C922&lt;&gt;"", 0.72,0)),"")</f>
        <v/>
      </c>
      <c r="E922" s="68">
        <f>'THE BOARD'!E675</f>
        <v>0</v>
      </c>
      <c r="F922" s="68">
        <f>'THE BOARD'!F675</f>
        <v>0</v>
      </c>
      <c r="G922" s="68">
        <f>'THE BOARD'!G675</f>
        <v>0</v>
      </c>
      <c r="H922" s="68">
        <f>'THE BOARD'!H675</f>
        <v>0</v>
      </c>
      <c r="I922" s="68">
        <f>'THE BOARD'!I675</f>
        <v>0</v>
      </c>
      <c r="J922" s="68">
        <f>'THE BOARD'!Q682</f>
        <v>0</v>
      </c>
      <c r="K922" s="99">
        <f>'THE BOARD'!U681</f>
        <v>0</v>
      </c>
    </row>
    <row r="923" spans="1:11" ht="12.75" x14ac:dyDescent="0.2">
      <c r="A923" s="68">
        <f>'THE BOARD'!A676</f>
        <v>0</v>
      </c>
      <c r="B923" s="68">
        <f>'THE BOARD'!B676</f>
        <v>0</v>
      </c>
      <c r="C923" s="99" t="str">
        <f>IF('THE BOARD'!U682 = "NESTED","",IF('THE BOARD'!D676&lt;&gt;"",'THE BOARD'!D676+0.72,""))</f>
        <v/>
      </c>
      <c r="D923" s="99" t="str">
        <f>IF(C923&lt;&gt;"", IF('THE BOARD'!U682 = "NESTED","",'THE BOARD'!D676 + IF(C923&lt;&gt;"", 0.72,0)),"")</f>
        <v/>
      </c>
      <c r="E923" s="68">
        <f>'THE BOARD'!E676</f>
        <v>0</v>
      </c>
      <c r="F923" s="68">
        <f>'THE BOARD'!F676</f>
        <v>0</v>
      </c>
      <c r="G923" s="68">
        <f>'THE BOARD'!G676</f>
        <v>0</v>
      </c>
      <c r="H923" s="68">
        <f>'THE BOARD'!H676</f>
        <v>0</v>
      </c>
      <c r="I923" s="68">
        <f>'THE BOARD'!I676</f>
        <v>0</v>
      </c>
      <c r="J923" s="68">
        <f>'THE BOARD'!Q683</f>
        <v>0</v>
      </c>
      <c r="K923" s="99">
        <f>'THE BOARD'!U682</f>
        <v>0</v>
      </c>
    </row>
    <row r="924" spans="1:11" ht="12.75" x14ac:dyDescent="0.2">
      <c r="A924" s="68">
        <f>'THE BOARD'!A677</f>
        <v>0</v>
      </c>
      <c r="B924" s="68">
        <f>'THE BOARD'!B677</f>
        <v>0</v>
      </c>
      <c r="C924" s="99" t="str">
        <f>IF('THE BOARD'!U683 = "NESTED","",IF('THE BOARD'!D677&lt;&gt;"",'THE BOARD'!D677+0.72,""))</f>
        <v/>
      </c>
      <c r="D924" s="99" t="str">
        <f>IF(C924&lt;&gt;"", IF('THE BOARD'!U683 = "NESTED","",'THE BOARD'!D677 + IF(C924&lt;&gt;"", 0.72,0)),"")</f>
        <v/>
      </c>
      <c r="E924" s="68">
        <f>'THE BOARD'!E677</f>
        <v>0</v>
      </c>
      <c r="F924" s="68">
        <f>'THE BOARD'!F677</f>
        <v>0</v>
      </c>
      <c r="G924" s="68">
        <f>'THE BOARD'!G677</f>
        <v>0</v>
      </c>
      <c r="H924" s="68">
        <f>'THE BOARD'!H677</f>
        <v>0</v>
      </c>
      <c r="I924" s="68">
        <f>'THE BOARD'!I677</f>
        <v>0</v>
      </c>
      <c r="J924" s="68">
        <f>'THE BOARD'!Q684</f>
        <v>0</v>
      </c>
      <c r="K924" s="99">
        <f>'THE BOARD'!U683</f>
        <v>0</v>
      </c>
    </row>
    <row r="925" spans="1:11" ht="12.75" x14ac:dyDescent="0.2">
      <c r="A925" s="68">
        <f>'THE BOARD'!A678</f>
        <v>0</v>
      </c>
      <c r="B925" s="68">
        <f>'THE BOARD'!B678</f>
        <v>0</v>
      </c>
      <c r="C925" s="99" t="str">
        <f>IF('THE BOARD'!U684 = "NESTED","",IF('THE BOARD'!D678&lt;&gt;"",'THE BOARD'!D678+0.72,""))</f>
        <v/>
      </c>
      <c r="D925" s="99" t="str">
        <f>IF(C925&lt;&gt;"", IF('THE BOARD'!U684 = "NESTED","",'THE BOARD'!D678 + IF(C925&lt;&gt;"", 0.72,0)),"")</f>
        <v/>
      </c>
      <c r="E925" s="68">
        <f>'THE BOARD'!E678</f>
        <v>0</v>
      </c>
      <c r="F925" s="68">
        <f>'THE BOARD'!F678</f>
        <v>0</v>
      </c>
      <c r="G925" s="68">
        <f>'THE BOARD'!G678</f>
        <v>0</v>
      </c>
      <c r="H925" s="68">
        <f>'THE BOARD'!H678</f>
        <v>0</v>
      </c>
      <c r="I925" s="68">
        <f>'THE BOARD'!I678</f>
        <v>0</v>
      </c>
      <c r="J925" s="68">
        <f>'THE BOARD'!Q685</f>
        <v>0</v>
      </c>
      <c r="K925" s="99">
        <f>'THE BOARD'!U684</f>
        <v>0</v>
      </c>
    </row>
    <row r="926" spans="1:11" ht="12.75" x14ac:dyDescent="0.2">
      <c r="A926" s="68">
        <f>'THE BOARD'!A679</f>
        <v>0</v>
      </c>
      <c r="B926" s="68">
        <f>'THE BOARD'!B679</f>
        <v>0</v>
      </c>
      <c r="C926" s="99" t="str">
        <f>IF('THE BOARD'!U685 = "NESTED","",IF('THE BOARD'!D679&lt;&gt;"",'THE BOARD'!D679+0.72,""))</f>
        <v/>
      </c>
      <c r="D926" s="99" t="str">
        <f>IF(C926&lt;&gt;"", IF('THE BOARD'!U685 = "NESTED","",'THE BOARD'!D679 + IF(C926&lt;&gt;"", 0.72,0)),"")</f>
        <v/>
      </c>
      <c r="E926" s="68">
        <f>'THE BOARD'!E679</f>
        <v>0</v>
      </c>
      <c r="F926" s="68">
        <f>'THE BOARD'!F679</f>
        <v>0</v>
      </c>
      <c r="G926" s="68">
        <f>'THE BOARD'!G679</f>
        <v>0</v>
      </c>
      <c r="H926" s="68">
        <f>'THE BOARD'!H679</f>
        <v>0</v>
      </c>
      <c r="I926" s="68">
        <f>'THE BOARD'!I679</f>
        <v>0</v>
      </c>
      <c r="J926" s="68">
        <f>'THE BOARD'!Q686</f>
        <v>0</v>
      </c>
      <c r="K926" s="99">
        <f>'THE BOARD'!U685</f>
        <v>0</v>
      </c>
    </row>
    <row r="927" spans="1:11" ht="12.75" x14ac:dyDescent="0.2">
      <c r="A927" s="68">
        <f>'THE BOARD'!A680</f>
        <v>0</v>
      </c>
      <c r="B927" s="68">
        <f>'THE BOARD'!B680</f>
        <v>0</v>
      </c>
      <c r="C927" s="99" t="str">
        <f>IF('THE BOARD'!U686 = "NESTED","",IF('THE BOARD'!D680&lt;&gt;"",'THE BOARD'!D680+0.72,""))</f>
        <v/>
      </c>
      <c r="D927" s="99" t="str">
        <f>IF(C927&lt;&gt;"", IF('THE BOARD'!U686 = "NESTED","",'THE BOARD'!D680 + IF(C927&lt;&gt;"", 0.72,0)),"")</f>
        <v/>
      </c>
      <c r="E927" s="68">
        <f>'THE BOARD'!E680</f>
        <v>0</v>
      </c>
      <c r="F927" s="68">
        <f>'THE BOARD'!F680</f>
        <v>0</v>
      </c>
      <c r="G927" s="68">
        <f>'THE BOARD'!G680</f>
        <v>0</v>
      </c>
      <c r="H927" s="68">
        <f>'THE BOARD'!H680</f>
        <v>0</v>
      </c>
      <c r="I927" s="68">
        <f>'THE BOARD'!I680</f>
        <v>0</v>
      </c>
      <c r="J927" s="68">
        <f>'THE BOARD'!Q687</f>
        <v>0</v>
      </c>
      <c r="K927" s="99">
        <f>'THE BOARD'!U686</f>
        <v>0</v>
      </c>
    </row>
    <row r="928" spans="1:11" ht="12.75" x14ac:dyDescent="0.2">
      <c r="A928" s="68">
        <f>'THE BOARD'!A681</f>
        <v>0</v>
      </c>
      <c r="B928" s="68">
        <f>'THE BOARD'!B681</f>
        <v>0</v>
      </c>
      <c r="C928" s="99" t="str">
        <f>IF('THE BOARD'!U687 = "NESTED","",IF('THE BOARD'!D681&lt;&gt;"",'THE BOARD'!D681+0.72,""))</f>
        <v/>
      </c>
      <c r="D928" s="99" t="str">
        <f>IF(C928&lt;&gt;"", IF('THE BOARD'!U687 = "NESTED","",'THE BOARD'!D681 + IF(C928&lt;&gt;"", 0.72,0)),"")</f>
        <v/>
      </c>
      <c r="E928" s="68">
        <f>'THE BOARD'!E681</f>
        <v>0</v>
      </c>
      <c r="F928" s="68">
        <f>'THE BOARD'!F681</f>
        <v>0</v>
      </c>
      <c r="G928" s="68">
        <f>'THE BOARD'!G681</f>
        <v>0</v>
      </c>
      <c r="H928" s="68">
        <f>'THE BOARD'!H681</f>
        <v>0</v>
      </c>
      <c r="I928" s="68">
        <f>'THE BOARD'!I681</f>
        <v>0</v>
      </c>
      <c r="J928" s="68">
        <f>'THE BOARD'!Q688</f>
        <v>0</v>
      </c>
      <c r="K928" s="99">
        <f>'THE BOARD'!U687</f>
        <v>0</v>
      </c>
    </row>
    <row r="929" spans="1:11" ht="12.75" x14ac:dyDescent="0.2">
      <c r="A929" s="68">
        <f>'THE BOARD'!A682</f>
        <v>0</v>
      </c>
      <c r="B929" s="68">
        <f>'THE BOARD'!B682</f>
        <v>0</v>
      </c>
      <c r="C929" s="99" t="str">
        <f>IF('THE BOARD'!U688 = "NESTED","",IF('THE BOARD'!D682&lt;&gt;"",'THE BOARD'!D682+0.72,""))</f>
        <v/>
      </c>
      <c r="D929" s="99" t="str">
        <f>IF(C929&lt;&gt;"", IF('THE BOARD'!U688 = "NESTED","",'THE BOARD'!D682 + IF(C929&lt;&gt;"", 0.72,0)),"")</f>
        <v/>
      </c>
      <c r="E929" s="68">
        <f>'THE BOARD'!E682</f>
        <v>0</v>
      </c>
      <c r="F929" s="68">
        <f>'THE BOARD'!F682</f>
        <v>0</v>
      </c>
      <c r="G929" s="68">
        <f>'THE BOARD'!G682</f>
        <v>0</v>
      </c>
      <c r="H929" s="68">
        <f>'THE BOARD'!H682</f>
        <v>0</v>
      </c>
      <c r="I929" s="68">
        <f>'THE BOARD'!I682</f>
        <v>0</v>
      </c>
      <c r="J929" s="68">
        <f>'THE BOARD'!Q689</f>
        <v>0</v>
      </c>
      <c r="K929" s="99">
        <f>'THE BOARD'!U688</f>
        <v>0</v>
      </c>
    </row>
    <row r="930" spans="1:11" ht="12.75" x14ac:dyDescent="0.2">
      <c r="A930" s="68">
        <f>'THE BOARD'!A683</f>
        <v>0</v>
      </c>
      <c r="B930" s="68">
        <f>'THE BOARD'!B683</f>
        <v>0</v>
      </c>
      <c r="C930" s="99" t="str">
        <f>IF('THE BOARD'!U689 = "NESTED","",IF('THE BOARD'!D683&lt;&gt;"",'THE BOARD'!D683+0.72,""))</f>
        <v/>
      </c>
      <c r="D930" s="99" t="str">
        <f>IF(C930&lt;&gt;"", IF('THE BOARD'!U689 = "NESTED","",'THE BOARD'!D683 + IF(C930&lt;&gt;"", 0.72,0)),"")</f>
        <v/>
      </c>
      <c r="E930" s="68">
        <f>'THE BOARD'!E683</f>
        <v>0</v>
      </c>
      <c r="F930" s="68">
        <f>'THE BOARD'!F683</f>
        <v>0</v>
      </c>
      <c r="G930" s="68">
        <f>'THE BOARD'!G683</f>
        <v>0</v>
      </c>
      <c r="H930" s="68">
        <f>'THE BOARD'!H683</f>
        <v>0</v>
      </c>
      <c r="I930" s="68">
        <f>'THE BOARD'!I683</f>
        <v>0</v>
      </c>
      <c r="J930" s="68">
        <f>'THE BOARD'!Q690</f>
        <v>0</v>
      </c>
      <c r="K930" s="99">
        <f>'THE BOARD'!U689</f>
        <v>0</v>
      </c>
    </row>
    <row r="931" spans="1:11" ht="12.75" x14ac:dyDescent="0.2">
      <c r="A931" s="68">
        <f>'THE BOARD'!A684</f>
        <v>0</v>
      </c>
      <c r="B931" s="68">
        <f>'THE BOARD'!B684</f>
        <v>0</v>
      </c>
      <c r="C931" s="99" t="str">
        <f>IF('THE BOARD'!U690 = "NESTED","",IF('THE BOARD'!D684&lt;&gt;"",'THE BOARD'!D684+0.72,""))</f>
        <v/>
      </c>
      <c r="D931" s="99" t="str">
        <f>IF(C931&lt;&gt;"", IF('THE BOARD'!U690 = "NESTED","",'THE BOARD'!D684 + IF(C931&lt;&gt;"", 0.72,0)),"")</f>
        <v/>
      </c>
      <c r="E931" s="68">
        <f>'THE BOARD'!E684</f>
        <v>0</v>
      </c>
      <c r="F931" s="68">
        <f>'THE BOARD'!F684</f>
        <v>0</v>
      </c>
      <c r="G931" s="68">
        <f>'THE BOARD'!G684</f>
        <v>0</v>
      </c>
      <c r="H931" s="68">
        <f>'THE BOARD'!H684</f>
        <v>0</v>
      </c>
      <c r="I931" s="68">
        <f>'THE BOARD'!I684</f>
        <v>0</v>
      </c>
      <c r="J931" s="68">
        <f>'THE BOARD'!Q691</f>
        <v>0</v>
      </c>
      <c r="K931" s="99">
        <f>'THE BOARD'!U690</f>
        <v>0</v>
      </c>
    </row>
    <row r="932" spans="1:11" ht="12.75" x14ac:dyDescent="0.2">
      <c r="A932" s="68">
        <f>'THE BOARD'!A685</f>
        <v>0</v>
      </c>
      <c r="B932" s="68">
        <f>'THE BOARD'!B685</f>
        <v>0</v>
      </c>
      <c r="C932" s="99" t="str">
        <f>IF('THE BOARD'!U691 = "NESTED","",IF('THE BOARD'!D685&lt;&gt;"",'THE BOARD'!D685+0.72,""))</f>
        <v/>
      </c>
      <c r="D932" s="99" t="str">
        <f>IF(C932&lt;&gt;"", IF('THE BOARD'!U691 = "NESTED","",'THE BOARD'!D685 + IF(C932&lt;&gt;"", 0.72,0)),"")</f>
        <v/>
      </c>
      <c r="E932" s="68">
        <f>'THE BOARD'!E685</f>
        <v>0</v>
      </c>
      <c r="F932" s="68">
        <f>'THE BOARD'!F685</f>
        <v>0</v>
      </c>
      <c r="G932" s="68">
        <f>'THE BOARD'!G685</f>
        <v>0</v>
      </c>
      <c r="H932" s="68">
        <f>'THE BOARD'!H685</f>
        <v>0</v>
      </c>
      <c r="I932" s="68">
        <f>'THE BOARD'!I685</f>
        <v>0</v>
      </c>
      <c r="J932" s="68">
        <f>'THE BOARD'!Q692</f>
        <v>0</v>
      </c>
      <c r="K932" s="99">
        <f>'THE BOARD'!U691</f>
        <v>0</v>
      </c>
    </row>
    <row r="933" spans="1:11" ht="12.75" x14ac:dyDescent="0.2">
      <c r="A933" s="68">
        <f>'THE BOARD'!A686</f>
        <v>0</v>
      </c>
      <c r="B933" s="68">
        <f>'THE BOARD'!B686</f>
        <v>0</v>
      </c>
      <c r="C933" s="99" t="str">
        <f>IF('THE BOARD'!U692 = "NESTED","",IF('THE BOARD'!D686&lt;&gt;"",'THE BOARD'!D686+0.72,""))</f>
        <v/>
      </c>
      <c r="D933" s="99" t="str">
        <f>IF(C933&lt;&gt;"", IF('THE BOARD'!U692 = "NESTED","",'THE BOARD'!D686 + IF(C933&lt;&gt;"", 0.72,0)),"")</f>
        <v/>
      </c>
      <c r="E933" s="68">
        <f>'THE BOARD'!E686</f>
        <v>0</v>
      </c>
      <c r="F933" s="68">
        <f>'THE BOARD'!F686</f>
        <v>0</v>
      </c>
      <c r="G933" s="68">
        <f>'THE BOARD'!G686</f>
        <v>0</v>
      </c>
      <c r="H933" s="68">
        <f>'THE BOARD'!H686</f>
        <v>0</v>
      </c>
      <c r="I933" s="68">
        <f>'THE BOARD'!I686</f>
        <v>0</v>
      </c>
      <c r="J933" s="68">
        <f>'THE BOARD'!Q693</f>
        <v>0</v>
      </c>
      <c r="K933" s="99">
        <f>'THE BOARD'!U692</f>
        <v>0</v>
      </c>
    </row>
    <row r="934" spans="1:11" ht="12.75" x14ac:dyDescent="0.2">
      <c r="A934" s="68">
        <f>'THE BOARD'!A687</f>
        <v>0</v>
      </c>
      <c r="B934" s="68">
        <f>'THE BOARD'!B687</f>
        <v>0</v>
      </c>
      <c r="C934" s="99" t="str">
        <f>IF('THE BOARD'!U693 = "NESTED","",IF('THE BOARD'!D687&lt;&gt;"",'THE BOARD'!D687+0.72,""))</f>
        <v/>
      </c>
      <c r="D934" s="99" t="str">
        <f>IF(C934&lt;&gt;"", IF('THE BOARD'!U693 = "NESTED","",'THE BOARD'!D687 + IF(C934&lt;&gt;"", 0.72,0)),"")</f>
        <v/>
      </c>
      <c r="E934" s="68">
        <f>'THE BOARD'!E687</f>
        <v>0</v>
      </c>
      <c r="F934" s="68">
        <f>'THE BOARD'!F687</f>
        <v>0</v>
      </c>
      <c r="G934" s="68">
        <f>'THE BOARD'!G687</f>
        <v>0</v>
      </c>
      <c r="H934" s="68">
        <f>'THE BOARD'!H687</f>
        <v>0</v>
      </c>
      <c r="I934" s="68">
        <f>'THE BOARD'!I687</f>
        <v>0</v>
      </c>
      <c r="J934" s="68">
        <f>'THE BOARD'!Q694</f>
        <v>0</v>
      </c>
      <c r="K934" s="99">
        <f>'THE BOARD'!U693</f>
        <v>0</v>
      </c>
    </row>
    <row r="935" spans="1:11" ht="12.75" x14ac:dyDescent="0.2">
      <c r="A935" s="68">
        <f>'THE BOARD'!A688</f>
        <v>0</v>
      </c>
      <c r="B935" s="68">
        <f>'THE BOARD'!B688</f>
        <v>0</v>
      </c>
      <c r="C935" s="99" t="str">
        <f>IF('THE BOARD'!U694 = "NESTED","",IF('THE BOARD'!D688&lt;&gt;"",'THE BOARD'!D688+0.72,""))</f>
        <v/>
      </c>
      <c r="D935" s="99" t="str">
        <f>IF(C935&lt;&gt;"", IF('THE BOARD'!U694 = "NESTED","",'THE BOARD'!D688 + IF(C935&lt;&gt;"", 0.72,0)),"")</f>
        <v/>
      </c>
      <c r="E935" s="68">
        <f>'THE BOARD'!E688</f>
        <v>0</v>
      </c>
      <c r="F935" s="68">
        <f>'THE BOARD'!F688</f>
        <v>0</v>
      </c>
      <c r="G935" s="68">
        <f>'THE BOARD'!G688</f>
        <v>0</v>
      </c>
      <c r="H935" s="68">
        <f>'THE BOARD'!H688</f>
        <v>0</v>
      </c>
      <c r="I935" s="68">
        <f>'THE BOARD'!I688</f>
        <v>0</v>
      </c>
      <c r="J935" s="68">
        <f>'THE BOARD'!Q695</f>
        <v>0</v>
      </c>
      <c r="K935" s="99">
        <f>'THE BOARD'!U694</f>
        <v>0</v>
      </c>
    </row>
    <row r="936" spans="1:11" ht="12.75" x14ac:dyDescent="0.2">
      <c r="A936" s="68">
        <f>'THE BOARD'!A689</f>
        <v>0</v>
      </c>
      <c r="B936" s="68">
        <f>'THE BOARD'!B689</f>
        <v>0</v>
      </c>
      <c r="C936" s="99" t="str">
        <f>IF('THE BOARD'!U695 = "NESTED","",IF('THE BOARD'!D689&lt;&gt;"",'THE BOARD'!D689+0.72,""))</f>
        <v/>
      </c>
      <c r="D936" s="99" t="str">
        <f>IF(C936&lt;&gt;"", IF('THE BOARD'!U695 = "NESTED","",'THE BOARD'!D689 + IF(C936&lt;&gt;"", 0.72,0)),"")</f>
        <v/>
      </c>
      <c r="E936" s="68">
        <f>'THE BOARD'!E689</f>
        <v>0</v>
      </c>
      <c r="F936" s="68">
        <f>'THE BOARD'!F689</f>
        <v>0</v>
      </c>
      <c r="G936" s="68">
        <f>'THE BOARD'!G689</f>
        <v>0</v>
      </c>
      <c r="H936" s="68">
        <f>'THE BOARD'!H689</f>
        <v>0</v>
      </c>
      <c r="I936" s="68">
        <f>'THE BOARD'!I689</f>
        <v>0</v>
      </c>
      <c r="J936" s="68">
        <f>'THE BOARD'!Q696</f>
        <v>0</v>
      </c>
      <c r="K936" s="99">
        <f>'THE BOARD'!U695</f>
        <v>0</v>
      </c>
    </row>
    <row r="937" spans="1:11" ht="12.75" x14ac:dyDescent="0.2">
      <c r="A937" s="68">
        <f>'THE BOARD'!A690</f>
        <v>0</v>
      </c>
      <c r="B937" s="68">
        <f>'THE BOARD'!B690</f>
        <v>0</v>
      </c>
      <c r="C937" s="99" t="str">
        <f>IF('THE BOARD'!U696 = "NESTED","",IF('THE BOARD'!D690&lt;&gt;"",'THE BOARD'!D690+0.72,""))</f>
        <v/>
      </c>
      <c r="D937" s="99" t="str">
        <f>IF(C937&lt;&gt;"", IF('THE BOARD'!U696 = "NESTED","",'THE BOARD'!D690 + IF(C937&lt;&gt;"", 0.72,0)),"")</f>
        <v/>
      </c>
      <c r="E937" s="68">
        <f>'THE BOARD'!E690</f>
        <v>0</v>
      </c>
      <c r="F937" s="68">
        <f>'THE BOARD'!F690</f>
        <v>0</v>
      </c>
      <c r="G937" s="68">
        <f>'THE BOARD'!G690</f>
        <v>0</v>
      </c>
      <c r="H937" s="68">
        <f>'THE BOARD'!H690</f>
        <v>0</v>
      </c>
      <c r="I937" s="68">
        <f>'THE BOARD'!I690</f>
        <v>0</v>
      </c>
      <c r="J937" s="68">
        <f>'THE BOARD'!Q697</f>
        <v>0</v>
      </c>
      <c r="K937" s="99">
        <f>'THE BOARD'!U696</f>
        <v>0</v>
      </c>
    </row>
    <row r="938" spans="1:11" ht="12.75" x14ac:dyDescent="0.2">
      <c r="A938" s="68">
        <f>'THE BOARD'!A691</f>
        <v>0</v>
      </c>
      <c r="B938" s="68">
        <f>'THE BOARD'!B691</f>
        <v>0</v>
      </c>
      <c r="C938" s="99" t="str">
        <f>IF('THE BOARD'!U697 = "NESTED","",IF('THE BOARD'!D691&lt;&gt;"",'THE BOARD'!D691+0.72,""))</f>
        <v/>
      </c>
      <c r="D938" s="99" t="str">
        <f>IF(C938&lt;&gt;"", IF('THE BOARD'!U697 = "NESTED","",'THE BOARD'!D691 + IF(C938&lt;&gt;"", 0.72,0)),"")</f>
        <v/>
      </c>
      <c r="E938" s="68">
        <f>'THE BOARD'!E691</f>
        <v>0</v>
      </c>
      <c r="F938" s="68">
        <f>'THE BOARD'!F691</f>
        <v>0</v>
      </c>
      <c r="G938" s="68">
        <f>'THE BOARD'!G691</f>
        <v>0</v>
      </c>
      <c r="H938" s="68">
        <f>'THE BOARD'!H691</f>
        <v>0</v>
      </c>
      <c r="I938" s="68">
        <f>'THE BOARD'!I691</f>
        <v>0</v>
      </c>
      <c r="J938" s="68">
        <f>'THE BOARD'!Q698</f>
        <v>0</v>
      </c>
      <c r="K938" s="99">
        <f>'THE BOARD'!U697</f>
        <v>0</v>
      </c>
    </row>
    <row r="939" spans="1:11" ht="12.75" x14ac:dyDescent="0.2">
      <c r="A939" s="68">
        <f>'THE BOARD'!A692</f>
        <v>0</v>
      </c>
      <c r="B939" s="68">
        <f>'THE BOARD'!B692</f>
        <v>0</v>
      </c>
      <c r="C939" s="99" t="str">
        <f>IF('THE BOARD'!U698 = "NESTED","",IF('THE BOARD'!D692&lt;&gt;"",'THE BOARD'!D692+0.72,""))</f>
        <v/>
      </c>
      <c r="D939" s="99" t="str">
        <f>IF(C939&lt;&gt;"", IF('THE BOARD'!U698 = "NESTED","",'THE BOARD'!D692 + IF(C939&lt;&gt;"", 0.72,0)),"")</f>
        <v/>
      </c>
      <c r="E939" s="68">
        <f>'THE BOARD'!E692</f>
        <v>0</v>
      </c>
      <c r="F939" s="68">
        <f>'THE BOARD'!F692</f>
        <v>0</v>
      </c>
      <c r="G939" s="68">
        <f>'THE BOARD'!G692</f>
        <v>0</v>
      </c>
      <c r="H939" s="68">
        <f>'THE BOARD'!H692</f>
        <v>0</v>
      </c>
      <c r="I939" s="68">
        <f>'THE BOARD'!I692</f>
        <v>0</v>
      </c>
      <c r="J939" s="68">
        <f>'THE BOARD'!Q699</f>
        <v>0</v>
      </c>
      <c r="K939" s="99">
        <f>'THE BOARD'!U698</f>
        <v>0</v>
      </c>
    </row>
    <row r="940" spans="1:11" ht="12.75" x14ac:dyDescent="0.2">
      <c r="A940" s="68">
        <f>'THE BOARD'!A693</f>
        <v>0</v>
      </c>
      <c r="B940" s="68">
        <f>'THE BOARD'!B693</f>
        <v>0</v>
      </c>
      <c r="C940" s="99" t="str">
        <f>IF('THE BOARD'!U699 = "NESTED","",IF('THE BOARD'!D693&lt;&gt;"",'THE BOARD'!D693+0.72,""))</f>
        <v/>
      </c>
      <c r="D940" s="99" t="str">
        <f>IF(C940&lt;&gt;"", IF('THE BOARD'!U699 = "NESTED","",'THE BOARD'!D693 + IF(C940&lt;&gt;"", 0.72,0)),"")</f>
        <v/>
      </c>
      <c r="E940" s="68">
        <f>'THE BOARD'!E693</f>
        <v>0</v>
      </c>
      <c r="F940" s="68">
        <f>'THE BOARD'!F693</f>
        <v>0</v>
      </c>
      <c r="G940" s="68">
        <f>'THE BOARD'!G693</f>
        <v>0</v>
      </c>
      <c r="H940" s="68">
        <f>'THE BOARD'!H693</f>
        <v>0</v>
      </c>
      <c r="I940" s="68">
        <f>'THE BOARD'!I693</f>
        <v>0</v>
      </c>
      <c r="J940" s="68">
        <f>'THE BOARD'!Q700</f>
        <v>0</v>
      </c>
      <c r="K940" s="99">
        <f>'THE BOARD'!U699</f>
        <v>0</v>
      </c>
    </row>
    <row r="941" spans="1:11" ht="12.75" x14ac:dyDescent="0.2">
      <c r="A941" s="68">
        <f>'THE BOARD'!A694</f>
        <v>0</v>
      </c>
      <c r="B941" s="68">
        <f>'THE BOARD'!B694</f>
        <v>0</v>
      </c>
      <c r="C941" s="99" t="str">
        <f>IF('THE BOARD'!U700 = "NESTED","",IF('THE BOARD'!D694&lt;&gt;"",'THE BOARD'!D694+0.72,""))</f>
        <v/>
      </c>
      <c r="D941" s="99" t="str">
        <f>IF(C941&lt;&gt;"", IF('THE BOARD'!U700 = "NESTED","",'THE BOARD'!D694 + IF(C941&lt;&gt;"", 0.72,0)),"")</f>
        <v/>
      </c>
      <c r="E941" s="68">
        <f>'THE BOARD'!E694</f>
        <v>0</v>
      </c>
      <c r="F941" s="68">
        <f>'THE BOARD'!F694</f>
        <v>0</v>
      </c>
      <c r="G941" s="68">
        <f>'THE BOARD'!G694</f>
        <v>0</v>
      </c>
      <c r="H941" s="68">
        <f>'THE BOARD'!H694</f>
        <v>0</v>
      </c>
      <c r="I941" s="68">
        <f>'THE BOARD'!I694</f>
        <v>0</v>
      </c>
      <c r="J941" s="68">
        <f>'THE BOARD'!Q701</f>
        <v>0</v>
      </c>
      <c r="K941" s="99">
        <f>'THE BOARD'!U700</f>
        <v>0</v>
      </c>
    </row>
    <row r="942" spans="1:11" ht="12.75" x14ac:dyDescent="0.2">
      <c r="A942" s="68">
        <f>'THE BOARD'!A695</f>
        <v>0</v>
      </c>
      <c r="B942" s="68">
        <f>'THE BOARD'!B695</f>
        <v>0</v>
      </c>
      <c r="C942" s="99" t="str">
        <f>IF('THE BOARD'!U701 = "NESTED","",IF('THE BOARD'!D695&lt;&gt;"",'THE BOARD'!D695+0.72,""))</f>
        <v/>
      </c>
      <c r="D942" s="99" t="str">
        <f>IF(C942&lt;&gt;"", IF('THE BOARD'!U701 = "NESTED","",'THE BOARD'!D695 + IF(C942&lt;&gt;"", 0.72,0)),"")</f>
        <v/>
      </c>
      <c r="E942" s="68">
        <f>'THE BOARD'!E695</f>
        <v>0</v>
      </c>
      <c r="F942" s="68">
        <f>'THE BOARD'!F695</f>
        <v>0</v>
      </c>
      <c r="G942" s="68">
        <f>'THE BOARD'!G695</f>
        <v>0</v>
      </c>
      <c r="H942" s="68">
        <f>'THE BOARD'!H695</f>
        <v>0</v>
      </c>
      <c r="I942" s="68">
        <f>'THE BOARD'!I695</f>
        <v>0</v>
      </c>
      <c r="J942" s="68">
        <f>'THE BOARD'!Q702</f>
        <v>0</v>
      </c>
      <c r="K942" s="99">
        <f>'THE BOARD'!U701</f>
        <v>0</v>
      </c>
    </row>
    <row r="943" spans="1:11" ht="12.75" x14ac:dyDescent="0.2">
      <c r="A943" s="68">
        <f>'THE BOARD'!A696</f>
        <v>0</v>
      </c>
      <c r="B943" s="68">
        <f>'THE BOARD'!B696</f>
        <v>0</v>
      </c>
      <c r="C943" s="99" t="str">
        <f>IF('THE BOARD'!U702 = "NESTED","",IF('THE BOARD'!D696&lt;&gt;"",'THE BOARD'!D696+0.72,""))</f>
        <v/>
      </c>
      <c r="D943" s="99" t="str">
        <f>IF(C943&lt;&gt;"", IF('THE BOARD'!U702 = "NESTED","",'THE BOARD'!D696 + IF(C943&lt;&gt;"", 0.72,0)),"")</f>
        <v/>
      </c>
      <c r="E943" s="68">
        <f>'THE BOARD'!E696</f>
        <v>0</v>
      </c>
      <c r="F943" s="68">
        <f>'THE BOARD'!F696</f>
        <v>0</v>
      </c>
      <c r="G943" s="68">
        <f>'THE BOARD'!G696</f>
        <v>0</v>
      </c>
      <c r="H943" s="68">
        <f>'THE BOARD'!H696</f>
        <v>0</v>
      </c>
      <c r="I943" s="68">
        <f>'THE BOARD'!I696</f>
        <v>0</v>
      </c>
      <c r="J943" s="68">
        <f>'THE BOARD'!Q703</f>
        <v>0</v>
      </c>
      <c r="K943" s="99">
        <f>'THE BOARD'!U702</f>
        <v>0</v>
      </c>
    </row>
    <row r="944" spans="1:11" ht="12.75" x14ac:dyDescent="0.2">
      <c r="A944" s="68">
        <f>'THE BOARD'!A697</f>
        <v>0</v>
      </c>
      <c r="B944" s="68">
        <f>'THE BOARD'!B697</f>
        <v>0</v>
      </c>
      <c r="C944" s="99" t="str">
        <f>IF('THE BOARD'!U703 = "NESTED","",IF('THE BOARD'!D697&lt;&gt;"",'THE BOARD'!D697+0.72,""))</f>
        <v/>
      </c>
      <c r="D944" s="99" t="str">
        <f>IF(C944&lt;&gt;"", IF('THE BOARD'!U703 = "NESTED","",'THE BOARD'!D697 + IF(C944&lt;&gt;"", 0.72,0)),"")</f>
        <v/>
      </c>
      <c r="E944" s="68">
        <f>'THE BOARD'!E697</f>
        <v>0</v>
      </c>
      <c r="F944" s="68">
        <f>'THE BOARD'!F697</f>
        <v>0</v>
      </c>
      <c r="G944" s="68">
        <f>'THE BOARD'!G697</f>
        <v>0</v>
      </c>
      <c r="H944" s="68">
        <f>'THE BOARD'!H697</f>
        <v>0</v>
      </c>
      <c r="I944" s="68">
        <f>'THE BOARD'!I697</f>
        <v>0</v>
      </c>
      <c r="J944" s="68">
        <f>'THE BOARD'!Q704</f>
        <v>0</v>
      </c>
      <c r="K944" s="99">
        <f>'THE BOARD'!U703</f>
        <v>0</v>
      </c>
    </row>
    <row r="945" spans="1:11" ht="12.75" x14ac:dyDescent="0.2">
      <c r="A945" s="68">
        <f>'THE BOARD'!A698</f>
        <v>0</v>
      </c>
      <c r="B945" s="68">
        <f>'THE BOARD'!B698</f>
        <v>0</v>
      </c>
      <c r="C945" s="99" t="str">
        <f>IF('THE BOARD'!U704 = "NESTED","",IF('THE BOARD'!D698&lt;&gt;"",'THE BOARD'!D698+0.72,""))</f>
        <v/>
      </c>
      <c r="D945" s="99" t="str">
        <f>IF(C945&lt;&gt;"", IF('THE BOARD'!U704 = "NESTED","",'THE BOARD'!D698 + IF(C945&lt;&gt;"", 0.72,0)),"")</f>
        <v/>
      </c>
      <c r="E945" s="68">
        <f>'THE BOARD'!E698</f>
        <v>0</v>
      </c>
      <c r="F945" s="68">
        <f>'THE BOARD'!F698</f>
        <v>0</v>
      </c>
      <c r="G945" s="68">
        <f>'THE BOARD'!G698</f>
        <v>0</v>
      </c>
      <c r="H945" s="68">
        <f>'THE BOARD'!H698</f>
        <v>0</v>
      </c>
      <c r="I945" s="68">
        <f>'THE BOARD'!I698</f>
        <v>0</v>
      </c>
      <c r="J945" s="68">
        <f>'THE BOARD'!Q705</f>
        <v>0</v>
      </c>
      <c r="K945" s="99">
        <f>'THE BOARD'!U704</f>
        <v>0</v>
      </c>
    </row>
    <row r="946" spans="1:11" ht="12.75" x14ac:dyDescent="0.2">
      <c r="A946" s="68">
        <f>'THE BOARD'!A699</f>
        <v>0</v>
      </c>
      <c r="B946" s="68">
        <f>'THE BOARD'!B699</f>
        <v>0</v>
      </c>
      <c r="C946" s="99" t="str">
        <f>IF('THE BOARD'!U705 = "NESTED","",IF('THE BOARD'!D699&lt;&gt;"",'THE BOARD'!D699+0.72,""))</f>
        <v/>
      </c>
      <c r="D946" s="99" t="str">
        <f>IF(C946&lt;&gt;"", IF('THE BOARD'!U705 = "NESTED","",'THE BOARD'!D699 + IF(C946&lt;&gt;"", 0.72,0)),"")</f>
        <v/>
      </c>
      <c r="E946" s="68">
        <f>'THE BOARD'!E699</f>
        <v>0</v>
      </c>
      <c r="F946" s="68">
        <f>'THE BOARD'!F699</f>
        <v>0</v>
      </c>
      <c r="G946" s="68">
        <f>'THE BOARD'!G699</f>
        <v>0</v>
      </c>
      <c r="H946" s="68">
        <f>'THE BOARD'!H699</f>
        <v>0</v>
      </c>
      <c r="I946" s="68">
        <f>'THE BOARD'!I699</f>
        <v>0</v>
      </c>
      <c r="J946" s="68">
        <f>'THE BOARD'!Q706</f>
        <v>0</v>
      </c>
      <c r="K946" s="99">
        <f>'THE BOARD'!U705</f>
        <v>0</v>
      </c>
    </row>
    <row r="947" spans="1:11" ht="12.75" x14ac:dyDescent="0.2">
      <c r="A947" s="68">
        <f>'THE BOARD'!A700</f>
        <v>0</v>
      </c>
      <c r="B947" s="68">
        <f>'THE BOARD'!B700</f>
        <v>0</v>
      </c>
      <c r="C947" s="99" t="str">
        <f>IF('THE BOARD'!U706 = "NESTED","",IF('THE BOARD'!D700&lt;&gt;"",'THE BOARD'!D700+0.72,""))</f>
        <v/>
      </c>
      <c r="D947" s="99" t="str">
        <f>IF(C947&lt;&gt;"", IF('THE BOARD'!U706 = "NESTED","",'THE BOARD'!D700 + IF(C947&lt;&gt;"", 0.72,0)),"")</f>
        <v/>
      </c>
      <c r="E947" s="68">
        <f>'THE BOARD'!E700</f>
        <v>0</v>
      </c>
      <c r="F947" s="68">
        <f>'THE BOARD'!F700</f>
        <v>0</v>
      </c>
      <c r="G947" s="68">
        <f>'THE BOARD'!G700</f>
        <v>0</v>
      </c>
      <c r="H947" s="68">
        <f>'THE BOARD'!H700</f>
        <v>0</v>
      </c>
      <c r="I947" s="68">
        <f>'THE BOARD'!I700</f>
        <v>0</v>
      </c>
      <c r="J947" s="68">
        <f>'THE BOARD'!Q707</f>
        <v>0</v>
      </c>
      <c r="K947" s="99">
        <f>'THE BOARD'!U706</f>
        <v>0</v>
      </c>
    </row>
    <row r="948" spans="1:11" ht="12.75" x14ac:dyDescent="0.2">
      <c r="A948" s="68">
        <f>'THE BOARD'!A701</f>
        <v>0</v>
      </c>
      <c r="B948" s="68">
        <f>'THE BOARD'!B701</f>
        <v>0</v>
      </c>
      <c r="C948" s="99" t="str">
        <f>IF('THE BOARD'!U707 = "NESTED","",IF('THE BOARD'!D701&lt;&gt;"",'THE BOARD'!D701+0.72,""))</f>
        <v/>
      </c>
      <c r="D948" s="99" t="str">
        <f>IF(C948&lt;&gt;"", IF('THE BOARD'!U707 = "NESTED","",'THE BOARD'!D701 + IF(C948&lt;&gt;"", 0.72,0)),"")</f>
        <v/>
      </c>
      <c r="E948" s="68">
        <f>'THE BOARD'!E701</f>
        <v>0</v>
      </c>
      <c r="F948" s="68">
        <f>'THE BOARD'!F701</f>
        <v>0</v>
      </c>
      <c r="G948" s="68">
        <f>'THE BOARD'!G701</f>
        <v>0</v>
      </c>
      <c r="H948" s="68">
        <f>'THE BOARD'!H701</f>
        <v>0</v>
      </c>
      <c r="I948" s="68">
        <f>'THE BOARD'!I701</f>
        <v>0</v>
      </c>
      <c r="J948" s="68">
        <f>'THE BOARD'!Q708</f>
        <v>0</v>
      </c>
      <c r="K948" s="99">
        <f>'THE BOARD'!U707</f>
        <v>0</v>
      </c>
    </row>
    <row r="949" spans="1:11" ht="12.75" x14ac:dyDescent="0.2">
      <c r="A949" s="68">
        <f>'THE BOARD'!A702</f>
        <v>0</v>
      </c>
      <c r="B949" s="68">
        <f>'THE BOARD'!B702</f>
        <v>0</v>
      </c>
      <c r="C949" s="99" t="str">
        <f>IF('THE BOARD'!U708 = "NESTED","",IF('THE BOARD'!D702&lt;&gt;"",'THE BOARD'!D702+0.72,""))</f>
        <v/>
      </c>
      <c r="D949" s="99" t="str">
        <f>IF(C949&lt;&gt;"", IF('THE BOARD'!U708 = "NESTED","",'THE BOARD'!D702 + IF(C949&lt;&gt;"", 0.72,0)),"")</f>
        <v/>
      </c>
      <c r="E949" s="68">
        <f>'THE BOARD'!E702</f>
        <v>0</v>
      </c>
      <c r="F949" s="68">
        <f>'THE BOARD'!F702</f>
        <v>0</v>
      </c>
      <c r="G949" s="68">
        <f>'THE BOARD'!G702</f>
        <v>0</v>
      </c>
      <c r="H949" s="68">
        <f>'THE BOARD'!H702</f>
        <v>0</v>
      </c>
      <c r="I949" s="68">
        <f>'THE BOARD'!I702</f>
        <v>0</v>
      </c>
      <c r="J949" s="68">
        <f>'THE BOARD'!Q709</f>
        <v>0</v>
      </c>
      <c r="K949" s="99">
        <f>'THE BOARD'!U708</f>
        <v>0</v>
      </c>
    </row>
    <row r="950" spans="1:11" ht="12.75" x14ac:dyDescent="0.2">
      <c r="A950" s="68">
        <f>'THE BOARD'!A703</f>
        <v>0</v>
      </c>
      <c r="B950" s="68">
        <f>'THE BOARD'!B703</f>
        <v>0</v>
      </c>
      <c r="C950" s="99" t="str">
        <f>IF('THE BOARD'!U709 = "NESTED","",IF('THE BOARD'!D703&lt;&gt;"",'THE BOARD'!D703+0.72,""))</f>
        <v/>
      </c>
      <c r="D950" s="99" t="str">
        <f>IF(C950&lt;&gt;"", IF('THE BOARD'!U709 = "NESTED","",'THE BOARD'!D703 + IF(C950&lt;&gt;"", 0.72,0)),"")</f>
        <v/>
      </c>
      <c r="E950" s="68">
        <f>'THE BOARD'!E703</f>
        <v>0</v>
      </c>
      <c r="F950" s="68">
        <f>'THE BOARD'!F703</f>
        <v>0</v>
      </c>
      <c r="G950" s="68">
        <f>'THE BOARD'!G703</f>
        <v>0</v>
      </c>
      <c r="H950" s="68">
        <f>'THE BOARD'!H703</f>
        <v>0</v>
      </c>
      <c r="I950" s="68">
        <f>'THE BOARD'!I703</f>
        <v>0</v>
      </c>
      <c r="J950" s="68">
        <f>'THE BOARD'!Q710</f>
        <v>0</v>
      </c>
      <c r="K950" s="99">
        <f>'THE BOARD'!U709</f>
        <v>0</v>
      </c>
    </row>
    <row r="951" spans="1:11" ht="12.75" x14ac:dyDescent="0.2">
      <c r="A951" s="68">
        <f>'THE BOARD'!A704</f>
        <v>0</v>
      </c>
      <c r="B951" s="68">
        <f>'THE BOARD'!B704</f>
        <v>0</v>
      </c>
      <c r="C951" s="99" t="str">
        <f>IF('THE BOARD'!U710 = "NESTED","",IF('THE BOARD'!D704&lt;&gt;"",'THE BOARD'!D704+0.72,""))</f>
        <v/>
      </c>
      <c r="D951" s="99" t="str">
        <f>IF(C951&lt;&gt;"", IF('THE BOARD'!U710 = "NESTED","",'THE BOARD'!D704 + IF(C951&lt;&gt;"", 0.72,0)),"")</f>
        <v/>
      </c>
      <c r="E951" s="68">
        <f>'THE BOARD'!E704</f>
        <v>0</v>
      </c>
      <c r="F951" s="68">
        <f>'THE BOARD'!F704</f>
        <v>0</v>
      </c>
      <c r="G951" s="68">
        <f>'THE BOARD'!G704</f>
        <v>0</v>
      </c>
      <c r="H951" s="68">
        <f>'THE BOARD'!H704</f>
        <v>0</v>
      </c>
      <c r="I951" s="68">
        <f>'THE BOARD'!I704</f>
        <v>0</v>
      </c>
      <c r="J951" s="68">
        <f>'THE BOARD'!Q711</f>
        <v>0</v>
      </c>
      <c r="K951" s="99">
        <f>'THE BOARD'!U710</f>
        <v>0</v>
      </c>
    </row>
    <row r="952" spans="1:11" ht="12.75" x14ac:dyDescent="0.2">
      <c r="A952" s="68">
        <f>'THE BOARD'!A705</f>
        <v>0</v>
      </c>
      <c r="B952" s="68">
        <f>'THE BOARD'!B705</f>
        <v>0</v>
      </c>
      <c r="C952" s="99" t="str">
        <f>IF('THE BOARD'!U711 = "NESTED","",IF('THE BOARD'!D705&lt;&gt;"",'THE BOARD'!D705+0.72,""))</f>
        <v/>
      </c>
      <c r="D952" s="99" t="str">
        <f>IF(C952&lt;&gt;"", IF('THE BOARD'!U711 = "NESTED","",'THE BOARD'!D705 + IF(C952&lt;&gt;"", 0.72,0)),"")</f>
        <v/>
      </c>
      <c r="E952" s="68">
        <f>'THE BOARD'!E705</f>
        <v>0</v>
      </c>
      <c r="F952" s="68">
        <f>'THE BOARD'!F705</f>
        <v>0</v>
      </c>
      <c r="G952" s="68">
        <f>'THE BOARD'!G705</f>
        <v>0</v>
      </c>
      <c r="H952" s="68">
        <f>'THE BOARD'!H705</f>
        <v>0</v>
      </c>
      <c r="I952" s="68">
        <f>'THE BOARD'!I705</f>
        <v>0</v>
      </c>
      <c r="J952" s="68">
        <f>'THE BOARD'!Q712</f>
        <v>0</v>
      </c>
      <c r="K952" s="99">
        <f>'THE BOARD'!U711</f>
        <v>0</v>
      </c>
    </row>
    <row r="953" spans="1:11" ht="12.75" x14ac:dyDescent="0.2">
      <c r="A953" s="68">
        <f>'THE BOARD'!A706</f>
        <v>0</v>
      </c>
      <c r="B953" s="68">
        <f>'THE BOARD'!B706</f>
        <v>0</v>
      </c>
      <c r="C953" s="99" t="str">
        <f>IF('THE BOARD'!U712 = "NESTED","",IF('THE BOARD'!D706&lt;&gt;"",'THE BOARD'!D706+0.72,""))</f>
        <v/>
      </c>
      <c r="D953" s="99" t="str">
        <f>IF(C953&lt;&gt;"", IF('THE BOARD'!U712 = "NESTED","",'THE BOARD'!D706 + IF(C953&lt;&gt;"", 0.72,0)),"")</f>
        <v/>
      </c>
      <c r="E953" s="68">
        <f>'THE BOARD'!E706</f>
        <v>0</v>
      </c>
      <c r="F953" s="68">
        <f>'THE BOARD'!F706</f>
        <v>0</v>
      </c>
      <c r="G953" s="68">
        <f>'THE BOARD'!G706</f>
        <v>0</v>
      </c>
      <c r="H953" s="68">
        <f>'THE BOARD'!H706</f>
        <v>0</v>
      </c>
      <c r="I953" s="68">
        <f>'THE BOARD'!I706</f>
        <v>0</v>
      </c>
      <c r="J953" s="68">
        <f>'THE BOARD'!Q713</f>
        <v>0</v>
      </c>
      <c r="K953" s="99">
        <f>'THE BOARD'!U712</f>
        <v>0</v>
      </c>
    </row>
    <row r="954" spans="1:11" ht="12.75" x14ac:dyDescent="0.2">
      <c r="A954" s="68">
        <f>'THE BOARD'!A707</f>
        <v>0</v>
      </c>
      <c r="B954" s="68">
        <f>'THE BOARD'!B707</f>
        <v>0</v>
      </c>
      <c r="C954" s="99" t="str">
        <f>IF('THE BOARD'!U713 = "NESTED","",IF('THE BOARD'!D707&lt;&gt;"",'THE BOARD'!D707+0.72,""))</f>
        <v/>
      </c>
      <c r="D954" s="99" t="str">
        <f>IF(C954&lt;&gt;"", IF('THE BOARD'!U713 = "NESTED","",'THE BOARD'!D707 + IF(C954&lt;&gt;"", 0.72,0)),"")</f>
        <v/>
      </c>
      <c r="E954" s="68">
        <f>'THE BOARD'!E707</f>
        <v>0</v>
      </c>
      <c r="F954" s="68">
        <f>'THE BOARD'!F707</f>
        <v>0</v>
      </c>
      <c r="G954" s="68">
        <f>'THE BOARD'!G707</f>
        <v>0</v>
      </c>
      <c r="H954" s="68">
        <f>'THE BOARD'!H707</f>
        <v>0</v>
      </c>
      <c r="I954" s="68">
        <f>'THE BOARD'!I707</f>
        <v>0</v>
      </c>
      <c r="J954" s="68">
        <f>'THE BOARD'!Q714</f>
        <v>0</v>
      </c>
      <c r="K954" s="99">
        <f>'THE BOARD'!U713</f>
        <v>0</v>
      </c>
    </row>
    <row r="955" spans="1:11" ht="12.75" x14ac:dyDescent="0.2">
      <c r="A955" s="68">
        <f>'THE BOARD'!A708</f>
        <v>0</v>
      </c>
      <c r="B955" s="68">
        <f>'THE BOARD'!B708</f>
        <v>0</v>
      </c>
      <c r="C955" s="99" t="str">
        <f>IF('THE BOARD'!U714 = "NESTED","",IF('THE BOARD'!D708&lt;&gt;"",'THE BOARD'!D708+0.72,""))</f>
        <v/>
      </c>
      <c r="D955" s="99" t="str">
        <f>IF(C955&lt;&gt;"", IF('THE BOARD'!U714 = "NESTED","",'THE BOARD'!D708 + IF(C955&lt;&gt;"", 0.72,0)),"")</f>
        <v/>
      </c>
      <c r="E955" s="68">
        <f>'THE BOARD'!E708</f>
        <v>0</v>
      </c>
      <c r="F955" s="68">
        <f>'THE BOARD'!F708</f>
        <v>0</v>
      </c>
      <c r="G955" s="68">
        <f>'THE BOARD'!G708</f>
        <v>0</v>
      </c>
      <c r="H955" s="68">
        <f>'THE BOARD'!H708</f>
        <v>0</v>
      </c>
      <c r="I955" s="68">
        <f>'THE BOARD'!I708</f>
        <v>0</v>
      </c>
      <c r="J955" s="68">
        <f>'THE BOARD'!Q715</f>
        <v>0</v>
      </c>
      <c r="K955" s="99">
        <f>'THE BOARD'!U714</f>
        <v>0</v>
      </c>
    </row>
    <row r="956" spans="1:11" ht="12.75" x14ac:dyDescent="0.2">
      <c r="A956" s="68">
        <f>'THE BOARD'!A709</f>
        <v>0</v>
      </c>
      <c r="B956" s="68">
        <f>'THE BOARD'!B709</f>
        <v>0</v>
      </c>
      <c r="C956" s="99" t="str">
        <f>IF('THE BOARD'!U715 = "NESTED","",IF('THE BOARD'!D709&lt;&gt;"",'THE BOARD'!D709+0.72,""))</f>
        <v/>
      </c>
      <c r="D956" s="99" t="str">
        <f>IF(C956&lt;&gt;"", IF('THE BOARD'!U715 = "NESTED","",'THE BOARD'!D709 + IF(C956&lt;&gt;"", 0.72,0)),"")</f>
        <v/>
      </c>
      <c r="E956" s="68">
        <f>'THE BOARD'!E709</f>
        <v>0</v>
      </c>
      <c r="F956" s="68">
        <f>'THE BOARD'!F709</f>
        <v>0</v>
      </c>
      <c r="G956" s="68">
        <f>'THE BOARD'!G709</f>
        <v>0</v>
      </c>
      <c r="H956" s="68">
        <f>'THE BOARD'!H709</f>
        <v>0</v>
      </c>
      <c r="I956" s="68">
        <f>'THE BOARD'!I709</f>
        <v>0</v>
      </c>
      <c r="J956" s="68">
        <f>'THE BOARD'!Q716</f>
        <v>0</v>
      </c>
      <c r="K956" s="99">
        <f>'THE BOARD'!U715</f>
        <v>0</v>
      </c>
    </row>
    <row r="957" spans="1:11" ht="12.75" x14ac:dyDescent="0.2">
      <c r="A957" s="68">
        <f>'THE BOARD'!A710</f>
        <v>0</v>
      </c>
      <c r="B957" s="68">
        <f>'THE BOARD'!B710</f>
        <v>0</v>
      </c>
      <c r="C957" s="99" t="str">
        <f>IF('THE BOARD'!U716 = "NESTED","",IF('THE BOARD'!D710&lt;&gt;"",'THE BOARD'!D710+0.72,""))</f>
        <v/>
      </c>
      <c r="D957" s="99" t="str">
        <f>IF(C957&lt;&gt;"", IF('THE BOARD'!U716 = "NESTED","",'THE BOARD'!D710 + IF(C957&lt;&gt;"", 0.72,0)),"")</f>
        <v/>
      </c>
      <c r="E957" s="68">
        <f>'THE BOARD'!E710</f>
        <v>0</v>
      </c>
      <c r="F957" s="68">
        <f>'THE BOARD'!F710</f>
        <v>0</v>
      </c>
      <c r="G957" s="68">
        <f>'THE BOARD'!G710</f>
        <v>0</v>
      </c>
      <c r="H957" s="68">
        <f>'THE BOARD'!H710</f>
        <v>0</v>
      </c>
      <c r="I957" s="68">
        <f>'THE BOARD'!I710</f>
        <v>0</v>
      </c>
      <c r="J957" s="68">
        <f>'THE BOARD'!Q717</f>
        <v>0</v>
      </c>
      <c r="K957" s="99">
        <f>'THE BOARD'!U716</f>
        <v>0</v>
      </c>
    </row>
    <row r="958" spans="1:11" ht="12.75" x14ac:dyDescent="0.2">
      <c r="A958" s="68">
        <f>'THE BOARD'!A711</f>
        <v>0</v>
      </c>
      <c r="B958" s="68">
        <f>'THE BOARD'!B711</f>
        <v>0</v>
      </c>
      <c r="C958" s="99" t="str">
        <f>IF('THE BOARD'!U717 = "NESTED","",IF('THE BOARD'!D711&lt;&gt;"",'THE BOARD'!D711+0.72,""))</f>
        <v/>
      </c>
      <c r="D958" s="99" t="str">
        <f>IF(C958&lt;&gt;"", IF('THE BOARD'!U717 = "NESTED","",'THE BOARD'!D711 + IF(C958&lt;&gt;"", 0.72,0)),"")</f>
        <v/>
      </c>
      <c r="E958" s="68">
        <f>'THE BOARD'!E711</f>
        <v>0</v>
      </c>
      <c r="F958" s="68">
        <f>'THE BOARD'!F711</f>
        <v>0</v>
      </c>
      <c r="G958" s="68">
        <f>'THE BOARD'!G711</f>
        <v>0</v>
      </c>
      <c r="H958" s="68">
        <f>'THE BOARD'!H711</f>
        <v>0</v>
      </c>
      <c r="I958" s="68">
        <f>'THE BOARD'!I711</f>
        <v>0</v>
      </c>
      <c r="J958" s="68">
        <f>'THE BOARD'!Q718</f>
        <v>0</v>
      </c>
      <c r="K958" s="99">
        <f>'THE BOARD'!U717</f>
        <v>0</v>
      </c>
    </row>
    <row r="959" spans="1:11" ht="12.75" x14ac:dyDescent="0.2">
      <c r="A959" s="68">
        <f>'THE BOARD'!A712</f>
        <v>0</v>
      </c>
      <c r="B959" s="68">
        <f>'THE BOARD'!B712</f>
        <v>0</v>
      </c>
      <c r="C959" s="99" t="str">
        <f>IF('THE BOARD'!U718 = "NESTED","",IF('THE BOARD'!D712&lt;&gt;"",'THE BOARD'!D712+0.72,""))</f>
        <v/>
      </c>
      <c r="D959" s="99" t="str">
        <f>IF(C959&lt;&gt;"", IF('THE BOARD'!U718 = "NESTED","",'THE BOARD'!D712 + IF(C959&lt;&gt;"", 0.72,0)),"")</f>
        <v/>
      </c>
      <c r="E959" s="68">
        <f>'THE BOARD'!E712</f>
        <v>0</v>
      </c>
      <c r="F959" s="68">
        <f>'THE BOARD'!F712</f>
        <v>0</v>
      </c>
      <c r="G959" s="68">
        <f>'THE BOARD'!G712</f>
        <v>0</v>
      </c>
      <c r="H959" s="68">
        <f>'THE BOARD'!H712</f>
        <v>0</v>
      </c>
      <c r="I959" s="68">
        <f>'THE BOARD'!I712</f>
        <v>0</v>
      </c>
      <c r="J959" s="68">
        <f>'THE BOARD'!Q719</f>
        <v>0</v>
      </c>
      <c r="K959" s="99">
        <f>'THE BOARD'!U718</f>
        <v>0</v>
      </c>
    </row>
    <row r="960" spans="1:11" ht="12.75" x14ac:dyDescent="0.2">
      <c r="A960" s="68">
        <f>'THE BOARD'!A713</f>
        <v>0</v>
      </c>
      <c r="B960" s="68">
        <f>'THE BOARD'!B713</f>
        <v>0</v>
      </c>
      <c r="C960" s="99" t="str">
        <f>IF('THE BOARD'!U719 = "NESTED","",IF('THE BOARD'!D713&lt;&gt;"",'THE BOARD'!D713+0.72,""))</f>
        <v/>
      </c>
      <c r="D960" s="99" t="str">
        <f>IF(C960&lt;&gt;"", IF('THE BOARD'!U719 = "NESTED","",'THE BOARD'!D713 + IF(C960&lt;&gt;"", 0.72,0)),"")</f>
        <v/>
      </c>
      <c r="E960" s="68">
        <f>'THE BOARD'!E713</f>
        <v>0</v>
      </c>
      <c r="F960" s="68">
        <f>'THE BOARD'!F713</f>
        <v>0</v>
      </c>
      <c r="G960" s="68">
        <f>'THE BOARD'!G713</f>
        <v>0</v>
      </c>
      <c r="H960" s="68">
        <f>'THE BOARD'!H713</f>
        <v>0</v>
      </c>
      <c r="I960" s="68">
        <f>'THE BOARD'!I713</f>
        <v>0</v>
      </c>
      <c r="J960" s="68">
        <f>'THE BOARD'!Q720</f>
        <v>0</v>
      </c>
      <c r="K960" s="99">
        <f>'THE BOARD'!U719</f>
        <v>0</v>
      </c>
    </row>
    <row r="961" spans="1:11" ht="12.75" x14ac:dyDescent="0.2">
      <c r="A961" s="68">
        <f>'THE BOARD'!A714</f>
        <v>0</v>
      </c>
      <c r="B961" s="68">
        <f>'THE BOARD'!B714</f>
        <v>0</v>
      </c>
      <c r="C961" s="99" t="str">
        <f>IF('THE BOARD'!U720 = "NESTED","",IF('THE BOARD'!D714&lt;&gt;"",'THE BOARD'!D714+0.72,""))</f>
        <v/>
      </c>
      <c r="D961" s="99" t="str">
        <f>IF(C961&lt;&gt;"", IF('THE BOARD'!U720 = "NESTED","",'THE BOARD'!D714 + IF(C961&lt;&gt;"", 0.72,0)),"")</f>
        <v/>
      </c>
      <c r="E961" s="68">
        <f>'THE BOARD'!E714</f>
        <v>0</v>
      </c>
      <c r="F961" s="68">
        <f>'THE BOARD'!F714</f>
        <v>0</v>
      </c>
      <c r="G961" s="68">
        <f>'THE BOARD'!G714</f>
        <v>0</v>
      </c>
      <c r="H961" s="68">
        <f>'THE BOARD'!H714</f>
        <v>0</v>
      </c>
      <c r="I961" s="68">
        <f>'THE BOARD'!I714</f>
        <v>0</v>
      </c>
      <c r="J961" s="68">
        <f>'THE BOARD'!Q721</f>
        <v>0</v>
      </c>
      <c r="K961" s="99">
        <f>'THE BOARD'!U720</f>
        <v>0</v>
      </c>
    </row>
    <row r="962" spans="1:11" ht="12.75" x14ac:dyDescent="0.2">
      <c r="A962" s="68">
        <f>'THE BOARD'!A715</f>
        <v>0</v>
      </c>
      <c r="B962" s="68">
        <f>'THE BOARD'!B715</f>
        <v>0</v>
      </c>
      <c r="C962" s="99" t="str">
        <f>IF('THE BOARD'!U721 = "NESTED","",IF('THE BOARD'!D715&lt;&gt;"",'THE BOARD'!D715+0.72,""))</f>
        <v/>
      </c>
      <c r="D962" s="99" t="str">
        <f>IF(C962&lt;&gt;"", IF('THE BOARD'!U721 = "NESTED","",'THE BOARD'!D715 + IF(C962&lt;&gt;"", 0.72,0)),"")</f>
        <v/>
      </c>
      <c r="E962" s="68">
        <f>'THE BOARD'!E715</f>
        <v>0</v>
      </c>
      <c r="F962" s="68">
        <f>'THE BOARD'!F715</f>
        <v>0</v>
      </c>
      <c r="G962" s="68">
        <f>'THE BOARD'!G715</f>
        <v>0</v>
      </c>
      <c r="H962" s="68">
        <f>'THE BOARD'!H715</f>
        <v>0</v>
      </c>
      <c r="I962" s="68">
        <f>'THE BOARD'!I715</f>
        <v>0</v>
      </c>
      <c r="J962" s="68">
        <f>'THE BOARD'!Q722</f>
        <v>0</v>
      </c>
      <c r="K962" s="99">
        <f>'THE BOARD'!U721</f>
        <v>0</v>
      </c>
    </row>
    <row r="963" spans="1:11" ht="12.75" x14ac:dyDescent="0.2">
      <c r="A963" s="68">
        <f>'THE BOARD'!A716</f>
        <v>0</v>
      </c>
      <c r="B963" s="68">
        <f>'THE BOARD'!B716</f>
        <v>0</v>
      </c>
      <c r="C963" s="99" t="str">
        <f>IF('THE BOARD'!U722 = "NESTED","",IF('THE BOARD'!D716&lt;&gt;"",'THE BOARD'!D716+0.72,""))</f>
        <v/>
      </c>
      <c r="D963" s="99" t="str">
        <f>IF(C963&lt;&gt;"", IF('THE BOARD'!U722 = "NESTED","",'THE BOARD'!D716 + IF(C963&lt;&gt;"", 0.72,0)),"")</f>
        <v/>
      </c>
      <c r="E963" s="68">
        <f>'THE BOARD'!E716</f>
        <v>0</v>
      </c>
      <c r="F963" s="68">
        <f>'THE BOARD'!F716</f>
        <v>0</v>
      </c>
      <c r="G963" s="68">
        <f>'THE BOARD'!G716</f>
        <v>0</v>
      </c>
      <c r="H963" s="68">
        <f>'THE BOARD'!H716</f>
        <v>0</v>
      </c>
      <c r="I963" s="68">
        <f>'THE BOARD'!I716</f>
        <v>0</v>
      </c>
      <c r="J963" s="68">
        <f>'THE BOARD'!Q723</f>
        <v>0</v>
      </c>
      <c r="K963" s="99">
        <f>'THE BOARD'!U722</f>
        <v>0</v>
      </c>
    </row>
    <row r="964" spans="1:11" ht="12.75" x14ac:dyDescent="0.2">
      <c r="A964" s="68">
        <f>'THE BOARD'!A717</f>
        <v>0</v>
      </c>
      <c r="B964" s="68">
        <f>'THE BOARD'!B717</f>
        <v>0</v>
      </c>
      <c r="C964" s="99" t="str">
        <f>IF('THE BOARD'!U723 = "NESTED","",IF('THE BOARD'!D717&lt;&gt;"",'THE BOARD'!D717+0.72,""))</f>
        <v/>
      </c>
      <c r="D964" s="99" t="str">
        <f>IF(C964&lt;&gt;"", IF('THE BOARD'!U723 = "NESTED","",'THE BOARD'!D717 + IF(C964&lt;&gt;"", 0.72,0)),"")</f>
        <v/>
      </c>
      <c r="E964" s="68">
        <f>'THE BOARD'!E717</f>
        <v>0</v>
      </c>
      <c r="F964" s="68">
        <f>'THE BOARD'!F717</f>
        <v>0</v>
      </c>
      <c r="G964" s="68">
        <f>'THE BOARD'!G717</f>
        <v>0</v>
      </c>
      <c r="H964" s="68">
        <f>'THE BOARD'!H717</f>
        <v>0</v>
      </c>
      <c r="I964" s="68">
        <f>'THE BOARD'!I717</f>
        <v>0</v>
      </c>
      <c r="J964" s="68">
        <f>'THE BOARD'!Q724</f>
        <v>0</v>
      </c>
      <c r="K964" s="99">
        <f>'THE BOARD'!U723</f>
        <v>0</v>
      </c>
    </row>
    <row r="965" spans="1:11" ht="12.75" x14ac:dyDescent="0.2">
      <c r="A965" s="68">
        <f>'THE BOARD'!A718</f>
        <v>0</v>
      </c>
      <c r="B965" s="68">
        <f>'THE BOARD'!B718</f>
        <v>0</v>
      </c>
      <c r="C965" s="99" t="str">
        <f>IF('THE BOARD'!U724 = "NESTED","",IF('THE BOARD'!D718&lt;&gt;"",'THE BOARD'!D718+0.72,""))</f>
        <v/>
      </c>
      <c r="D965" s="99" t="str">
        <f>IF(C965&lt;&gt;"", IF('THE BOARD'!U724 = "NESTED","",'THE BOARD'!D718 + IF(C965&lt;&gt;"", 0.72,0)),"")</f>
        <v/>
      </c>
      <c r="E965" s="68">
        <f>'THE BOARD'!E718</f>
        <v>0</v>
      </c>
      <c r="F965" s="68">
        <f>'THE BOARD'!F718</f>
        <v>0</v>
      </c>
      <c r="G965" s="68">
        <f>'THE BOARD'!G718</f>
        <v>0</v>
      </c>
      <c r="H965" s="68">
        <f>'THE BOARD'!H718</f>
        <v>0</v>
      </c>
      <c r="I965" s="68">
        <f>'THE BOARD'!I718</f>
        <v>0</v>
      </c>
      <c r="J965" s="68">
        <f>'THE BOARD'!Q725</f>
        <v>0</v>
      </c>
      <c r="K965" s="99">
        <f>'THE BOARD'!U724</f>
        <v>0</v>
      </c>
    </row>
    <row r="966" spans="1:11" ht="12.75" x14ac:dyDescent="0.2">
      <c r="A966" s="68">
        <f>'THE BOARD'!A719</f>
        <v>0</v>
      </c>
      <c r="B966" s="68">
        <f>'THE BOARD'!B719</f>
        <v>0</v>
      </c>
      <c r="C966" s="99" t="str">
        <f>IF('THE BOARD'!U725 = "NESTED","",IF('THE BOARD'!D719&lt;&gt;"",'THE BOARD'!D719+0.72,""))</f>
        <v/>
      </c>
      <c r="D966" s="99" t="str">
        <f>IF(C966&lt;&gt;"", IF('THE BOARD'!U725 = "NESTED","",'THE BOARD'!D719 + IF(C966&lt;&gt;"", 0.72,0)),"")</f>
        <v/>
      </c>
      <c r="E966" s="68">
        <f>'THE BOARD'!E719</f>
        <v>0</v>
      </c>
      <c r="F966" s="68">
        <f>'THE BOARD'!F719</f>
        <v>0</v>
      </c>
      <c r="G966" s="68">
        <f>'THE BOARD'!G719</f>
        <v>0</v>
      </c>
      <c r="H966" s="68">
        <f>'THE BOARD'!H719</f>
        <v>0</v>
      </c>
      <c r="I966" s="68">
        <f>'THE BOARD'!I719</f>
        <v>0</v>
      </c>
      <c r="J966" s="68">
        <f>'THE BOARD'!Q726</f>
        <v>0</v>
      </c>
      <c r="K966" s="99">
        <f>'THE BOARD'!U725</f>
        <v>0</v>
      </c>
    </row>
    <row r="967" spans="1:11" ht="12.75" x14ac:dyDescent="0.2">
      <c r="A967" s="68">
        <f>'THE BOARD'!A720</f>
        <v>0</v>
      </c>
      <c r="B967" s="68">
        <f>'THE BOARD'!B720</f>
        <v>0</v>
      </c>
      <c r="C967" s="99" t="str">
        <f>IF('THE BOARD'!U726 = "NESTED","",IF('THE BOARD'!D720&lt;&gt;"",'THE BOARD'!D720+0.72,""))</f>
        <v/>
      </c>
      <c r="D967" s="99" t="str">
        <f>IF(C967&lt;&gt;"", IF('THE BOARD'!U726 = "NESTED","",'THE BOARD'!D720 + IF(C967&lt;&gt;"", 0.72,0)),"")</f>
        <v/>
      </c>
      <c r="E967" s="68">
        <f>'THE BOARD'!E720</f>
        <v>0</v>
      </c>
      <c r="F967" s="68">
        <f>'THE BOARD'!F720</f>
        <v>0</v>
      </c>
      <c r="G967" s="68">
        <f>'THE BOARD'!G720</f>
        <v>0</v>
      </c>
      <c r="H967" s="68">
        <f>'THE BOARD'!H720</f>
        <v>0</v>
      </c>
      <c r="I967" s="68">
        <f>'THE BOARD'!I720</f>
        <v>0</v>
      </c>
      <c r="J967" s="68">
        <f>'THE BOARD'!Q727</f>
        <v>0</v>
      </c>
      <c r="K967" s="99">
        <f>'THE BOARD'!U726</f>
        <v>0</v>
      </c>
    </row>
    <row r="968" spans="1:11" ht="12.75" x14ac:dyDescent="0.2">
      <c r="A968" s="68">
        <f>'THE BOARD'!A721</f>
        <v>0</v>
      </c>
      <c r="B968" s="68">
        <f>'THE BOARD'!B721</f>
        <v>0</v>
      </c>
      <c r="C968" s="99" t="str">
        <f>IF('THE BOARD'!U727 = "NESTED","",IF('THE BOARD'!D721&lt;&gt;"",'THE BOARD'!D721+0.72,""))</f>
        <v/>
      </c>
      <c r="D968" s="99" t="str">
        <f>IF(C968&lt;&gt;"", IF('THE BOARD'!U727 = "NESTED","",'THE BOARD'!D721 + IF(C968&lt;&gt;"", 0.72,0)),"")</f>
        <v/>
      </c>
      <c r="E968" s="68">
        <f>'THE BOARD'!E721</f>
        <v>0</v>
      </c>
      <c r="F968" s="68">
        <f>'THE BOARD'!F721</f>
        <v>0</v>
      </c>
      <c r="G968" s="68">
        <f>'THE BOARD'!G721</f>
        <v>0</v>
      </c>
      <c r="H968" s="68">
        <f>'THE BOARD'!H721</f>
        <v>0</v>
      </c>
      <c r="I968" s="68">
        <f>'THE BOARD'!I721</f>
        <v>0</v>
      </c>
      <c r="J968" s="68">
        <f>'THE BOARD'!Q728</f>
        <v>0</v>
      </c>
      <c r="K968" s="99">
        <f>'THE BOARD'!U727</f>
        <v>0</v>
      </c>
    </row>
    <row r="969" spans="1:11" ht="12.75" x14ac:dyDescent="0.2">
      <c r="A969" s="68">
        <f>'THE BOARD'!A722</f>
        <v>0</v>
      </c>
      <c r="B969" s="68">
        <f>'THE BOARD'!B722</f>
        <v>0</v>
      </c>
      <c r="C969" s="99" t="str">
        <f>IF('THE BOARD'!U728 = "NESTED","",IF('THE BOARD'!D722&lt;&gt;"",'THE BOARD'!D722+0.72,""))</f>
        <v/>
      </c>
      <c r="D969" s="99" t="str">
        <f>IF(C969&lt;&gt;"", IF('THE BOARD'!U728 = "NESTED","",'THE BOARD'!D722 + IF(C969&lt;&gt;"", 0.72,0)),"")</f>
        <v/>
      </c>
      <c r="E969" s="68">
        <f>'THE BOARD'!E722</f>
        <v>0</v>
      </c>
      <c r="F969" s="68">
        <f>'THE BOARD'!F722</f>
        <v>0</v>
      </c>
      <c r="G969" s="68">
        <f>'THE BOARD'!G722</f>
        <v>0</v>
      </c>
      <c r="H969" s="68">
        <f>'THE BOARD'!H722</f>
        <v>0</v>
      </c>
      <c r="I969" s="68">
        <f>'THE BOARD'!I722</f>
        <v>0</v>
      </c>
      <c r="J969" s="68">
        <f>'THE BOARD'!Q729</f>
        <v>0</v>
      </c>
      <c r="K969" s="99">
        <f>'THE BOARD'!U728</f>
        <v>0</v>
      </c>
    </row>
    <row r="970" spans="1:11" ht="12.75" x14ac:dyDescent="0.2">
      <c r="A970" s="68">
        <f>'THE BOARD'!A723</f>
        <v>0</v>
      </c>
      <c r="B970" s="68">
        <f>'THE BOARD'!B723</f>
        <v>0</v>
      </c>
      <c r="C970" s="99" t="str">
        <f>IF('THE BOARD'!U729 = "NESTED","",IF('THE BOARD'!D723&lt;&gt;"",'THE BOARD'!D723+0.72,""))</f>
        <v/>
      </c>
      <c r="D970" s="99" t="str">
        <f>IF(C970&lt;&gt;"", IF('THE BOARD'!U729 = "NESTED","",'THE BOARD'!D723 + IF(C970&lt;&gt;"", 0.72,0)),"")</f>
        <v/>
      </c>
      <c r="E970" s="68">
        <f>'THE BOARD'!E723</f>
        <v>0</v>
      </c>
      <c r="F970" s="68">
        <f>'THE BOARD'!F723</f>
        <v>0</v>
      </c>
      <c r="G970" s="68">
        <f>'THE BOARD'!G723</f>
        <v>0</v>
      </c>
      <c r="H970" s="68">
        <f>'THE BOARD'!H723</f>
        <v>0</v>
      </c>
      <c r="I970" s="68">
        <f>'THE BOARD'!I723</f>
        <v>0</v>
      </c>
      <c r="J970" s="68">
        <f>'THE BOARD'!Q730</f>
        <v>0</v>
      </c>
      <c r="K970" s="99">
        <f>'THE BOARD'!U729</f>
        <v>0</v>
      </c>
    </row>
    <row r="971" spans="1:11" ht="12.75" x14ac:dyDescent="0.2">
      <c r="A971" s="68">
        <f>'THE BOARD'!A724</f>
        <v>0</v>
      </c>
      <c r="B971" s="68">
        <f>'THE BOARD'!B724</f>
        <v>0</v>
      </c>
      <c r="C971" s="99" t="str">
        <f>IF('THE BOARD'!U730 = "NESTED","",IF('THE BOARD'!D724&lt;&gt;"",'THE BOARD'!D724+0.72,""))</f>
        <v/>
      </c>
      <c r="D971" s="99" t="str">
        <f>IF(C971&lt;&gt;"", IF('THE BOARD'!U730 = "NESTED","",'THE BOARD'!D724 + IF(C971&lt;&gt;"", 0.72,0)),"")</f>
        <v/>
      </c>
      <c r="E971" s="68">
        <f>'THE BOARD'!E724</f>
        <v>0</v>
      </c>
      <c r="F971" s="68">
        <f>'THE BOARD'!F724</f>
        <v>0</v>
      </c>
      <c r="G971" s="68">
        <f>'THE BOARD'!G724</f>
        <v>0</v>
      </c>
      <c r="H971" s="68">
        <f>'THE BOARD'!H724</f>
        <v>0</v>
      </c>
      <c r="I971" s="68">
        <f>'THE BOARD'!I724</f>
        <v>0</v>
      </c>
      <c r="J971" s="68">
        <f>'THE BOARD'!Q731</f>
        <v>0</v>
      </c>
      <c r="K971" s="99">
        <f>'THE BOARD'!U730</f>
        <v>0</v>
      </c>
    </row>
    <row r="972" spans="1:11" ht="12.75" x14ac:dyDescent="0.2">
      <c r="A972" s="68">
        <f>'THE BOARD'!A725</f>
        <v>0</v>
      </c>
      <c r="B972" s="68">
        <f>'THE BOARD'!B725</f>
        <v>0</v>
      </c>
      <c r="C972" s="99" t="str">
        <f>IF('THE BOARD'!U731 = "NESTED","",IF('THE BOARD'!D725&lt;&gt;"",'THE BOARD'!D725+0.72,""))</f>
        <v/>
      </c>
      <c r="D972" s="99" t="str">
        <f>IF(C972&lt;&gt;"", IF('THE BOARD'!U731 = "NESTED","",'THE BOARD'!D725 + IF(C972&lt;&gt;"", 0.72,0)),"")</f>
        <v/>
      </c>
      <c r="E972" s="68">
        <f>'THE BOARD'!E725</f>
        <v>0</v>
      </c>
      <c r="F972" s="68">
        <f>'THE BOARD'!F725</f>
        <v>0</v>
      </c>
      <c r="G972" s="68">
        <f>'THE BOARD'!G725</f>
        <v>0</v>
      </c>
      <c r="H972" s="68">
        <f>'THE BOARD'!H725</f>
        <v>0</v>
      </c>
      <c r="I972" s="68">
        <f>'THE BOARD'!I725</f>
        <v>0</v>
      </c>
      <c r="J972" s="68">
        <f>'THE BOARD'!Q732</f>
        <v>0</v>
      </c>
      <c r="K972" s="99">
        <f>'THE BOARD'!U731</f>
        <v>0</v>
      </c>
    </row>
    <row r="973" spans="1:11" ht="12.75" x14ac:dyDescent="0.2">
      <c r="A973" s="68">
        <f>'THE BOARD'!A726</f>
        <v>0</v>
      </c>
      <c r="B973" s="68">
        <f>'THE BOARD'!B726</f>
        <v>0</v>
      </c>
      <c r="C973" s="99" t="str">
        <f>IF('THE BOARD'!U732 = "NESTED","",IF('THE BOARD'!D726&lt;&gt;"",'THE BOARD'!D726+0.72,""))</f>
        <v/>
      </c>
      <c r="D973" s="99" t="str">
        <f>IF(C973&lt;&gt;"", IF('THE BOARD'!U732 = "NESTED","",'THE BOARD'!D726 + IF(C973&lt;&gt;"", 0.72,0)),"")</f>
        <v/>
      </c>
      <c r="E973" s="68">
        <f>'THE BOARD'!E726</f>
        <v>0</v>
      </c>
      <c r="F973" s="68">
        <f>'THE BOARD'!F726</f>
        <v>0</v>
      </c>
      <c r="G973" s="68">
        <f>'THE BOARD'!G726</f>
        <v>0</v>
      </c>
      <c r="H973" s="68">
        <f>'THE BOARD'!H726</f>
        <v>0</v>
      </c>
      <c r="I973" s="68">
        <f>'THE BOARD'!I726</f>
        <v>0</v>
      </c>
      <c r="J973" s="68">
        <f>'THE BOARD'!Q733</f>
        <v>0</v>
      </c>
      <c r="K973" s="99">
        <f>'THE BOARD'!U732</f>
        <v>0</v>
      </c>
    </row>
    <row r="974" spans="1:11" ht="12.75" x14ac:dyDescent="0.2">
      <c r="A974" s="68">
        <f>'THE BOARD'!A727</f>
        <v>0</v>
      </c>
      <c r="B974" s="68">
        <f>'THE BOARD'!B727</f>
        <v>0</v>
      </c>
      <c r="C974" s="99" t="str">
        <f>IF('THE BOARD'!U733 = "NESTED","",IF('THE BOARD'!D727&lt;&gt;"",'THE BOARD'!D727+0.72,""))</f>
        <v/>
      </c>
      <c r="D974" s="99" t="str">
        <f>IF(C974&lt;&gt;"", IF('THE BOARD'!U733 = "NESTED","",'THE BOARD'!D727 + IF(C974&lt;&gt;"", 0.72,0)),"")</f>
        <v/>
      </c>
      <c r="E974" s="68">
        <f>'THE BOARD'!E727</f>
        <v>0</v>
      </c>
      <c r="F974" s="68">
        <f>'THE BOARD'!F727</f>
        <v>0</v>
      </c>
      <c r="G974" s="68">
        <f>'THE BOARD'!G727</f>
        <v>0</v>
      </c>
      <c r="H974" s="68">
        <f>'THE BOARD'!H727</f>
        <v>0</v>
      </c>
      <c r="I974" s="68">
        <f>'THE BOARD'!I727</f>
        <v>0</v>
      </c>
      <c r="J974" s="68">
        <f>'THE BOARD'!Q734</f>
        <v>0</v>
      </c>
      <c r="K974" s="99">
        <f>'THE BOARD'!U733</f>
        <v>0</v>
      </c>
    </row>
    <row r="975" spans="1:11" ht="12.75" x14ac:dyDescent="0.2">
      <c r="A975" s="68">
        <f>'THE BOARD'!A728</f>
        <v>0</v>
      </c>
      <c r="B975" s="68">
        <f>'THE BOARD'!B728</f>
        <v>0</v>
      </c>
      <c r="C975" s="99" t="str">
        <f>IF('THE BOARD'!U734 = "NESTED","",IF('THE BOARD'!D728&lt;&gt;"",'THE BOARD'!D728+0.72,""))</f>
        <v/>
      </c>
      <c r="D975" s="99" t="str">
        <f>IF(C975&lt;&gt;"", IF('THE BOARD'!U734 = "NESTED","",'THE BOARD'!D728 + IF(C975&lt;&gt;"", 0.72,0)),"")</f>
        <v/>
      </c>
      <c r="E975" s="68">
        <f>'THE BOARD'!E728</f>
        <v>0</v>
      </c>
      <c r="F975" s="68">
        <f>'THE BOARD'!F728</f>
        <v>0</v>
      </c>
      <c r="G975" s="68">
        <f>'THE BOARD'!G728</f>
        <v>0</v>
      </c>
      <c r="H975" s="68">
        <f>'THE BOARD'!H728</f>
        <v>0</v>
      </c>
      <c r="I975" s="68">
        <f>'THE BOARD'!I728</f>
        <v>0</v>
      </c>
      <c r="J975" s="68">
        <f>'THE BOARD'!Q735</f>
        <v>0</v>
      </c>
      <c r="K975" s="99">
        <f>'THE BOARD'!U734</f>
        <v>0</v>
      </c>
    </row>
    <row r="976" spans="1:11" ht="12.75" x14ac:dyDescent="0.2">
      <c r="A976" s="68">
        <f>'THE BOARD'!A729</f>
        <v>0</v>
      </c>
      <c r="B976" s="68">
        <f>'THE BOARD'!B729</f>
        <v>0</v>
      </c>
      <c r="C976" s="99" t="str">
        <f>IF('THE BOARD'!U735 = "NESTED","",IF('THE BOARD'!D729&lt;&gt;"",'THE BOARD'!D729+0.72,""))</f>
        <v/>
      </c>
      <c r="D976" s="99" t="str">
        <f>IF(C976&lt;&gt;"", IF('THE BOARD'!U735 = "NESTED","",'THE BOARD'!D729 + IF(C976&lt;&gt;"", 0.72,0)),"")</f>
        <v/>
      </c>
      <c r="E976" s="68">
        <f>'THE BOARD'!E729</f>
        <v>0</v>
      </c>
      <c r="F976" s="68">
        <f>'THE BOARD'!F729</f>
        <v>0</v>
      </c>
      <c r="G976" s="68">
        <f>'THE BOARD'!G729</f>
        <v>0</v>
      </c>
      <c r="H976" s="68">
        <f>'THE BOARD'!H729</f>
        <v>0</v>
      </c>
      <c r="I976" s="68">
        <f>'THE BOARD'!I729</f>
        <v>0</v>
      </c>
      <c r="J976" s="68">
        <f>'THE BOARD'!Q736</f>
        <v>0</v>
      </c>
      <c r="K976" s="99">
        <f>'THE BOARD'!U735</f>
        <v>0</v>
      </c>
    </row>
    <row r="977" spans="1:11" ht="12.75" x14ac:dyDescent="0.2">
      <c r="A977" s="68">
        <f>'THE BOARD'!A730</f>
        <v>0</v>
      </c>
      <c r="B977" s="68">
        <f>'THE BOARD'!B730</f>
        <v>0</v>
      </c>
      <c r="C977" s="99" t="str">
        <f>IF('THE BOARD'!U736 = "NESTED","",IF('THE BOARD'!D730&lt;&gt;"",'THE BOARD'!D730+0.72,""))</f>
        <v/>
      </c>
      <c r="D977" s="99" t="str">
        <f>IF(C977&lt;&gt;"", IF('THE BOARD'!U736 = "NESTED","",'THE BOARD'!D730 + IF(C977&lt;&gt;"", 0.72,0)),"")</f>
        <v/>
      </c>
      <c r="E977" s="68">
        <f>'THE BOARD'!E730</f>
        <v>0</v>
      </c>
      <c r="F977" s="68">
        <f>'THE BOARD'!F730</f>
        <v>0</v>
      </c>
      <c r="G977" s="68">
        <f>'THE BOARD'!G730</f>
        <v>0</v>
      </c>
      <c r="H977" s="68">
        <f>'THE BOARD'!H730</f>
        <v>0</v>
      </c>
      <c r="I977" s="68">
        <f>'THE BOARD'!I730</f>
        <v>0</v>
      </c>
      <c r="J977" s="68">
        <f>'THE BOARD'!Q737</f>
        <v>0</v>
      </c>
      <c r="K977" s="99">
        <f>'THE BOARD'!U736</f>
        <v>0</v>
      </c>
    </row>
    <row r="978" spans="1:11" ht="12.75" x14ac:dyDescent="0.2">
      <c r="A978" s="68">
        <f>'THE BOARD'!A731</f>
        <v>0</v>
      </c>
      <c r="B978" s="68">
        <f>'THE BOARD'!B731</f>
        <v>0</v>
      </c>
      <c r="C978" s="99" t="str">
        <f>IF('THE BOARD'!U737 = "NESTED","",IF('THE BOARD'!D731&lt;&gt;"",'THE BOARD'!D731+0.72,""))</f>
        <v/>
      </c>
      <c r="D978" s="99" t="str">
        <f>IF(C978&lt;&gt;"", IF('THE BOARD'!U737 = "NESTED","",'THE BOARD'!D731 + IF(C978&lt;&gt;"", 0.72,0)),"")</f>
        <v/>
      </c>
      <c r="E978" s="68">
        <f>'THE BOARD'!E731</f>
        <v>0</v>
      </c>
      <c r="F978" s="68">
        <f>'THE BOARD'!F731</f>
        <v>0</v>
      </c>
      <c r="G978" s="68">
        <f>'THE BOARD'!G731</f>
        <v>0</v>
      </c>
      <c r="H978" s="68">
        <f>'THE BOARD'!H731</f>
        <v>0</v>
      </c>
      <c r="I978" s="68">
        <f>'THE BOARD'!I731</f>
        <v>0</v>
      </c>
      <c r="J978" s="68">
        <f>'THE BOARD'!Q738</f>
        <v>0</v>
      </c>
      <c r="K978" s="99">
        <f>'THE BOARD'!U737</f>
        <v>0</v>
      </c>
    </row>
    <row r="979" spans="1:11" ht="12.75" x14ac:dyDescent="0.2">
      <c r="A979" s="68">
        <f>'THE BOARD'!A732</f>
        <v>0</v>
      </c>
      <c r="B979" s="68">
        <f>'THE BOARD'!B732</f>
        <v>0</v>
      </c>
      <c r="C979" s="99" t="str">
        <f>IF('THE BOARD'!U738 = "NESTED","",IF('THE BOARD'!D732&lt;&gt;"",'THE BOARD'!D732+0.72,""))</f>
        <v/>
      </c>
      <c r="D979" s="99" t="str">
        <f>IF(C979&lt;&gt;"", IF('THE BOARD'!U738 = "NESTED","",'THE BOARD'!D732 + IF(C979&lt;&gt;"", 0.72,0)),"")</f>
        <v/>
      </c>
      <c r="E979" s="68">
        <f>'THE BOARD'!E732</f>
        <v>0</v>
      </c>
      <c r="F979" s="68">
        <f>'THE BOARD'!F732</f>
        <v>0</v>
      </c>
      <c r="G979" s="68">
        <f>'THE BOARD'!G732</f>
        <v>0</v>
      </c>
      <c r="H979" s="68">
        <f>'THE BOARD'!H732</f>
        <v>0</v>
      </c>
      <c r="I979" s="68">
        <f>'THE BOARD'!I732</f>
        <v>0</v>
      </c>
      <c r="J979" s="68">
        <f>'THE BOARD'!Q739</f>
        <v>0</v>
      </c>
      <c r="K979" s="99">
        <f>'THE BOARD'!U738</f>
        <v>0</v>
      </c>
    </row>
    <row r="980" spans="1:11" ht="12.75" x14ac:dyDescent="0.2">
      <c r="A980" s="68">
        <f>'THE BOARD'!A733</f>
        <v>0</v>
      </c>
      <c r="B980" s="68">
        <f>'THE BOARD'!B733</f>
        <v>0</v>
      </c>
      <c r="C980" s="99" t="str">
        <f>IF('THE BOARD'!U739 = "NESTED","",IF('THE BOARD'!D733&lt;&gt;"",'THE BOARD'!D733+0.72,""))</f>
        <v/>
      </c>
      <c r="D980" s="99" t="str">
        <f>IF(C980&lt;&gt;"", IF('THE BOARD'!U739 = "NESTED","",'THE BOARD'!D733 + IF(C980&lt;&gt;"", 0.72,0)),"")</f>
        <v/>
      </c>
      <c r="E980" s="68">
        <f>'THE BOARD'!E733</f>
        <v>0</v>
      </c>
      <c r="F980" s="68">
        <f>'THE BOARD'!F733</f>
        <v>0</v>
      </c>
      <c r="G980" s="68">
        <f>'THE BOARD'!G733</f>
        <v>0</v>
      </c>
      <c r="H980" s="68">
        <f>'THE BOARD'!H733</f>
        <v>0</v>
      </c>
      <c r="I980" s="68">
        <f>'THE BOARD'!I733</f>
        <v>0</v>
      </c>
      <c r="J980" s="68">
        <f>'THE BOARD'!Q740</f>
        <v>0</v>
      </c>
      <c r="K980" s="99">
        <f>'THE BOARD'!U739</f>
        <v>0</v>
      </c>
    </row>
    <row r="981" spans="1:11" ht="12.75" x14ac:dyDescent="0.2">
      <c r="A981" s="68">
        <f>'THE BOARD'!A734</f>
        <v>0</v>
      </c>
      <c r="B981" s="68">
        <f>'THE BOARD'!B734</f>
        <v>0</v>
      </c>
      <c r="C981" s="99" t="str">
        <f>IF('THE BOARD'!U740 = "NESTED","",IF('THE BOARD'!D734&lt;&gt;"",'THE BOARD'!D734+0.72,""))</f>
        <v/>
      </c>
      <c r="D981" s="99" t="str">
        <f>IF(C981&lt;&gt;"", IF('THE BOARD'!U740 = "NESTED","",'THE BOARD'!D734 + IF(C981&lt;&gt;"", 0.72,0)),"")</f>
        <v/>
      </c>
      <c r="E981" s="68">
        <f>'THE BOARD'!E734</f>
        <v>0</v>
      </c>
      <c r="F981" s="68">
        <f>'THE BOARD'!F734</f>
        <v>0</v>
      </c>
      <c r="G981" s="68">
        <f>'THE BOARD'!G734</f>
        <v>0</v>
      </c>
      <c r="H981" s="68">
        <f>'THE BOARD'!H734</f>
        <v>0</v>
      </c>
      <c r="I981" s="68">
        <f>'THE BOARD'!I734</f>
        <v>0</v>
      </c>
      <c r="J981" s="68">
        <f>'THE BOARD'!Q741</f>
        <v>0</v>
      </c>
      <c r="K981" s="99">
        <f>'THE BOARD'!U740</f>
        <v>0</v>
      </c>
    </row>
    <row r="982" spans="1:11" ht="12.75" x14ac:dyDescent="0.2">
      <c r="A982" s="68">
        <f>'THE BOARD'!A735</f>
        <v>0</v>
      </c>
      <c r="B982" s="68">
        <f>'THE BOARD'!B735</f>
        <v>0</v>
      </c>
      <c r="C982" s="99" t="str">
        <f>IF('THE BOARD'!U741 = "NESTED","",IF('THE BOARD'!D735&lt;&gt;"",'THE BOARD'!D735+0.72,""))</f>
        <v/>
      </c>
      <c r="D982" s="99" t="str">
        <f>IF(C982&lt;&gt;"", IF('THE BOARD'!U741 = "NESTED","",'THE BOARD'!D735 + IF(C982&lt;&gt;"", 0.72,0)),"")</f>
        <v/>
      </c>
      <c r="E982" s="68">
        <f>'THE BOARD'!E735</f>
        <v>0</v>
      </c>
      <c r="F982" s="68">
        <f>'THE BOARD'!F735</f>
        <v>0</v>
      </c>
      <c r="G982" s="68">
        <f>'THE BOARD'!G735</f>
        <v>0</v>
      </c>
      <c r="H982" s="68">
        <f>'THE BOARD'!H735</f>
        <v>0</v>
      </c>
      <c r="I982" s="68">
        <f>'THE BOARD'!I735</f>
        <v>0</v>
      </c>
      <c r="J982" s="68">
        <f>'THE BOARD'!Q742</f>
        <v>0</v>
      </c>
      <c r="K982" s="99">
        <f>'THE BOARD'!U741</f>
        <v>0</v>
      </c>
    </row>
    <row r="983" spans="1:11" ht="12.75" x14ac:dyDescent="0.2">
      <c r="A983" s="68">
        <f>'THE BOARD'!A736</f>
        <v>0</v>
      </c>
      <c r="B983" s="68">
        <f>'THE BOARD'!B736</f>
        <v>0</v>
      </c>
      <c r="C983" s="99" t="str">
        <f>IF('THE BOARD'!U742 = "NESTED","",IF('THE BOARD'!D736&lt;&gt;"",'THE BOARD'!D736+0.72,""))</f>
        <v/>
      </c>
      <c r="D983" s="99" t="str">
        <f>IF(C983&lt;&gt;"", IF('THE BOARD'!U742 = "NESTED","",'THE BOARD'!D736 + IF(C983&lt;&gt;"", 0.72,0)),"")</f>
        <v/>
      </c>
      <c r="E983" s="68">
        <f>'THE BOARD'!E736</f>
        <v>0</v>
      </c>
      <c r="F983" s="68">
        <f>'THE BOARD'!F736</f>
        <v>0</v>
      </c>
      <c r="G983" s="68">
        <f>'THE BOARD'!G736</f>
        <v>0</v>
      </c>
      <c r="H983" s="68">
        <f>'THE BOARD'!H736</f>
        <v>0</v>
      </c>
      <c r="I983" s="68">
        <f>'THE BOARD'!I736</f>
        <v>0</v>
      </c>
      <c r="J983" s="68">
        <f>'THE BOARD'!Q743</f>
        <v>0</v>
      </c>
      <c r="K983" s="99">
        <f>'THE BOARD'!U742</f>
        <v>0</v>
      </c>
    </row>
    <row r="984" spans="1:11" ht="12.75" x14ac:dyDescent="0.2">
      <c r="A984" s="68">
        <f>'THE BOARD'!A737</f>
        <v>0</v>
      </c>
      <c r="B984" s="68">
        <f>'THE BOARD'!B737</f>
        <v>0</v>
      </c>
      <c r="C984" s="99" t="str">
        <f>IF('THE BOARD'!U743 = "NESTED","",IF('THE BOARD'!D737&lt;&gt;"",'THE BOARD'!D737+0.72,""))</f>
        <v/>
      </c>
      <c r="D984" s="99" t="str">
        <f>IF(C984&lt;&gt;"", IF('THE BOARD'!U743 = "NESTED","",'THE BOARD'!D737 + IF(C984&lt;&gt;"", 0.72,0)),"")</f>
        <v/>
      </c>
      <c r="E984" s="68">
        <f>'THE BOARD'!E737</f>
        <v>0</v>
      </c>
      <c r="F984" s="68">
        <f>'THE BOARD'!F737</f>
        <v>0</v>
      </c>
      <c r="G984" s="68">
        <f>'THE BOARD'!G737</f>
        <v>0</v>
      </c>
      <c r="H984" s="68">
        <f>'THE BOARD'!H737</f>
        <v>0</v>
      </c>
      <c r="I984" s="68">
        <f>'THE BOARD'!I737</f>
        <v>0</v>
      </c>
      <c r="J984" s="68">
        <f>'THE BOARD'!Q744</f>
        <v>0</v>
      </c>
      <c r="K984" s="99">
        <f>'THE BOARD'!U743</f>
        <v>0</v>
      </c>
    </row>
    <row r="985" spans="1:11" ht="12.75" x14ac:dyDescent="0.2">
      <c r="A985" s="68">
        <f>'THE BOARD'!A738</f>
        <v>0</v>
      </c>
      <c r="B985" s="68">
        <f>'THE BOARD'!B738</f>
        <v>0</v>
      </c>
      <c r="C985" s="99" t="str">
        <f>IF('THE BOARD'!U744 = "NESTED","",IF('THE BOARD'!D738&lt;&gt;"",'THE BOARD'!D738+0.72,""))</f>
        <v/>
      </c>
      <c r="D985" s="99" t="str">
        <f>IF(C985&lt;&gt;"", IF('THE BOARD'!U744 = "NESTED","",'THE BOARD'!D738 + IF(C985&lt;&gt;"", 0.72,0)),"")</f>
        <v/>
      </c>
      <c r="E985" s="68">
        <f>'THE BOARD'!E738</f>
        <v>0</v>
      </c>
      <c r="F985" s="68">
        <f>'THE BOARD'!F738</f>
        <v>0</v>
      </c>
      <c r="G985" s="68">
        <f>'THE BOARD'!G738</f>
        <v>0</v>
      </c>
      <c r="H985" s="68">
        <f>'THE BOARD'!H738</f>
        <v>0</v>
      </c>
      <c r="I985" s="68">
        <f>'THE BOARD'!I738</f>
        <v>0</v>
      </c>
      <c r="J985" s="68">
        <f>'THE BOARD'!Q745</f>
        <v>0</v>
      </c>
      <c r="K985" s="99">
        <f>'THE BOARD'!U744</f>
        <v>0</v>
      </c>
    </row>
    <row r="986" spans="1:11" ht="12.75" x14ac:dyDescent="0.2">
      <c r="A986" s="68">
        <f>'THE BOARD'!A739</f>
        <v>0</v>
      </c>
      <c r="B986" s="68">
        <f>'THE BOARD'!B739</f>
        <v>0</v>
      </c>
      <c r="C986" s="99" t="str">
        <f>IF('THE BOARD'!U745 = "NESTED","",IF('THE BOARD'!D739&lt;&gt;"",'THE BOARD'!D739+0.72,""))</f>
        <v/>
      </c>
      <c r="D986" s="99" t="str">
        <f>IF(C986&lt;&gt;"", IF('THE BOARD'!U745 = "NESTED","",'THE BOARD'!D739 + IF(C986&lt;&gt;"", 0.72,0)),"")</f>
        <v/>
      </c>
      <c r="E986" s="68">
        <f>'THE BOARD'!E739</f>
        <v>0</v>
      </c>
      <c r="F986" s="68">
        <f>'THE BOARD'!F739</f>
        <v>0</v>
      </c>
      <c r="G986" s="68">
        <f>'THE BOARD'!G739</f>
        <v>0</v>
      </c>
      <c r="H986" s="68">
        <f>'THE BOARD'!H739</f>
        <v>0</v>
      </c>
      <c r="I986" s="68">
        <f>'THE BOARD'!I739</f>
        <v>0</v>
      </c>
      <c r="J986" s="68">
        <f>'THE BOARD'!Q746</f>
        <v>0</v>
      </c>
      <c r="K986" s="99">
        <f>'THE BOARD'!U745</f>
        <v>0</v>
      </c>
    </row>
    <row r="987" spans="1:11" ht="12.75" x14ac:dyDescent="0.2">
      <c r="A987" s="68">
        <f>'THE BOARD'!A740</f>
        <v>0</v>
      </c>
      <c r="B987" s="68">
        <f>'THE BOARD'!B740</f>
        <v>0</v>
      </c>
      <c r="C987" s="99" t="str">
        <f>IF('THE BOARD'!U746 = "NESTED","",IF('THE BOARD'!D740&lt;&gt;"",'THE BOARD'!D740+0.72,""))</f>
        <v/>
      </c>
      <c r="D987" s="99" t="str">
        <f>IF(C987&lt;&gt;"", IF('THE BOARD'!U746 = "NESTED","",'THE BOARD'!D740 + IF(C987&lt;&gt;"", 0.72,0)),"")</f>
        <v/>
      </c>
      <c r="E987" s="68">
        <f>'THE BOARD'!E740</f>
        <v>0</v>
      </c>
      <c r="F987" s="68">
        <f>'THE BOARD'!F740</f>
        <v>0</v>
      </c>
      <c r="G987" s="68">
        <f>'THE BOARD'!G740</f>
        <v>0</v>
      </c>
      <c r="H987" s="68">
        <f>'THE BOARD'!H740</f>
        <v>0</v>
      </c>
      <c r="I987" s="68">
        <f>'THE BOARD'!I740</f>
        <v>0</v>
      </c>
      <c r="J987" s="68">
        <f>'THE BOARD'!Q747</f>
        <v>0</v>
      </c>
      <c r="K987" s="99">
        <f>'THE BOARD'!U746</f>
        <v>0</v>
      </c>
    </row>
    <row r="988" spans="1:11" ht="12.75" x14ac:dyDescent="0.2">
      <c r="A988" s="68">
        <f>'THE BOARD'!A741</f>
        <v>0</v>
      </c>
      <c r="B988" s="68">
        <f>'THE BOARD'!B741</f>
        <v>0</v>
      </c>
      <c r="C988" s="99" t="str">
        <f>IF('THE BOARD'!U747 = "NESTED","",IF('THE BOARD'!D741&lt;&gt;"",'THE BOARD'!D741+0.72,""))</f>
        <v/>
      </c>
      <c r="D988" s="99" t="str">
        <f>IF(C988&lt;&gt;"", IF('THE BOARD'!U747 = "NESTED","",'THE BOARD'!D741 + IF(C988&lt;&gt;"", 0.72,0)),"")</f>
        <v/>
      </c>
      <c r="E988" s="68">
        <f>'THE BOARD'!E741</f>
        <v>0</v>
      </c>
      <c r="F988" s="68">
        <f>'THE BOARD'!F741</f>
        <v>0</v>
      </c>
      <c r="G988" s="68">
        <f>'THE BOARD'!G741</f>
        <v>0</v>
      </c>
      <c r="H988" s="68">
        <f>'THE BOARD'!H741</f>
        <v>0</v>
      </c>
      <c r="I988" s="68">
        <f>'THE BOARD'!I741</f>
        <v>0</v>
      </c>
      <c r="J988" s="68">
        <f>'THE BOARD'!Q748</f>
        <v>0</v>
      </c>
      <c r="K988" s="99">
        <f>'THE BOARD'!U747</f>
        <v>0</v>
      </c>
    </row>
    <row r="989" spans="1:11" ht="12.75" x14ac:dyDescent="0.2">
      <c r="A989" s="68">
        <f>'THE BOARD'!A742</f>
        <v>0</v>
      </c>
      <c r="B989" s="68">
        <f>'THE BOARD'!B742</f>
        <v>0</v>
      </c>
      <c r="C989" s="99" t="str">
        <f>IF('THE BOARD'!U748 = "NESTED","",IF('THE BOARD'!D742&lt;&gt;"",'THE BOARD'!D742+0.72,""))</f>
        <v/>
      </c>
      <c r="D989" s="99" t="str">
        <f>IF(C989&lt;&gt;"", IF('THE BOARD'!U748 = "NESTED","",'THE BOARD'!D742 + IF(C989&lt;&gt;"", 0.72,0)),"")</f>
        <v/>
      </c>
      <c r="E989" s="68">
        <f>'THE BOARD'!E742</f>
        <v>0</v>
      </c>
      <c r="F989" s="68">
        <f>'THE BOARD'!F742</f>
        <v>0</v>
      </c>
      <c r="G989" s="68">
        <f>'THE BOARD'!G742</f>
        <v>0</v>
      </c>
      <c r="H989" s="68">
        <f>'THE BOARD'!H742</f>
        <v>0</v>
      </c>
      <c r="I989" s="68">
        <f>'THE BOARD'!I742</f>
        <v>0</v>
      </c>
      <c r="J989" s="68">
        <f>'THE BOARD'!Q749</f>
        <v>0</v>
      </c>
      <c r="K989" s="99">
        <f>'THE BOARD'!U748</f>
        <v>0</v>
      </c>
    </row>
    <row r="990" spans="1:11" ht="12.75" x14ac:dyDescent="0.2">
      <c r="A990" s="68">
        <f>'THE BOARD'!A743</f>
        <v>0</v>
      </c>
      <c r="B990" s="68">
        <f>'THE BOARD'!B743</f>
        <v>0</v>
      </c>
      <c r="C990" s="99" t="str">
        <f>IF('THE BOARD'!U749 = "NESTED","",IF('THE BOARD'!D743&lt;&gt;"",'THE BOARD'!D743+0.72,""))</f>
        <v/>
      </c>
      <c r="D990" s="99" t="str">
        <f>IF(C990&lt;&gt;"", IF('THE BOARD'!U749 = "NESTED","",'THE BOARD'!D743 + IF(C990&lt;&gt;"", 0.72,0)),"")</f>
        <v/>
      </c>
      <c r="E990" s="68">
        <f>'THE BOARD'!E743</f>
        <v>0</v>
      </c>
      <c r="F990" s="68">
        <f>'THE BOARD'!F743</f>
        <v>0</v>
      </c>
      <c r="G990" s="68">
        <f>'THE BOARD'!G743</f>
        <v>0</v>
      </c>
      <c r="H990" s="68">
        <f>'THE BOARD'!H743</f>
        <v>0</v>
      </c>
      <c r="I990" s="68">
        <f>'THE BOARD'!I743</f>
        <v>0</v>
      </c>
      <c r="J990" s="68">
        <f>'THE BOARD'!Q750</f>
        <v>0</v>
      </c>
      <c r="K990" s="99">
        <f>'THE BOARD'!U749</f>
        <v>0</v>
      </c>
    </row>
    <row r="991" spans="1:11" ht="12.75" x14ac:dyDescent="0.2">
      <c r="A991" s="68">
        <f>'THE BOARD'!A744</f>
        <v>0</v>
      </c>
      <c r="B991" s="68">
        <f>'THE BOARD'!B744</f>
        <v>0</v>
      </c>
      <c r="C991" s="99" t="str">
        <f>IF('THE BOARD'!U750 = "NESTED","",IF('THE BOARD'!D744&lt;&gt;"",'THE BOARD'!D744+0.72,""))</f>
        <v/>
      </c>
      <c r="D991" s="99" t="str">
        <f>IF(C991&lt;&gt;"", IF('THE BOARD'!U750 = "NESTED","",'THE BOARD'!D744 + IF(C991&lt;&gt;"", 0.72,0)),"")</f>
        <v/>
      </c>
      <c r="E991" s="68">
        <f>'THE BOARD'!E744</f>
        <v>0</v>
      </c>
      <c r="F991" s="68">
        <f>'THE BOARD'!F744</f>
        <v>0</v>
      </c>
      <c r="G991" s="68">
        <f>'THE BOARD'!G744</f>
        <v>0</v>
      </c>
      <c r="H991" s="68">
        <f>'THE BOARD'!H744</f>
        <v>0</v>
      </c>
      <c r="I991" s="68">
        <f>'THE BOARD'!I744</f>
        <v>0</v>
      </c>
      <c r="J991" s="68">
        <f>'THE BOARD'!Q751</f>
        <v>0</v>
      </c>
      <c r="K991" s="99">
        <f>'THE BOARD'!U750</f>
        <v>0</v>
      </c>
    </row>
    <row r="992" spans="1:11" ht="12.75" x14ac:dyDescent="0.2">
      <c r="A992" s="68">
        <f>'THE BOARD'!A745</f>
        <v>0</v>
      </c>
      <c r="B992" s="68">
        <f>'THE BOARD'!B745</f>
        <v>0</v>
      </c>
      <c r="C992" s="99" t="str">
        <f>IF('THE BOARD'!U751 = "NESTED","",IF('THE BOARD'!D745&lt;&gt;"",'THE BOARD'!D745+0.72,""))</f>
        <v/>
      </c>
      <c r="D992" s="99" t="str">
        <f>IF(C992&lt;&gt;"", IF('THE BOARD'!U751 = "NESTED","",'THE BOARD'!D745 + IF(C992&lt;&gt;"", 0.72,0)),"")</f>
        <v/>
      </c>
      <c r="E992" s="68">
        <f>'THE BOARD'!E745</f>
        <v>0</v>
      </c>
      <c r="F992" s="68">
        <f>'THE BOARD'!F745</f>
        <v>0</v>
      </c>
      <c r="G992" s="68">
        <f>'THE BOARD'!G745</f>
        <v>0</v>
      </c>
      <c r="H992" s="68">
        <f>'THE BOARD'!H745</f>
        <v>0</v>
      </c>
      <c r="I992" s="68">
        <f>'THE BOARD'!I745</f>
        <v>0</v>
      </c>
      <c r="J992" s="68">
        <f>'THE BOARD'!Q752</f>
        <v>0</v>
      </c>
      <c r="K992" s="99">
        <f>'THE BOARD'!U751</f>
        <v>0</v>
      </c>
    </row>
    <row r="993" spans="1:11" ht="12.75" x14ac:dyDescent="0.2">
      <c r="A993" s="68">
        <f>'THE BOARD'!A746</f>
        <v>0</v>
      </c>
      <c r="B993" s="68">
        <f>'THE BOARD'!B746</f>
        <v>0</v>
      </c>
      <c r="C993" s="99" t="str">
        <f>IF('THE BOARD'!U752 = "NESTED","",IF('THE BOARD'!D746&lt;&gt;"",'THE BOARD'!D746+0.72,""))</f>
        <v/>
      </c>
      <c r="D993" s="99" t="str">
        <f>IF(C993&lt;&gt;"", IF('THE BOARD'!U752 = "NESTED","",'THE BOARD'!D746 + IF(C993&lt;&gt;"", 0.72,0)),"")</f>
        <v/>
      </c>
      <c r="E993" s="68">
        <f>'THE BOARD'!E746</f>
        <v>0</v>
      </c>
      <c r="F993" s="68">
        <f>'THE BOARD'!F746</f>
        <v>0</v>
      </c>
      <c r="G993" s="68">
        <f>'THE BOARD'!G746</f>
        <v>0</v>
      </c>
      <c r="H993" s="68">
        <f>'THE BOARD'!H746</f>
        <v>0</v>
      </c>
      <c r="I993" s="68">
        <f>'THE BOARD'!I746</f>
        <v>0</v>
      </c>
      <c r="J993" s="68">
        <f>'THE BOARD'!Q753</f>
        <v>0</v>
      </c>
      <c r="K993" s="99">
        <f>'THE BOARD'!U752</f>
        <v>0</v>
      </c>
    </row>
    <row r="994" spans="1:11" ht="12.75" x14ac:dyDescent="0.2">
      <c r="A994" s="68">
        <f>'THE BOARD'!A747</f>
        <v>0</v>
      </c>
      <c r="B994" s="68">
        <f>'THE BOARD'!B747</f>
        <v>0</v>
      </c>
      <c r="C994" s="99" t="str">
        <f>IF('THE BOARD'!U753 = "NESTED","",IF('THE BOARD'!D747&lt;&gt;"",'THE BOARD'!D747+0.72,""))</f>
        <v/>
      </c>
      <c r="D994" s="99" t="str">
        <f>IF(C994&lt;&gt;"", IF('THE BOARD'!U753 = "NESTED","",'THE BOARD'!D747 + IF(C994&lt;&gt;"", 0.72,0)),"")</f>
        <v/>
      </c>
      <c r="E994" s="68">
        <f>'THE BOARD'!E747</f>
        <v>0</v>
      </c>
      <c r="F994" s="68">
        <f>'THE BOARD'!F747</f>
        <v>0</v>
      </c>
      <c r="G994" s="68">
        <f>'THE BOARD'!G747</f>
        <v>0</v>
      </c>
      <c r="H994" s="68">
        <f>'THE BOARD'!H747</f>
        <v>0</v>
      </c>
      <c r="I994" s="68">
        <f>'THE BOARD'!I747</f>
        <v>0</v>
      </c>
      <c r="J994" s="68">
        <f>'THE BOARD'!Q754</f>
        <v>0</v>
      </c>
      <c r="K994" s="99">
        <f>'THE BOARD'!U753</f>
        <v>0</v>
      </c>
    </row>
    <row r="995" spans="1:11" ht="12.75" x14ac:dyDescent="0.2">
      <c r="A995" s="68">
        <f>'THE BOARD'!A748</f>
        <v>0</v>
      </c>
      <c r="B995" s="68">
        <f>'THE BOARD'!B748</f>
        <v>0</v>
      </c>
      <c r="C995" s="99" t="str">
        <f>IF('THE BOARD'!U754 = "NESTED","",IF('THE BOARD'!D748&lt;&gt;"",'THE BOARD'!D748+0.72,""))</f>
        <v/>
      </c>
      <c r="D995" s="99" t="str">
        <f>IF(C995&lt;&gt;"", IF('THE BOARD'!U754 = "NESTED","",'THE BOARD'!D748 + IF(C995&lt;&gt;"", 0.72,0)),"")</f>
        <v/>
      </c>
      <c r="E995" s="68">
        <f>'THE BOARD'!E748</f>
        <v>0</v>
      </c>
      <c r="F995" s="68">
        <f>'THE BOARD'!F748</f>
        <v>0</v>
      </c>
      <c r="G995" s="68">
        <f>'THE BOARD'!G748</f>
        <v>0</v>
      </c>
      <c r="H995" s="68">
        <f>'THE BOARD'!H748</f>
        <v>0</v>
      </c>
      <c r="I995" s="68">
        <f>'THE BOARD'!I748</f>
        <v>0</v>
      </c>
      <c r="J995" s="68">
        <f>'THE BOARD'!Q755</f>
        <v>0</v>
      </c>
      <c r="K995" s="99">
        <f>'THE BOARD'!U754</f>
        <v>0</v>
      </c>
    </row>
    <row r="996" spans="1:11" ht="12.75" x14ac:dyDescent="0.2">
      <c r="A996" s="68">
        <f>'THE BOARD'!A749</f>
        <v>0</v>
      </c>
      <c r="B996" s="68">
        <f>'THE BOARD'!B749</f>
        <v>0</v>
      </c>
      <c r="C996" s="99" t="str">
        <f>IF('THE BOARD'!U755 = "NESTED","",IF('THE BOARD'!D749&lt;&gt;"",'THE BOARD'!D749+0.72,""))</f>
        <v/>
      </c>
      <c r="D996" s="99" t="str">
        <f>IF(C996&lt;&gt;"", IF('THE BOARD'!U755 = "NESTED","",'THE BOARD'!D749 + IF(C996&lt;&gt;"", 0.72,0)),"")</f>
        <v/>
      </c>
      <c r="E996" s="68">
        <f>'THE BOARD'!E749</f>
        <v>0</v>
      </c>
      <c r="F996" s="68">
        <f>'THE BOARD'!F749</f>
        <v>0</v>
      </c>
      <c r="G996" s="68">
        <f>'THE BOARD'!G749</f>
        <v>0</v>
      </c>
      <c r="H996" s="68">
        <f>'THE BOARD'!H749</f>
        <v>0</v>
      </c>
      <c r="I996" s="68">
        <f>'THE BOARD'!I749</f>
        <v>0</v>
      </c>
      <c r="J996" s="68">
        <f>'THE BOARD'!Q756</f>
        <v>0</v>
      </c>
      <c r="K996" s="99">
        <f>'THE BOARD'!U755</f>
        <v>0</v>
      </c>
    </row>
    <row r="997" spans="1:11" ht="12.75" x14ac:dyDescent="0.2">
      <c r="A997" s="68">
        <f>'THE BOARD'!A750</f>
        <v>0</v>
      </c>
      <c r="B997" s="68">
        <f>'THE BOARD'!B750</f>
        <v>0</v>
      </c>
      <c r="C997" s="99" t="str">
        <f>IF('THE BOARD'!U756 = "NESTED","",IF('THE BOARD'!D750&lt;&gt;"",'THE BOARD'!D750+0.72,""))</f>
        <v/>
      </c>
      <c r="D997" s="99" t="str">
        <f>IF(C997&lt;&gt;"", IF('THE BOARD'!U756 = "NESTED","",'THE BOARD'!D750 + IF(C997&lt;&gt;"", 0.72,0)),"")</f>
        <v/>
      </c>
      <c r="E997" s="68">
        <f>'THE BOARD'!E750</f>
        <v>0</v>
      </c>
      <c r="F997" s="68">
        <f>'THE BOARD'!F750</f>
        <v>0</v>
      </c>
      <c r="G997" s="68">
        <f>'THE BOARD'!G750</f>
        <v>0</v>
      </c>
      <c r="H997" s="68">
        <f>'THE BOARD'!H750</f>
        <v>0</v>
      </c>
      <c r="I997" s="68">
        <f>'THE BOARD'!I750</f>
        <v>0</v>
      </c>
      <c r="J997" s="68">
        <f>'THE BOARD'!Q757</f>
        <v>0</v>
      </c>
      <c r="K997" s="99">
        <f>'THE BOARD'!U756</f>
        <v>0</v>
      </c>
    </row>
    <row r="998" spans="1:11" ht="12.75" x14ac:dyDescent="0.2">
      <c r="A998" s="68">
        <f>'THE BOARD'!A751</f>
        <v>0</v>
      </c>
      <c r="B998" s="68">
        <f>'THE BOARD'!B751</f>
        <v>0</v>
      </c>
      <c r="C998" s="99" t="str">
        <f>IF('THE BOARD'!U757 = "NESTED","",IF('THE BOARD'!D751&lt;&gt;"",'THE BOARD'!D751+0.72,""))</f>
        <v/>
      </c>
      <c r="D998" s="99" t="str">
        <f>IF(C998&lt;&gt;"", IF('THE BOARD'!U757 = "NESTED","",'THE BOARD'!D751 + IF(C998&lt;&gt;"", 0.72,0)),"")</f>
        <v/>
      </c>
      <c r="E998" s="68">
        <f>'THE BOARD'!E751</f>
        <v>0</v>
      </c>
      <c r="F998" s="68">
        <f>'THE BOARD'!F751</f>
        <v>0</v>
      </c>
      <c r="G998" s="68">
        <f>'THE BOARD'!G751</f>
        <v>0</v>
      </c>
      <c r="H998" s="68">
        <f>'THE BOARD'!H751</f>
        <v>0</v>
      </c>
      <c r="I998" s="68">
        <f>'THE BOARD'!I751</f>
        <v>0</v>
      </c>
      <c r="J998" s="68">
        <f>'THE BOARD'!Q758</f>
        <v>0</v>
      </c>
      <c r="K998" s="99">
        <f>'THE BOARD'!U757</f>
        <v>0</v>
      </c>
    </row>
    <row r="999" spans="1:11" ht="12.75" x14ac:dyDescent="0.2">
      <c r="A999" s="68">
        <f>'THE BOARD'!A752</f>
        <v>0</v>
      </c>
      <c r="B999" s="68">
        <f>'THE BOARD'!B752</f>
        <v>0</v>
      </c>
      <c r="C999" s="99" t="str">
        <f>IF('THE BOARD'!U758 = "NESTED","",IF('THE BOARD'!D752&lt;&gt;"",'THE BOARD'!D752+0.72,""))</f>
        <v/>
      </c>
      <c r="D999" s="99" t="str">
        <f>IF(C999&lt;&gt;"", IF('THE BOARD'!U758 = "NESTED","",'THE BOARD'!D752 + IF(C999&lt;&gt;"", 0.72,0)),"")</f>
        <v/>
      </c>
      <c r="E999" s="68">
        <f>'THE BOARD'!E752</f>
        <v>0</v>
      </c>
      <c r="F999" s="68">
        <f>'THE BOARD'!F752</f>
        <v>0</v>
      </c>
      <c r="G999" s="68">
        <f>'THE BOARD'!G752</f>
        <v>0</v>
      </c>
      <c r="H999" s="68">
        <f>'THE BOARD'!H752</f>
        <v>0</v>
      </c>
      <c r="I999" s="68">
        <f>'THE BOARD'!I752</f>
        <v>0</v>
      </c>
      <c r="J999" s="68">
        <f>'THE BOARD'!Q759</f>
        <v>0</v>
      </c>
      <c r="K999" s="99">
        <f>'THE BOARD'!U758</f>
        <v>0</v>
      </c>
    </row>
    <row r="1000" spans="1:11" ht="12.75" x14ac:dyDescent="0.2">
      <c r="A1000" s="68">
        <f>'THE BOARD'!A753</f>
        <v>0</v>
      </c>
      <c r="B1000" s="68">
        <f>'THE BOARD'!B753</f>
        <v>0</v>
      </c>
      <c r="C1000" s="99" t="str">
        <f>IF('THE BOARD'!U759 = "NESTED","",IF('THE BOARD'!D753&lt;&gt;"",'THE BOARD'!D753+0.72,""))</f>
        <v/>
      </c>
      <c r="D1000" s="99" t="str">
        <f>IF(C1000&lt;&gt;"", IF('THE BOARD'!U759 = "NESTED","",'THE BOARD'!D753 + IF(C1000&lt;&gt;"", 0.72,0)),"")</f>
        <v/>
      </c>
      <c r="E1000" s="68">
        <f>'THE BOARD'!E753</f>
        <v>0</v>
      </c>
      <c r="F1000" s="68">
        <f>'THE BOARD'!F753</f>
        <v>0</v>
      </c>
      <c r="G1000" s="68">
        <f>'THE BOARD'!G753</f>
        <v>0</v>
      </c>
      <c r="H1000" s="68">
        <f>'THE BOARD'!H753</f>
        <v>0</v>
      </c>
      <c r="I1000" s="68">
        <f>'THE BOARD'!I753</f>
        <v>0</v>
      </c>
      <c r="J1000" s="68">
        <f>'THE BOARD'!Q760</f>
        <v>0</v>
      </c>
      <c r="K1000" s="99">
        <f>'THE BOARD'!U759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THE BOARD</vt:lpstr>
      <vt:lpstr>Pivot Table 3</vt:lpstr>
      <vt:lpstr>DUE PIVOT</vt:lpstr>
      <vt:lpstr>Sheet4</vt:lpstr>
      <vt:lpstr>PHONE</vt:lpstr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Austin Delancey</cp:lastModifiedBy>
  <dcterms:modified xsi:type="dcterms:W3CDTF">2024-01-29T12:51:06Z</dcterms:modified>
</cp:coreProperties>
</file>